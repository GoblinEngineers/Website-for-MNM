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2CEAF3AB-DF9E-4CF1-A9D7-475831C01B40}"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Matchups!$A$1:$R$4945</definedName>
    <definedName name="Slicer_Month">#N/A</definedName>
    <definedName name="Slicer_Year">#N/A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4" i="2" l="1"/>
  <c r="H84" i="2"/>
  <c r="I84" i="2"/>
  <c r="K84" i="2"/>
  <c r="L84" i="2"/>
  <c r="M84" i="2"/>
  <c r="G55" i="2"/>
  <c r="H55" i="2"/>
  <c r="I55" i="2"/>
  <c r="K55" i="2"/>
  <c r="L55" i="2"/>
  <c r="M55" i="2"/>
  <c r="G89" i="2"/>
  <c r="H89" i="2"/>
  <c r="I89" i="2"/>
  <c r="K89" i="2"/>
  <c r="L89" i="2"/>
  <c r="M89"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8" i="2"/>
  <c r="H88" i="2"/>
  <c r="I88" i="2"/>
  <c r="K88" i="2"/>
  <c r="L88" i="2"/>
  <c r="M88" i="2"/>
  <c r="G87" i="2"/>
  <c r="H87" i="2"/>
  <c r="I87" i="2"/>
  <c r="K87" i="2"/>
  <c r="L87" i="2"/>
  <c r="M87"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4" i="14"/>
  <c r="G56" i="14"/>
  <c r="H54" i="14"/>
  <c r="H55" i="14"/>
  <c r="H56" i="14"/>
  <c r="G86" i="2"/>
  <c r="H86" i="2"/>
  <c r="I86" i="2"/>
  <c r="K86" i="2"/>
  <c r="L86" i="2"/>
  <c r="M86"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93" i="2"/>
  <c r="H93" i="2"/>
  <c r="I93" i="2"/>
  <c r="K93" i="2"/>
  <c r="L93" i="2"/>
  <c r="M93" i="2"/>
  <c r="G92" i="2"/>
  <c r="H92" i="2"/>
  <c r="I92" i="2"/>
  <c r="K92" i="2"/>
  <c r="L92" i="2"/>
  <c r="M92" i="2"/>
  <c r="G91" i="2"/>
  <c r="H91" i="2"/>
  <c r="I91" i="2"/>
  <c r="K91" i="2"/>
  <c r="L91" i="2"/>
  <c r="M91" i="2"/>
  <c r="G90" i="2"/>
  <c r="H90" i="2"/>
  <c r="I90" i="2"/>
  <c r="K90" i="2"/>
  <c r="L90" i="2"/>
  <c r="M90"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20" i="2"/>
  <c r="H20" i="2"/>
  <c r="I20" i="2"/>
  <c r="K20" i="2"/>
  <c r="L20" i="2"/>
  <c r="M20" i="2"/>
  <c r="G53" i="2"/>
  <c r="H53" i="2"/>
  <c r="I53" i="2"/>
  <c r="K53" i="2"/>
  <c r="L53" i="2"/>
  <c r="M53" i="2"/>
  <c r="G51" i="2"/>
  <c r="H51" i="2"/>
  <c r="I51" i="2"/>
  <c r="K51" i="2"/>
  <c r="L51" i="2"/>
  <c r="M51" i="2"/>
  <c r="G17" i="2"/>
  <c r="H17" i="2"/>
  <c r="I17" i="2"/>
  <c r="K17" i="2"/>
  <c r="L17" i="2"/>
  <c r="M17" i="2"/>
  <c r="G85" i="2"/>
  <c r="H85" i="2"/>
  <c r="I85" i="2"/>
  <c r="K85" i="2"/>
  <c r="L85" i="2"/>
  <c r="M85"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K16" i="2"/>
  <c r="I67" i="2"/>
  <c r="I58" i="2"/>
  <c r="K68" i="2"/>
  <c r="H63" i="2"/>
  <c r="L95" i="2"/>
  <c r="L13" i="2"/>
  <c r="L69" i="2"/>
  <c r="G66" i="2"/>
  <c r="M58" i="2"/>
  <c r="M72" i="2"/>
  <c r="M75" i="2"/>
  <c r="I71" i="2"/>
  <c r="M15" i="2"/>
  <c r="K73" i="2"/>
  <c r="M96" i="2"/>
  <c r="G15" i="2"/>
  <c r="K66" i="2"/>
  <c r="K46" i="2"/>
  <c r="M83" i="2"/>
  <c r="G11" i="2"/>
  <c r="H74" i="2"/>
  <c r="I35" i="2"/>
  <c r="I70" i="2"/>
  <c r="H42" i="2"/>
  <c r="M81" i="2"/>
  <c r="H70" i="2"/>
  <c r="M8" i="2"/>
  <c r="M48" i="2"/>
  <c r="M70" i="2"/>
  <c r="H62" i="2"/>
  <c r="G79" i="2"/>
  <c r="L58" i="2"/>
  <c r="K69" i="2"/>
  <c r="G76" i="2"/>
  <c r="K83" i="2"/>
  <c r="G42" i="2"/>
  <c r="K11" i="2"/>
  <c r="L39" i="2"/>
  <c r="K27" i="2"/>
  <c r="H64" i="2"/>
  <c r="L11" i="2"/>
  <c r="I95" i="2"/>
  <c r="M60" i="2"/>
  <c r="H52" i="2"/>
  <c r="L80" i="2"/>
  <c r="K82" i="2"/>
  <c r="G81" i="2"/>
  <c r="I54" i="2"/>
  <c r="M80" i="2"/>
  <c r="I41" i="2"/>
  <c r="G65" i="2"/>
  <c r="H61" i="2"/>
  <c r="L83" i="2"/>
  <c r="H56" i="2"/>
  <c r="G52" i="2"/>
  <c r="L27" i="2"/>
  <c r="L62" i="2"/>
  <c r="L78" i="2"/>
  <c r="K8" i="2"/>
  <c r="M18" i="2"/>
  <c r="I65" i="2"/>
  <c r="G54" i="2"/>
  <c r="H80" i="2"/>
  <c r="H76" i="2"/>
  <c r="I75" i="2"/>
  <c r="I82" i="2"/>
  <c r="H81" i="2"/>
  <c r="M11" i="2"/>
  <c r="L59" i="2"/>
  <c r="L64" i="2"/>
  <c r="L81" i="2"/>
  <c r="H72" i="2"/>
  <c r="I96" i="2"/>
  <c r="I77" i="2"/>
  <c r="M77" i="2"/>
  <c r="H19" i="2"/>
  <c r="I8" i="2"/>
  <c r="I69" i="2"/>
  <c r="L41" i="2"/>
  <c r="M41" i="2"/>
  <c r="M74" i="2"/>
  <c r="G72" i="2"/>
  <c r="G64" i="2"/>
  <c r="L8" i="2"/>
  <c r="L67" i="2"/>
  <c r="M67" i="2"/>
  <c r="H18" i="2"/>
  <c r="H35" i="2"/>
  <c r="M44" i="2"/>
  <c r="M66" i="2"/>
  <c r="G71" i="2"/>
  <c r="H68" i="2"/>
  <c r="L75" i="2"/>
  <c r="H59" i="2"/>
  <c r="L54" i="2"/>
  <c r="H78" i="2"/>
  <c r="K67" i="2"/>
  <c r="G77" i="2"/>
  <c r="K71" i="2"/>
  <c r="G78" i="2"/>
  <c r="K95" i="2"/>
  <c r="I68" i="2"/>
  <c r="L35" i="2"/>
  <c r="H60" i="2"/>
  <c r="H44" i="2"/>
  <c r="L73" i="2"/>
  <c r="M69" i="2"/>
  <c r="H46" i="2"/>
  <c r="G67" i="2"/>
  <c r="H8" i="2"/>
  <c r="G69" i="2"/>
  <c r="K81" i="2"/>
  <c r="I80" i="2"/>
  <c r="I63" i="2"/>
  <c r="M35" i="2"/>
  <c r="H66" i="2"/>
  <c r="M76" i="2"/>
  <c r="L16" i="2"/>
  <c r="I19" i="2"/>
  <c r="I61" i="2"/>
  <c r="H83" i="2"/>
  <c r="G73" i="2"/>
  <c r="I48" i="2"/>
  <c r="H71" i="2"/>
  <c r="I64" i="2"/>
  <c r="M71" i="2"/>
  <c r="H41" i="2"/>
  <c r="L18" i="2"/>
  <c r="L57" i="2"/>
  <c r="G48" i="2"/>
  <c r="L12" i="2"/>
  <c r="I79" i="2"/>
  <c r="G57" i="2"/>
  <c r="G80" i="2"/>
  <c r="L70" i="2"/>
  <c r="L52" i="2"/>
  <c r="H96" i="2"/>
  <c r="I83" i="2"/>
  <c r="L42" i="2"/>
  <c r="G62" i="2"/>
  <c r="G19" i="2"/>
  <c r="M95" i="2"/>
  <c r="K19" i="2"/>
  <c r="I15" i="2"/>
  <c r="M78" i="2"/>
  <c r="G70" i="2"/>
  <c r="K77" i="2"/>
  <c r="I73" i="2"/>
  <c r="M54" i="2"/>
  <c r="G12" i="2"/>
  <c r="I81" i="2"/>
  <c r="K75" i="2"/>
  <c r="L82" i="2"/>
  <c r="M59" i="2"/>
  <c r="H54" i="2"/>
  <c r="H15" i="2"/>
  <c r="G75" i="2"/>
  <c r="I74" i="2"/>
  <c r="M13" i="2"/>
  <c r="I39" i="2"/>
  <c r="K70" i="2"/>
  <c r="G74" i="2"/>
  <c r="I56" i="2"/>
  <c r="G8" i="2"/>
  <c r="H57" i="2"/>
  <c r="H77" i="2"/>
  <c r="L19" i="2"/>
  <c r="M82" i="2"/>
  <c r="M27" i="2"/>
  <c r="L66" i="2"/>
  <c r="L72" i="2"/>
  <c r="K59" i="2"/>
  <c r="M39" i="2"/>
  <c r="L68" i="2"/>
  <c r="G13" i="2"/>
  <c r="M46" i="2"/>
  <c r="L76" i="2"/>
  <c r="L71" i="2"/>
  <c r="I66" i="2"/>
  <c r="K56" i="2"/>
  <c r="G60" i="2"/>
  <c r="G39" i="2"/>
  <c r="G18" i="2"/>
  <c r="M12" i="2"/>
  <c r="I11" i="2"/>
  <c r="M65" i="2"/>
  <c r="G61" i="2"/>
  <c r="L60" i="2"/>
  <c r="K65" i="2"/>
  <c r="G58" i="2"/>
  <c r="L63" i="2"/>
  <c r="K44" i="2"/>
  <c r="L61" i="2"/>
  <c r="I13" i="2"/>
  <c r="G82" i="2"/>
  <c r="K78" i="2"/>
  <c r="K58" i="2"/>
  <c r="G44" i="2"/>
  <c r="L56" i="2"/>
  <c r="H79" i="2"/>
  <c r="M64" i="2"/>
  <c r="I59" i="2"/>
  <c r="G95" i="2"/>
  <c r="I72" i="2"/>
  <c r="L79" i="2"/>
  <c r="K13" i="2"/>
  <c r="H11" i="2"/>
  <c r="K60" i="2"/>
  <c r="H12" i="2"/>
  <c r="M52" i="2"/>
  <c r="M73" i="2"/>
  <c r="G27" i="2"/>
  <c r="K42" i="2"/>
  <c r="K12" i="2"/>
  <c r="H58" i="2"/>
  <c r="M19" i="2"/>
  <c r="L44" i="2"/>
  <c r="I57" i="2"/>
  <c r="I52" i="2"/>
  <c r="K61" i="2"/>
  <c r="G59" i="2"/>
  <c r="M42" i="2"/>
  <c r="L48" i="2"/>
  <c r="H69" i="2"/>
  <c r="I60" i="2"/>
  <c r="G83" i="2"/>
  <c r="M16" i="2"/>
  <c r="I78" i="2"/>
  <c r="I16" i="2"/>
  <c r="L77" i="2"/>
  <c r="K54" i="2"/>
  <c r="H75" i="2"/>
  <c r="L65" i="2"/>
  <c r="G96" i="2"/>
  <c r="K96" i="2"/>
  <c r="M61" i="2"/>
  <c r="G35" i="2"/>
  <c r="L74" i="2"/>
  <c r="G68" i="2"/>
  <c r="G41" i="2"/>
  <c r="M68" i="2"/>
  <c r="K48" i="2"/>
  <c r="M63" i="2"/>
  <c r="K41" i="2"/>
  <c r="I44" i="2"/>
  <c r="L46" i="2"/>
  <c r="H13" i="2"/>
  <c r="H67" i="2"/>
  <c r="I27" i="2"/>
  <c r="H95" i="2"/>
  <c r="M62" i="2"/>
  <c r="I12" i="2"/>
  <c r="G16" i="2"/>
  <c r="K79" i="2"/>
  <c r="K18" i="2"/>
  <c r="K74" i="2"/>
  <c r="L96" i="2"/>
  <c r="H48" i="2"/>
  <c r="K39" i="2"/>
  <c r="M56" i="2"/>
  <c r="G63" i="2"/>
  <c r="H65" i="2"/>
  <c r="H73" i="2"/>
  <c r="K64" i="2"/>
  <c r="H39" i="2"/>
  <c r="I42" i="2"/>
  <c r="H82" i="2"/>
  <c r="H16" i="2"/>
  <c r="L15" i="2"/>
  <c r="I62" i="2"/>
  <c r="H27" i="2"/>
  <c r="I18" i="2"/>
  <c r="I76" i="2"/>
  <c r="G46" i="2"/>
  <c r="K15" i="2"/>
  <c r="K62" i="2"/>
  <c r="K63" i="2"/>
  <c r="M79" i="2"/>
  <c r="K76" i="2"/>
  <c r="K52" i="2"/>
  <c r="K57" i="2"/>
  <c r="K35" i="2"/>
  <c r="M57" i="2"/>
  <c r="K72" i="2"/>
  <c r="G56" i="2"/>
  <c r="K80" i="2"/>
  <c r="I46" i="2"/>
  <c r="G55" i="14" l="1"/>
  <c r="J84" i="2"/>
  <c r="F84" i="2" s="1"/>
  <c r="N84" i="2"/>
  <c r="O84" i="2"/>
  <c r="J55" i="2"/>
  <c r="F55" i="2" s="1"/>
  <c r="N55" i="2"/>
  <c r="J89" i="2"/>
  <c r="F89" i="2" s="1"/>
  <c r="N89" i="2"/>
  <c r="J88" i="2"/>
  <c r="F88" i="2" s="1"/>
  <c r="N88" i="2"/>
  <c r="O88" i="2"/>
  <c r="J87" i="2"/>
  <c r="F87" i="2" s="1"/>
  <c r="N87" i="2"/>
  <c r="H53" i="14"/>
  <c r="J86" i="2"/>
  <c r="F86" i="2" s="1"/>
  <c r="N86" i="2"/>
  <c r="J93" i="2"/>
  <c r="N93" i="2"/>
  <c r="O93" i="2"/>
  <c r="J92" i="2"/>
  <c r="N92" i="2"/>
  <c r="J91" i="2"/>
  <c r="N91" i="2"/>
  <c r="J90" i="2"/>
  <c r="N90" i="2"/>
  <c r="J20" i="2"/>
  <c r="N20" i="2"/>
  <c r="J53" i="2"/>
  <c r="N53" i="2"/>
  <c r="O53" i="2" s="1"/>
  <c r="J51" i="2"/>
  <c r="N51" i="2"/>
  <c r="O51" i="2" s="1"/>
  <c r="J17" i="2"/>
  <c r="N17" i="2"/>
  <c r="J85" i="2"/>
  <c r="N85" i="2"/>
  <c r="O85" i="2" s="1"/>
  <c r="N19" i="2"/>
  <c r="O19" i="2" s="1"/>
  <c r="J19" i="2"/>
  <c r="F19" i="2" s="1"/>
  <c r="H52" i="14"/>
  <c r="N35" i="2"/>
  <c r="O35" i="2" s="1"/>
  <c r="J35" i="2"/>
  <c r="F35" i="2" s="1"/>
  <c r="N13" i="2"/>
  <c r="O13" i="2" s="1"/>
  <c r="J13" i="2"/>
  <c r="F13" i="2" s="1"/>
  <c r="N83" i="2"/>
  <c r="O83" i="2" s="1"/>
  <c r="J83" i="2"/>
  <c r="F83" i="2" s="1"/>
  <c r="N82" i="2"/>
  <c r="O82" i="2" s="1"/>
  <c r="J82" i="2"/>
  <c r="F82" i="2" s="1"/>
  <c r="N81" i="2"/>
  <c r="O81" i="2" s="1"/>
  <c r="J81" i="2"/>
  <c r="F81" i="2" s="1"/>
  <c r="N80" i="2"/>
  <c r="O80" i="2" s="1"/>
  <c r="J80" i="2"/>
  <c r="F80"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12" i="2"/>
  <c r="O12" i="2" s="1"/>
  <c r="J12" i="2"/>
  <c r="F12" i="2" s="1"/>
  <c r="N66" i="2"/>
  <c r="O66" i="2" s="1"/>
  <c r="J66" i="2"/>
  <c r="F66" i="2" s="1"/>
  <c r="N65" i="2"/>
  <c r="O65" i="2" s="1"/>
  <c r="J65" i="2"/>
  <c r="F65" i="2" s="1"/>
  <c r="N64" i="2"/>
  <c r="O64" i="2" s="1"/>
  <c r="J64" i="2"/>
  <c r="F64" i="2" s="1"/>
  <c r="N48" i="2"/>
  <c r="O48" i="2" s="1"/>
  <c r="J48" i="2"/>
  <c r="F48" i="2" s="1"/>
  <c r="N63" i="2"/>
  <c r="O63" i="2" s="1"/>
  <c r="J63" i="2"/>
  <c r="F63" i="2" s="1"/>
  <c r="N62" i="2"/>
  <c r="O62" i="2" s="1"/>
  <c r="J62" i="2"/>
  <c r="F62" i="2" s="1"/>
  <c r="N61" i="2"/>
  <c r="O61" i="2" s="1"/>
  <c r="J61" i="2"/>
  <c r="F61" i="2" s="1"/>
  <c r="N60" i="2"/>
  <c r="O60" i="2" s="1"/>
  <c r="J60" i="2"/>
  <c r="F60" i="2" s="1"/>
  <c r="N59" i="2"/>
  <c r="O59" i="2" s="1"/>
  <c r="J59" i="2"/>
  <c r="F59" i="2" s="1"/>
  <c r="N58" i="2"/>
  <c r="O58" i="2" s="1"/>
  <c r="J58" i="2"/>
  <c r="F58" i="2" s="1"/>
  <c r="N57" i="2"/>
  <c r="O57" i="2" s="1"/>
  <c r="J57" i="2"/>
  <c r="F57" i="2" s="1"/>
  <c r="N56" i="2"/>
  <c r="O56" i="2" s="1"/>
  <c r="J56" i="2"/>
  <c r="F56" i="2" s="1"/>
  <c r="N96" i="2"/>
  <c r="O96" i="2" s="1"/>
  <c r="J96" i="2"/>
  <c r="F96" i="2" s="1"/>
  <c r="N54" i="2"/>
  <c r="O54" i="2" s="1"/>
  <c r="J54" i="2"/>
  <c r="F54" i="2" s="1"/>
  <c r="N95" i="2"/>
  <c r="O95" i="2" s="1"/>
  <c r="J95" i="2"/>
  <c r="F95" i="2" s="1"/>
  <c r="N15" i="2"/>
  <c r="O15" i="2" s="1"/>
  <c r="J15" i="2"/>
  <c r="F15" i="2" s="1"/>
  <c r="N52" i="2"/>
  <c r="O52" i="2" s="1"/>
  <c r="J52" i="2"/>
  <c r="F52" i="2" s="1"/>
  <c r="H51" i="14"/>
  <c r="N16" i="2"/>
  <c r="O16" i="2" s="1"/>
  <c r="J16" i="2"/>
  <c r="F16" i="2" s="1"/>
  <c r="N46" i="2"/>
  <c r="O46" i="2" s="1"/>
  <c r="J46" i="2"/>
  <c r="F46" i="2" s="1"/>
  <c r="N44" i="2"/>
  <c r="O44" i="2" s="1"/>
  <c r="J44" i="2"/>
  <c r="F44" i="2" s="1"/>
  <c r="H50" i="14"/>
  <c r="H49" i="14"/>
  <c r="H46" i="14"/>
  <c r="N42" i="2"/>
  <c r="O42" i="2" s="1"/>
  <c r="J42" i="2"/>
  <c r="F42" i="2" s="1"/>
  <c r="N41" i="2"/>
  <c r="O41" i="2" s="1"/>
  <c r="J41" i="2"/>
  <c r="F41" i="2" s="1"/>
  <c r="N11" i="2"/>
  <c r="O11" i="2" s="1"/>
  <c r="J11" i="2"/>
  <c r="F11" i="2" s="1"/>
  <c r="H48" i="14"/>
  <c r="N27" i="2"/>
  <c r="O27" i="2" s="1"/>
  <c r="J27" i="2"/>
  <c r="F27" i="2" s="1"/>
  <c r="N8" i="2"/>
  <c r="O8" i="2" s="1"/>
  <c r="J8" i="2"/>
  <c r="F8" i="2" s="1"/>
  <c r="N39" i="2"/>
  <c r="O39" i="2" s="1"/>
  <c r="J39" i="2"/>
  <c r="F39" i="2" s="1"/>
  <c r="N18" i="2"/>
  <c r="O18" i="2" s="1"/>
  <c r="J18" i="2"/>
  <c r="F18"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5" i="2"/>
  <c r="K23" i="2"/>
  <c r="H45" i="2"/>
  <c r="H43" i="2"/>
  <c r="L38" i="2"/>
  <c r="L50" i="2"/>
  <c r="K47" i="2"/>
  <c r="H5" i="2"/>
  <c r="I29" i="2"/>
  <c r="C6" i="5"/>
  <c r="H37" i="2"/>
  <c r="G21" i="2"/>
  <c r="M9" i="2"/>
  <c r="M6" i="2"/>
  <c r="M36" i="2"/>
  <c r="I14" i="2"/>
  <c r="G9" i="2"/>
  <c r="K22" i="2"/>
  <c r="H29" i="2"/>
  <c r="K28" i="2"/>
  <c r="G7" i="2"/>
  <c r="K97" i="2"/>
  <c r="M24" i="2"/>
  <c r="L14" i="2"/>
  <c r="M37" i="2"/>
  <c r="L47" i="2"/>
  <c r="I22" i="2"/>
  <c r="L49" i="2"/>
  <c r="L26" i="2"/>
  <c r="H30" i="2"/>
  <c r="G47" i="2"/>
  <c r="I97" i="2"/>
  <c r="I10" i="2"/>
  <c r="K94" i="2"/>
  <c r="H47" i="2"/>
  <c r="I47" i="2"/>
  <c r="G24" i="2"/>
  <c r="L98" i="2"/>
  <c r="M31" i="2"/>
  <c r="I33" i="2"/>
  <c r="L25" i="2"/>
  <c r="G94" i="2"/>
  <c r="K25" i="2"/>
  <c r="H97" i="2"/>
  <c r="C9" i="5"/>
  <c r="K36" i="2"/>
  <c r="H50" i="2"/>
  <c r="I28" i="2"/>
  <c r="G26" i="2"/>
  <c r="H28" i="2"/>
  <c r="H10" i="2"/>
  <c r="K30" i="2"/>
  <c r="L30" i="2"/>
  <c r="G5" i="2"/>
  <c r="H25" i="2"/>
  <c r="K33" i="2"/>
  <c r="G40" i="2"/>
  <c r="I5" i="2"/>
  <c r="I23" i="2"/>
  <c r="H26" i="2"/>
  <c r="M7" i="2"/>
  <c r="L28" i="2"/>
  <c r="L9" i="2"/>
  <c r="M38" i="2"/>
  <c r="L99" i="2"/>
  <c r="M33" i="2"/>
  <c r="G29" i="2"/>
  <c r="K14" i="2"/>
  <c r="K31" i="2"/>
  <c r="G99" i="2"/>
  <c r="I9" i="2"/>
  <c r="G50" i="2"/>
  <c r="M26" i="2"/>
  <c r="H40" i="2"/>
  <c r="K45" i="2"/>
  <c r="I40" i="2"/>
  <c r="I7" i="2"/>
  <c r="C5" i="5"/>
  <c r="I34" i="2"/>
  <c r="M43" i="2"/>
  <c r="G36" i="2"/>
  <c r="G31" i="2"/>
  <c r="G43" i="2"/>
  <c r="I25" i="2"/>
  <c r="M50" i="2"/>
  <c r="K24" i="2"/>
  <c r="K98" i="2"/>
  <c r="I43" i="2"/>
  <c r="H98" i="2"/>
  <c r="G14" i="2"/>
  <c r="M97" i="2"/>
  <c r="H32" i="2"/>
  <c r="L6" i="2"/>
  <c r="G33" i="2"/>
  <c r="M10" i="2"/>
  <c r="L45" i="2"/>
  <c r="L34" i="2"/>
  <c r="M22" i="2"/>
  <c r="G38" i="2"/>
  <c r="I31" i="2"/>
  <c r="L33" i="2"/>
  <c r="K10" i="2"/>
  <c r="I49" i="2"/>
  <c r="M28" i="2"/>
  <c r="G98" i="2"/>
  <c r="G34" i="2"/>
  <c r="M14" i="2"/>
  <c r="H24" i="2"/>
  <c r="G6" i="2"/>
  <c r="H21" i="2"/>
  <c r="G25" i="2"/>
  <c r="M45" i="2"/>
  <c r="K29" i="2"/>
  <c r="H94" i="2"/>
  <c r="M99" i="2"/>
  <c r="M47" i="2"/>
  <c r="L21" i="2"/>
  <c r="H34" i="2"/>
  <c r="H36" i="2"/>
  <c r="I30" i="2"/>
  <c r="K21" i="2"/>
  <c r="G22" i="2"/>
  <c r="M21" i="2"/>
  <c r="H38" i="2"/>
  <c r="L37" i="2"/>
  <c r="L5" i="2"/>
  <c r="I26" i="2"/>
  <c r="C16" i="5"/>
  <c r="K99" i="2"/>
  <c r="G97" i="2"/>
  <c r="M5" i="2"/>
  <c r="I37" i="2"/>
  <c r="I21" i="2"/>
  <c r="M25" i="2"/>
  <c r="K7" i="2"/>
  <c r="K40" i="2"/>
  <c r="M98" i="2"/>
  <c r="I32" i="2"/>
  <c r="K9" i="2"/>
  <c r="L94" i="2"/>
  <c r="H9" i="2"/>
  <c r="H33" i="2"/>
  <c r="L40" i="2"/>
  <c r="K5" i="2"/>
  <c r="H14" i="2"/>
  <c r="I98" i="2"/>
  <c r="M30" i="2"/>
  <c r="C7" i="5"/>
  <c r="K6" i="2"/>
  <c r="C10" i="5"/>
  <c r="G28" i="2"/>
  <c r="K43" i="2"/>
  <c r="I38" i="2"/>
  <c r="H49" i="2"/>
  <c r="G37" i="2"/>
  <c r="L36" i="2"/>
  <c r="K26" i="2"/>
  <c r="G45" i="2"/>
  <c r="L24" i="2"/>
  <c r="H22" i="2"/>
  <c r="H31" i="2"/>
  <c r="I94" i="2"/>
  <c r="L97" i="2"/>
  <c r="M49" i="2"/>
  <c r="I6" i="2"/>
  <c r="M34" i="2"/>
  <c r="L10" i="2"/>
  <c r="M94" i="2"/>
  <c r="G10" i="2"/>
  <c r="M23" i="2"/>
  <c r="L43" i="2"/>
  <c r="L29" i="2"/>
  <c r="L22" i="2"/>
  <c r="L31" i="2"/>
  <c r="H23" i="2"/>
  <c r="H6" i="2"/>
  <c r="K32" i="2"/>
  <c r="K49" i="2"/>
  <c r="M32" i="2"/>
  <c r="H99" i="2"/>
  <c r="H7" i="2"/>
  <c r="K38" i="2"/>
  <c r="C8" i="5"/>
  <c r="L23" i="2"/>
  <c r="G49" i="2"/>
  <c r="I36" i="2"/>
  <c r="K37" i="2"/>
  <c r="G30" i="2"/>
  <c r="G23" i="2"/>
  <c r="L7" i="2"/>
  <c r="I24" i="2"/>
  <c r="K50" i="2"/>
  <c r="I50" i="2"/>
  <c r="G32" i="2"/>
  <c r="L32" i="2"/>
  <c r="K34" i="2"/>
  <c r="I99" i="2"/>
  <c r="M29" i="2"/>
  <c r="M40" i="2"/>
  <c r="H1717" i="1" l="1"/>
  <c r="E84" i="2"/>
  <c r="O55" i="2"/>
  <c r="E55" i="2"/>
  <c r="E89" i="2"/>
  <c r="O89" i="2"/>
  <c r="O17"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8" i="2"/>
  <c r="O86" i="2"/>
  <c r="O20" i="2"/>
  <c r="O90" i="2"/>
  <c r="O91" i="2"/>
  <c r="O92" i="2"/>
  <c r="O87" i="2"/>
  <c r="E87"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6"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93" i="2"/>
  <c r="E93" i="2"/>
  <c r="F92" i="2"/>
  <c r="E92" i="2"/>
  <c r="F91" i="2"/>
  <c r="E91" i="2"/>
  <c r="F90" i="2"/>
  <c r="E90"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20" i="2"/>
  <c r="E20" i="2"/>
  <c r="F53" i="2"/>
  <c r="E53" i="2"/>
  <c r="F51" i="2"/>
  <c r="E51" i="2"/>
  <c r="F17" i="2"/>
  <c r="E17" i="2"/>
  <c r="F85" i="2"/>
  <c r="E85"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19"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5" i="2"/>
  <c r="E13" i="2"/>
  <c r="E83" i="2"/>
  <c r="E82" i="2"/>
  <c r="E81" i="2"/>
  <c r="E80" i="2"/>
  <c r="E79" i="2"/>
  <c r="E78" i="2"/>
  <c r="E77" i="2"/>
  <c r="E76" i="2"/>
  <c r="E75" i="2"/>
  <c r="E74" i="2"/>
  <c r="E73" i="2"/>
  <c r="E72" i="2"/>
  <c r="E71" i="2"/>
  <c r="E70" i="2"/>
  <c r="E69" i="2"/>
  <c r="E68" i="2"/>
  <c r="E67" i="2"/>
  <c r="E12" i="2"/>
  <c r="E66" i="2"/>
  <c r="E65" i="2"/>
  <c r="E64" i="2"/>
  <c r="E48" i="2"/>
  <c r="E63" i="2"/>
  <c r="E62" i="2"/>
  <c r="E61" i="2"/>
  <c r="E60" i="2"/>
  <c r="E59" i="2"/>
  <c r="E58" i="2"/>
  <c r="E57" i="2"/>
  <c r="E56" i="2"/>
  <c r="E96" i="2"/>
  <c r="E54" i="2"/>
  <c r="E95" i="2"/>
  <c r="E15" i="2"/>
  <c r="E52"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16" i="2"/>
  <c r="E46" i="2"/>
  <c r="E44"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42" i="2"/>
  <c r="E41"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11" i="2"/>
  <c r="E27" i="2"/>
  <c r="E8" i="2"/>
  <c r="E39" i="2"/>
  <c r="E18"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23" i="2"/>
  <c r="O23" i="2" s="1"/>
  <c r="J32" i="2"/>
  <c r="F32" i="2" s="1"/>
  <c r="N7" i="2"/>
  <c r="O7" i="2" s="1"/>
  <c r="J14" i="2"/>
  <c r="F14" i="2" s="1"/>
  <c r="J10" i="2"/>
  <c r="F10" i="2" s="1"/>
  <c r="N97" i="2"/>
  <c r="O97" i="2" s="1"/>
  <c r="J45" i="2"/>
  <c r="F45" i="2" s="1"/>
  <c r="J34" i="2"/>
  <c r="F34" i="2" s="1"/>
  <c r="J94" i="2"/>
  <c r="F94" i="2" s="1"/>
  <c r="J26" i="2"/>
  <c r="F26" i="2" s="1"/>
  <c r="N10" i="2"/>
  <c r="O10" i="2" s="1"/>
  <c r="N14" i="2"/>
  <c r="O14" i="2" s="1"/>
  <c r="N43" i="2"/>
  <c r="O43" i="2" s="1"/>
  <c r="N9" i="2"/>
  <c r="O9" i="2" s="1"/>
  <c r="J36" i="2"/>
  <c r="F36" i="2" s="1"/>
  <c r="N49" i="2"/>
  <c r="O49" i="2" s="1"/>
  <c r="N32" i="2"/>
  <c r="O32" i="2" s="1"/>
  <c r="N94" i="2"/>
  <c r="O94" i="2" s="1"/>
  <c r="N21" i="2"/>
  <c r="O21" i="2" s="1"/>
  <c r="N45" i="2"/>
  <c r="O45" i="2" s="1"/>
  <c r="N50" i="2"/>
  <c r="O50" i="2" s="1"/>
  <c r="J99" i="2"/>
  <c r="F99" i="2" s="1"/>
  <c r="N22" i="2"/>
  <c r="O22" i="2" s="1"/>
  <c r="N33" i="2"/>
  <c r="O33" i="2" s="1"/>
  <c r="J50" i="2"/>
  <c r="F50" i="2" s="1"/>
  <c r="N30" i="2"/>
  <c r="O30" i="2" s="1"/>
  <c r="J30" i="2"/>
  <c r="F30" i="2" s="1"/>
  <c r="J43" i="2"/>
  <c r="F43" i="2" s="1"/>
  <c r="J33" i="2"/>
  <c r="F33" i="2" s="1"/>
  <c r="J21" i="2"/>
  <c r="F21" i="2" s="1"/>
  <c r="N29" i="2"/>
  <c r="O29" i="2" s="1"/>
  <c r="J29" i="2"/>
  <c r="F29" i="2" s="1"/>
  <c r="N37" i="2"/>
  <c r="O37" i="2" s="1"/>
  <c r="J37" i="2"/>
  <c r="F37" i="2" s="1"/>
  <c r="N38" i="2"/>
  <c r="O38" i="2" s="1"/>
  <c r="J38" i="2"/>
  <c r="F38" i="2" s="1"/>
  <c r="N28" i="2"/>
  <c r="O28" i="2" s="1"/>
  <c r="N5" i="2"/>
  <c r="O5" i="2" s="1"/>
  <c r="N26" i="2"/>
  <c r="O26" i="2" s="1"/>
  <c r="J31" i="2"/>
  <c r="F31" i="2" s="1"/>
  <c r="N99" i="2"/>
  <c r="O99" i="2" s="1"/>
  <c r="N25" i="2"/>
  <c r="O25" i="2" s="1"/>
  <c r="N31" i="2"/>
  <c r="O31" i="2" s="1"/>
  <c r="J28" i="2"/>
  <c r="F28" i="2" s="1"/>
  <c r="N6" i="2"/>
  <c r="O6" i="2" s="1"/>
  <c r="N98" i="2"/>
  <c r="O98" i="2" s="1"/>
  <c r="N34" i="2"/>
  <c r="O34" i="2" s="1"/>
  <c r="N40" i="2"/>
  <c r="O40" i="2" s="1"/>
  <c r="J22" i="2"/>
  <c r="F22" i="2" s="1"/>
  <c r="N24" i="2"/>
  <c r="O24" i="2" s="1"/>
  <c r="N36" i="2"/>
  <c r="O36" i="2" s="1"/>
  <c r="N47" i="2"/>
  <c r="O47" i="2" s="1"/>
  <c r="J23" i="2"/>
  <c r="F23"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97" i="2"/>
  <c r="F97" i="2" s="1"/>
  <c r="J40" i="2"/>
  <c r="F40" i="2" s="1"/>
  <c r="J9" i="2"/>
  <c r="F9" i="2" s="1"/>
  <c r="J7" i="2"/>
  <c r="F7" i="2" s="1"/>
  <c r="J6" i="2"/>
  <c r="F6" i="2" s="1"/>
  <c r="J25" i="2"/>
  <c r="F25" i="2" s="1"/>
  <c r="J47" i="2"/>
  <c r="F47" i="2" s="1"/>
  <c r="J98" i="2"/>
  <c r="F98" i="2" s="1"/>
  <c r="J5" i="2"/>
  <c r="F5" i="2" s="1"/>
  <c r="J24" i="2"/>
  <c r="F24" i="2" s="1"/>
  <c r="J49" i="2"/>
  <c r="F49" i="2" s="1"/>
  <c r="C13" i="5"/>
  <c r="D9" i="5"/>
  <c r="G20" i="5"/>
  <c r="G17" i="5"/>
  <c r="G19" i="5"/>
  <c r="G16" i="5"/>
  <c r="G18" i="5"/>
  <c r="G21" i="5" s="1"/>
  <c r="P84" i="2" l="1"/>
  <c r="P55" i="2"/>
  <c r="P89" i="2"/>
  <c r="P88" i="2"/>
  <c r="P87" i="2"/>
  <c r="P86" i="2"/>
  <c r="P93" i="2"/>
  <c r="P92" i="2"/>
  <c r="P91" i="2"/>
  <c r="P90" i="2"/>
  <c r="P20" i="2"/>
  <c r="P51" i="2"/>
  <c r="P53" i="2"/>
  <c r="P17" i="2"/>
  <c r="P85" i="2"/>
  <c r="P19" i="2"/>
  <c r="P35" i="2"/>
  <c r="P83" i="2"/>
  <c r="P13" i="2"/>
  <c r="P81" i="2"/>
  <c r="P82" i="2"/>
  <c r="P79" i="2"/>
  <c r="P80" i="2"/>
  <c r="P77" i="2"/>
  <c r="P78" i="2"/>
  <c r="P76" i="2"/>
  <c r="P73" i="2"/>
  <c r="P75" i="2"/>
  <c r="P74" i="2"/>
  <c r="P71" i="2"/>
  <c r="P72" i="2"/>
  <c r="P69" i="2"/>
  <c r="P70" i="2"/>
  <c r="P67" i="2"/>
  <c r="P68" i="2"/>
  <c r="P66" i="2"/>
  <c r="P12" i="2"/>
  <c r="P64" i="2"/>
  <c r="P65" i="2"/>
  <c r="P63" i="2"/>
  <c r="P48" i="2"/>
  <c r="P61" i="2"/>
  <c r="P62" i="2"/>
  <c r="P59" i="2"/>
  <c r="P60" i="2"/>
  <c r="P57" i="2"/>
  <c r="P58" i="2"/>
  <c r="P96" i="2"/>
  <c r="P56" i="2"/>
  <c r="P95" i="2"/>
  <c r="P54" i="2"/>
  <c r="P52" i="2"/>
  <c r="P15" i="2"/>
  <c r="P16" i="2"/>
  <c r="P46" i="2"/>
  <c r="P44" i="2"/>
  <c r="E14" i="2"/>
  <c r="P41" i="2"/>
  <c r="P42" i="2"/>
  <c r="E38" i="2"/>
  <c r="P11" i="2"/>
  <c r="E30" i="2"/>
  <c r="E36" i="2"/>
  <c r="P27" i="2"/>
  <c r="P8" i="2"/>
  <c r="P39" i="2"/>
  <c r="E10" i="2"/>
  <c r="E34" i="2"/>
  <c r="E31" i="2"/>
  <c r="E45" i="2"/>
  <c r="E50" i="2"/>
  <c r="P18" i="2"/>
  <c r="E33" i="2"/>
  <c r="E94" i="2"/>
  <c r="E43" i="2"/>
  <c r="E23" i="2"/>
  <c r="E32" i="2"/>
  <c r="E26" i="2"/>
  <c r="E22" i="2"/>
  <c r="E21" i="2"/>
  <c r="E37" i="2"/>
  <c r="E28" i="2"/>
  <c r="E99" i="2"/>
  <c r="E29" i="2"/>
  <c r="P29" i="2"/>
  <c r="P38" i="2"/>
  <c r="P21" i="2"/>
  <c r="P37" i="2"/>
  <c r="P28" i="2"/>
  <c r="P36" i="2"/>
  <c r="P30" i="2"/>
  <c r="P43" i="2"/>
  <c r="P99" i="2"/>
  <c r="P26" i="2"/>
  <c r="P10" i="2"/>
  <c r="P22" i="2"/>
  <c r="P33" i="2"/>
  <c r="P14" i="2"/>
  <c r="P32" i="2"/>
  <c r="P23" i="2"/>
  <c r="P94" i="2"/>
  <c r="P50" i="2"/>
  <c r="P45" i="2"/>
  <c r="P34" i="2"/>
  <c r="P31" i="2"/>
  <c r="E24" i="2"/>
  <c r="E9" i="2"/>
  <c r="E40" i="2"/>
  <c r="E47" i="2"/>
  <c r="E6" i="2"/>
  <c r="E25" i="2"/>
  <c r="E5" i="2"/>
  <c r="E49"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7" i="2"/>
  <c r="E97" i="2"/>
  <c r="D10" i="5"/>
  <c r="D7" i="5"/>
  <c r="D6" i="5"/>
  <c r="D5" i="5"/>
  <c r="E98" i="2"/>
  <c r="C14" i="5"/>
  <c r="D84" i="2" l="1"/>
  <c r="C84" i="2" s="1"/>
  <c r="D89" i="2"/>
  <c r="C89" i="2" s="1"/>
  <c r="D55" i="2"/>
  <c r="C55" i="2" s="1"/>
  <c r="D87" i="2"/>
  <c r="C87" i="2" s="1"/>
  <c r="D88" i="2"/>
  <c r="C88" i="2" s="1"/>
  <c r="D86" i="2"/>
  <c r="C86" i="2" s="1"/>
  <c r="D93" i="2"/>
  <c r="C93" i="2" s="1"/>
  <c r="D92" i="2"/>
  <c r="C92" i="2" s="1"/>
  <c r="D91" i="2"/>
  <c r="C91" i="2" s="1"/>
  <c r="D90" i="2"/>
  <c r="C90" i="2" s="1"/>
  <c r="D20" i="2"/>
  <c r="C20" i="2" s="1"/>
  <c r="D51" i="2"/>
  <c r="C51" i="2" s="1"/>
  <c r="D53" i="2"/>
  <c r="C53" i="2" s="1"/>
  <c r="D85" i="2"/>
  <c r="C85" i="2" s="1"/>
  <c r="D17" i="2"/>
  <c r="C17" i="2" s="1"/>
  <c r="D19" i="2"/>
  <c r="C19" i="2" s="1"/>
  <c r="D13" i="2"/>
  <c r="C13" i="2" s="1"/>
  <c r="D35" i="2"/>
  <c r="C35" i="2" s="1"/>
  <c r="D82" i="2"/>
  <c r="C82" i="2" s="1"/>
  <c r="D83" i="2"/>
  <c r="C83" i="2" s="1"/>
  <c r="D80" i="2"/>
  <c r="C80" i="2" s="1"/>
  <c r="D81" i="2"/>
  <c r="C8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12" i="2"/>
  <c r="C12" i="2" s="1"/>
  <c r="D67" i="2"/>
  <c r="C67" i="2" s="1"/>
  <c r="D65" i="2"/>
  <c r="C65" i="2" s="1"/>
  <c r="D66" i="2"/>
  <c r="C66" i="2" s="1"/>
  <c r="D64" i="2"/>
  <c r="C64" i="2" s="1"/>
  <c r="D63" i="2"/>
  <c r="C63" i="2" s="1"/>
  <c r="D48" i="2"/>
  <c r="C48" i="2" s="1"/>
  <c r="D61" i="2"/>
  <c r="C61" i="2" s="1"/>
  <c r="D62" i="2"/>
  <c r="C62" i="2" s="1"/>
  <c r="D59" i="2"/>
  <c r="C59" i="2" s="1"/>
  <c r="D60" i="2"/>
  <c r="C60" i="2" s="1"/>
  <c r="D57" i="2"/>
  <c r="C57" i="2" s="1"/>
  <c r="D58" i="2"/>
  <c r="C58" i="2" s="1"/>
  <c r="D96" i="2"/>
  <c r="C96" i="2" s="1"/>
  <c r="D56" i="2"/>
  <c r="C56" i="2" s="1"/>
  <c r="D95" i="2"/>
  <c r="C95" i="2" s="1"/>
  <c r="D54" i="2"/>
  <c r="C54" i="2" s="1"/>
  <c r="D52" i="2"/>
  <c r="C52" i="2" s="1"/>
  <c r="D15" i="2"/>
  <c r="C15" i="2" s="1"/>
  <c r="D16" i="2"/>
  <c r="C16" i="2" s="1"/>
  <c r="D46" i="2"/>
  <c r="C46" i="2" s="1"/>
  <c r="D44" i="2"/>
  <c r="C44" i="2" s="1"/>
  <c r="D42" i="2"/>
  <c r="C42" i="2" s="1"/>
  <c r="D41" i="2"/>
  <c r="C41" i="2" s="1"/>
  <c r="D11" i="2"/>
  <c r="C11" i="2" s="1"/>
  <c r="D27" i="2"/>
  <c r="C27" i="2" s="1"/>
  <c r="D8" i="2"/>
  <c r="C8" i="2" s="1"/>
  <c r="D39" i="2"/>
  <c r="C39" i="2" s="1"/>
  <c r="D18" i="2"/>
  <c r="C18" i="2" s="1"/>
  <c r="D29" i="2"/>
  <c r="C29" i="2" s="1"/>
  <c r="D38" i="2"/>
  <c r="C38" i="2" s="1"/>
  <c r="D21" i="2"/>
  <c r="C21" i="2" s="1"/>
  <c r="D37" i="2"/>
  <c r="C37" i="2" s="1"/>
  <c r="D28" i="2"/>
  <c r="C28" i="2" s="1"/>
  <c r="D36" i="2"/>
  <c r="C36" i="2" s="1"/>
  <c r="D30" i="2"/>
  <c r="C30" i="2" s="1"/>
  <c r="D43" i="2"/>
  <c r="C43" i="2" s="1"/>
  <c r="D99" i="2"/>
  <c r="C99" i="2" s="1"/>
  <c r="D26" i="2"/>
  <c r="C26" i="2" s="1"/>
  <c r="D10" i="2"/>
  <c r="C10" i="2" s="1"/>
  <c r="D22" i="2"/>
  <c r="C22" i="2" s="1"/>
  <c r="D32" i="2"/>
  <c r="C32" i="2" s="1"/>
  <c r="D33" i="2"/>
  <c r="C33" i="2" s="1"/>
  <c r="D14" i="2"/>
  <c r="C14" i="2" s="1"/>
  <c r="D23" i="2"/>
  <c r="C23" i="2" s="1"/>
  <c r="D94" i="2"/>
  <c r="C94" i="2" s="1"/>
  <c r="D50" i="2"/>
  <c r="C50" i="2" s="1"/>
  <c r="D45" i="2"/>
  <c r="C45" i="2" s="1"/>
  <c r="D34" i="2"/>
  <c r="C34" i="2" s="1"/>
  <c r="D31" i="2"/>
  <c r="C31" i="2" s="1"/>
  <c r="D5" i="2"/>
  <c r="C15" i="5"/>
  <c r="D40" i="2"/>
  <c r="D7" i="2"/>
  <c r="D47" i="2"/>
  <c r="D25" i="2"/>
  <c r="D49" i="2"/>
  <c r="D9" i="2"/>
  <c r="D6" i="2"/>
  <c r="D24" i="2"/>
  <c r="D98" i="2"/>
  <c r="D97" i="2"/>
  <c r="G7" i="5"/>
  <c r="G5" i="5"/>
  <c r="G8" i="5" s="1"/>
  <c r="G6" i="5"/>
  <c r="G13" i="5"/>
  <c r="P25" i="2" l="1"/>
  <c r="C25" i="2" s="1"/>
  <c r="P97" i="2"/>
  <c r="C97" i="2" s="1"/>
  <c r="P49" i="2"/>
  <c r="C49" i="2" s="1"/>
  <c r="P7" i="2"/>
  <c r="C7" i="2" s="1"/>
  <c r="P98" i="2"/>
  <c r="C98" i="2" s="1"/>
  <c r="P47" i="2"/>
  <c r="C47" i="2" s="1"/>
  <c r="P40" i="2"/>
  <c r="C40" i="2" s="1"/>
  <c r="P6" i="2"/>
  <c r="C6" i="2" s="1"/>
  <c r="P9" i="2"/>
  <c r="C9" i="2" s="1"/>
  <c r="P5" i="2"/>
  <c r="C5" i="2" s="1"/>
  <c r="P24" i="2"/>
  <c r="C24"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<sst xmlns="http://schemas.openxmlformats.org/spreadsheetml/2006/main" count="33452" uniqueCount="608">
  <si>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</si>
  <si>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</si>
  <si>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</si>
  <si>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</si>
  <si>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</si>
  <si>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</si>
  <si>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</si>
  <si>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</si>
  <si>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</si>
  <si>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</si>
  <si>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</si>
  <si>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</si>
  <si>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</si>
  <si>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</si>
  <si>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</si>
  <si>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</si>
  <si>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</si>
  <si>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</si>
  <si>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</si>
  <si>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</si>
  <si>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</si>
  <si>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</si>
  <si>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</si>
  <si>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</si>
  <si>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</si>
  <si>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</si>
  <si>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</si>
  <si>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</si>
  <si>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</si>
  <si>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</si>
  <si>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</si>
  <si>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</si>
  <si>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</si>
  <si>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</si>
  <si>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</si>
  <si>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</si>
  <si>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</si>
  <si>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</si>
  <si>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</si>
  <si>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</si>
  <si>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</si>
  <si>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</si>
  <si>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</si>
  <si>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</si>
  <si>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</si>
  <si>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</si>
  <si>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</si>
  <si>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</si>
  <si>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</si>
  <si>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</si>
  <si>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</si>
  <si>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</si>
  <si>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</si>
  <si>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</si>
  <si>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</si>
  <si>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</si>
  <si>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</si>
  <si>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</si>
  <si>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</si>
  <si>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</si>
  <si>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</si>
  <si>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</si>
  <si>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</si>
  <si>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</si>
  <si>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</si>
  <si>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</si>
  <si>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</si>
  <si>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</si>
  <si>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</si>
  <si>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</si>
  <si>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</si>
  <si>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</si>
  <si>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</si>
  <si>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</si>
  <si>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</si>
  <si>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</si>
  <si>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</si>
  <si>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</si>
  <si>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</si>
  <si>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</si>
  <si>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</si>
  <si>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</si>
  <si>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</si>
  <si>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</si>
  <si>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</si>
  <si>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</si>
  <si>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</si>
  <si>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</si>
  <si>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</si>
  <si>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</si>
  <si>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</si>
  <si>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</si>
  <si>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</si>
  <si>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</si>
  <si>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</si>
  <si>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</si>
  <si>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</si>
  <si>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</si>
  <si>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</si>
  <si>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</si>
  <si>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</si>
  <si>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</si>
  <si>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</si>
  <si>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</si>
  <si>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</si>
  <si>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</si>
  <si>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</si>
  <si>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</si>
  <si>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</si>
  <si>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</si>
  <si>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</si>
  <si>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</si>
  <si>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</si>
  <si>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</si>
  <si>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</si>
  <si>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</si>
  <si>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</si>
  <si>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</si>
  <si>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</si>
  <si>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</si>
  <si>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</si>
  <si>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</si>
  <si>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</si>
  <si>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</si>
  <si>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</si>
  <si>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</si>
  <si>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</si>
  <si>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</si>
  <si>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</si>
  <si>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</si>
  <si>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</si>
  <si>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</si>
  <si>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</si>
  <si>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</si>
  <si>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</si>
  <si>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</si>
  <si>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</si>
  <si>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</si>
  <si>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</si>
  <si>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</si>
  <si>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</si>
  <si>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</si>
  <si>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</si>
  <si>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</si>
  <si>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</si>
  <si>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</si>
  <si>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</si>
  <si>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</si>
  <si>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</si>
  <si>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</si>
  <si>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</si>
  <si>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</si>
  <si>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</si>
  <si>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</si>
  <si>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</si>
  <si>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</si>
  <si>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</si>
  <si>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</si>
  <si>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</si>
  <si>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</si>
  <si>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</si>
  <si>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</si>
  <si>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</si>
  <si>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</si>
  <si>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</si>
  <si>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</si>
  <si>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</si>
  <si>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</si>
  <si>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</si>
  <si>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</si>
  <si>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</si>
  <si>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</si>
  <si>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</si>
  <si>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</si>
  <si>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</si>
  <si>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</si>
  <si>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</si>
  <si>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</si>
  <si>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</si>
  <si>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</si>
  <si>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</si>
  <si>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</si>
  <si>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</si>
  <si>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</si>
  <si>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</si>
  <si>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</si>
  <si>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</si>
  <si>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</si>
  <si>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</si>
  <si>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</si>
  <si>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</si>
  <si>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</si>
  <si>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</si>
  <si>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</si>
  <si>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</si>
  <si>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</si>
  <si>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</si>
  <si>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</si>
  <si>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</si>
  <si>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</si>
  <si>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</si>
  <si>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</si>
  <si>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</si>
  <si>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</si>
  <si>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</si>
  <si>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</si>
  <si>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</si>
  <si>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</si>
  <si>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</si>
  <si>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</si>
  <si>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</si>
  <si>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</si>
  <si>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</si>
  <si>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</si>
  <si>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</si>
  <si>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</si>
  <si>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</si>
  <si>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</si>
  <si>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</si>
  <si>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</si>
  <si>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</si>
  <si>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</si>
  <si>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</si>
  <si>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</si>
  <si>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</si>
  <si>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</si>
  <si>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</si>
  <si>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</si>
  <si>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</si>
  <si>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</si>
  <si>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</si>
  <si>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</si>
  <si>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</si>
  <si>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</si>
  <si>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</si>
  <si>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</si>
  <si>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</si>
  <si>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</si>
  <si>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</si>
  <si>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</si>
  <si>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</si>
  <si>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</si>
  <si>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</si>
  <si>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</si>
  <si>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</si>
  <si>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</si>
  <si>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</si>
  <si>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</si>
  <si>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</si>
  <si>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</si>
  <si>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</si>
  <si>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</si>
  <si>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</si>
  <si>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</si>
  <si>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</si>
  <si>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</si>
  <si>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</si>
  <si>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</si>
  <si>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</si>
  <si>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</si>
  <si>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</si>
  <si>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</si>
  <si>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</si>
  <si>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</si>
  <si>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</si>
  <si>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</si>
  <si>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</si>
  <si>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</si>
  <si>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</si>
  <si>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</si>
  <si>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</si>
  <si>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</si>
  <si>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</si>
  <si>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</si>
  <si>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</si>
  <si>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</si>
  <si>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</si>
  <si>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</si>
  <si>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</si>
  <si>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</si>
  <si>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</si>
  <si>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</si>
  <si>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</si>
  <si>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</si>
  <si>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</si>
  <si>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</si>
  <si>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</si>
  <si>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</si>
  <si>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</si>
  <si>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</si>
  <si>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</si>
  <si>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</si>
  <si>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</si>
  <si>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</si>
  <si>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</si>
  <si>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</si>
  <si>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</si>
  <si>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</si>
  <si>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</si>
  <si>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</si>
  <si>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</si>
  <si>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</si>
  <si>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</si>
  <si>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</si>
  <si>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</si>
  <si>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</si>
  <si>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</si>
  <si>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</si>
  <si>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</si>
  <si>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</si>
  <si>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</si>
  <si>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</si>
  <si>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</si>
  <si>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</si>
  <si>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</si>
  <si>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</si>
  <si>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</si>
  <si>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</si>
  <si>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</si>
  <si>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</si>
  <si>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</si>
  <si>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</si>
  <si>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</si>
  <si>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</si>
  <si>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</si>
  <si>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</si>
  <si>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</si>
  <si>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</si>
  <si>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</si>
  <si>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</si>
  <si>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</si>
  <si>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</si>
  <si>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</si>
  <si>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</si>
  <si>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</si>
  <si>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</si>
  <si>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</si>
  <si>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</si>
  <si>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</si>
  <si>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</si>
  <si>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</si>
  <si>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</si>
  <si>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</si>
  <si>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</si>
  <si>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</si>
  <si>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</si>
  <si>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</si>
  <si>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</si>
  <si>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</si>
  <si>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</si>
  <si>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</si>
  <si>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</si>
  <si>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</si>
  <si>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</si>
  <si>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</si>
  <si>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</si>
  <si>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</si>
  <si>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</si>
  <si>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</si>
  <si>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</si>
  <si>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</si>
  <si>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</si>
  <si>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</si>
  <si>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</si>
  <si>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</si>
  <si>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</si>
  <si>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</si>
  <si>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</si>
  <si>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</si>
  <si>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</si>
  <si>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</si>
  <si>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</si>
  <si>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</si>
  <si>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</si>
  <si>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</si>
  <si>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</si>
  <si>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</si>
  <si>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</si>
  <si>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</si>
  <si>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</si>
  <si>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</si>
  <si>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</si>
  <si>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</si>
  <si>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</si>
  <si>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</si>
  <si>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</si>
  <si>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</si>
  <si>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</si>
  <si>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</si>
  <si>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</si>
  <si>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</si>
  <si>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</si>
  <si>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</si>
  <si>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</si>
  <si>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</si>
  <si>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</si>
  <si>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</si>
  <si>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</si>
  <si>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</si>
  <si>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</si>
  <si>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</si>
  <si>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</si>
  <si>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</si>
  <si>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</si>
  <si>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</si>
  <si>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</si>
  <si>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</si>
  <si>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</si>
  <si>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</si>
  <si>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</si>
  <si>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</si>
  <si>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</si>
  <si>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</si>
  <si>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</si>
  <si>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</si>
  <si>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</si>
  <si>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</si>
  <si>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</si>
  <si>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</si>
  <si>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</si>
  <si>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</si>
  <si>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</si>
  <si>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</si>
  <si>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</si>
  <si>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</si>
  <si>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</si>
  <si>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</si>
  <si>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</si>
  <si>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</si>
  <si>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</si>
  <si>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</si>
  <si>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</si>
  <si>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</si>
  <si>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</si>
  <si>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</si>
  <si>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</si>
  <si>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</si>
  <si>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</si>
  <si>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</si>
  <si>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</si>
  <si>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</si>
  <si>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</si>
  <si>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</si>
  <si>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</si>
  <si>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</si>
  <si>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</si>
  <si>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</si>
  <si>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</si>
  <si>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</si>
  <si>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</si>
  <si>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</si>
  <si>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</si>
  <si>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</si>
  <si>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</si>
  <si>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</si>
  <si>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</si>
  <si>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</si>
  <si>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</si>
  <si>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</si>
  <si>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</si>
  <si>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</si>
  <si>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</si>
  <si>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</si>
  <si>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</si>
  <si>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</si>
  <si>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</si>
  <si>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</si>
  <si>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</si>
  <si>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</si>
  <si>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</si>
  <si>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</si>
  <si>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</si>
  <si>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</si>
  <si>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</si>
  <si>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</si>
  <si>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</si>
  <si>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</si>
  <si>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</si>
  <si>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</si>
  <si>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</si>
  <si>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</si>
  <si>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</si>
  <si>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</si>
  <si>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</si>
  <si>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</si>
  <si>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</si>
  <si>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</si>
  <si>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</si>
  <si>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</si>
  <si>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</si>
  <si>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</si>
  <si>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</si>
  <si>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</si>
  <si>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</si>
  <si>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</si>
  <si>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</si>
  <si>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</si>
  <si>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</si>
  <si>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</si>
  <si>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</si>
  <si>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</si>
  <si>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</si>
  <si>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</si>
  <si>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</si>
  <si>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</si>
  <si>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</si>
  <si>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</si>
  <si>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</si>
  <si>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</si>
  <si>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</si>
  <si>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</si>
  <si>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</si>
  <si>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</si>
  <si>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</si>
  <si>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</si>
  <si>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</si>
  <si>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</si>
  <si>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</si>
  <si>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</si>
  <si>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</si>
  <si>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</si>
  <si>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</si>
  <si>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</si>
  <si>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</si>
  <si>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</si>
  <si>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</si>
  <si>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</si>
  <si>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</si>
  <si>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</si>
  <si>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</si>
  <si>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</si>
  <si>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</si>
  <si>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</si>
  <si>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</si>
  <si>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</si>
  <si>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</si>
  <si>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</si>
  <si>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</si>
  <si>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</si>
  <si>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 xml:space="preserve"> Eric E</t>
  </si>
  <si>
    <t>Jake D</t>
  </si>
  <si>
    <t>Paul B</t>
  </si>
  <si>
    <t>Dakota P</t>
  </si>
  <si>
    <t>Tyler B</t>
  </si>
  <si>
    <t>Arman</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</si>
  <si>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</si>
  <si>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</si>
  <si>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</si>
  <si>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</si>
  <si>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</si>
  <si>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</si>
  <si>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</si>
  <si>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</si>
  <si>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</si>
  <si>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</si>
  <si>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</si>
  <si>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</si>
  <si>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</si>
  <si>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</si>
  <si>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</si>
  <si>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</si>
  <si>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</si>
  <si>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</si>
  <si>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</si>
  <si>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</si>
  <si>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</si>
  <si>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</si>
  <si>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</si>
  <si>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</si>
  <si>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</si>
  <si>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</si>
  <si>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</si>
  <si>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</si>
  <si>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</si>
  <si>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</si>
  <si>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</si>
  <si>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</si>
  <si>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</si>
  <si>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</si>
  <si>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</si>
  <si>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</si>
  <si>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</si>
  <si>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</si>
  <si>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</si>
  <si>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</si>
  <si>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</si>
  <si>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</si>
  <si>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</si>
  <si>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</si>
  <si>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</si>
  <si>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</si>
  <si>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</si>
  <si>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</si>
  <si>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</si>
  <si>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</si>
  <si>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dave P</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</si>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</sst>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cellXfs>
  <cellStyles count="1">
    <cellStyle name="Normal" xfId="0" builtinId="0"/>
  </cellStyles>
  <dxfs count="44">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196.341482638891" createdVersion="8" refreshedVersion="8" minRefreshableVersion="3" recordCount="4944" xr:uid="{A68797AC-E72E-49CE-BBC1-16C3348D6A5F}">
  <cacheSource type="worksheet">
    <worksheetSource name="Matchups"/>
  </cacheSource>
  <cacheFields count="22">
    <cacheField name="Player" numFmtId="0">
      <sharedItems count="126">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s v="Javier"/>
        <s v="Manny"/>
        <s v="Ben"/>
        <s v="Josh"/>
        <s v="Peter"/>
        <s v="Jerimah"/>
        <s v="Mason"/>
        <s v="Jeremiah"/>
        <s v="Jonathon"/>
        <s v="Steven"/>
        <s v="Steve A-G"/>
        <s v="Vance"/>
        <s v="Nicholas"/>
        <s v="Gus"/>
        <s v="Fernado"/>
        <s v="Nick"/>
        <s v="Fernando J"/>
        <s v="Matt P"/>
        <s v="Leo C"/>
        <s v="Sage"/>
        <s v="Ethan S"/>
        <s v="Zack D"/>
        <s v="Eric E"/>
        <s v="Kevin S"/>
        <s v="Devyn"/>
        <s v="Matthew P"/>
        <s v="Tony W"/>
        <s v="Russ C"/>
        <s v="Alexander D"/>
        <s v="Nicholas S"/>
        <s v="Sean"/>
        <s v="Taylor C"/>
        <s v=" Eric E"/>
        <s v="Paul B"/>
        <s v="Edwin M"/>
        <s v="Andrew M"/>
        <s v="Lucas A"/>
        <s v="Tyler Unknown"/>
        <s v="Savi"/>
        <s v="Gavin J"/>
        <s v="Lee"/>
        <s v="Dave P"/>
        <s v="Jared B"/>
        <s v="Charlie B"/>
        <s v="Joel C"/>
        <s v="Bryce C" u="1"/>
        <s v="Mark D" u="1"/>
        <s v="Trevor S" u="1"/>
        <s v="Tyler B" u="1"/>
        <s v="Jake D"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6-23T00:00:00" count="48">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26">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s v="Manny"/>
        <s v="Ben"/>
        <s v="Josh"/>
        <s v="Peter"/>
        <s v="Jerimah"/>
        <s v="Mason"/>
        <s v="Jeremiah"/>
        <s v="Jonathon"/>
        <s v="Steven"/>
        <s v="Steve A-G"/>
        <s v="Vance"/>
        <s v="Nicholas"/>
        <s v="Gus"/>
        <s v="Fernado"/>
        <s v="Nick"/>
        <s v="Fernando J"/>
        <s v="Matt P"/>
        <s v="Sage"/>
        <s v="Ethan S"/>
        <s v="Leo C"/>
        <s v="Zack D"/>
        <s v="Eric E"/>
        <s v="Kevin S"/>
        <s v="Devyn"/>
        <s v="Matthew P"/>
        <s v="Tony W"/>
        <s v="Russ C"/>
        <s v="Nicholas S"/>
        <s v="Alexander D"/>
        <s v="Sean"/>
        <s v="Taylor C"/>
        <s v=" Eric E"/>
        <s v="Paul B"/>
        <s v="Edwin M"/>
        <s v="Andrew M"/>
        <s v="Lucas A"/>
        <s v="Tyler Unknown"/>
        <s v="Savi"/>
        <s v="Gavin J"/>
        <s v="Lee"/>
        <s v="Dave P"/>
        <s v="Jared B"/>
        <s v="Charlie B"/>
        <s v="Joel C"/>
        <s v="Bryce C" u="1"/>
        <s v="Mark D" u="1"/>
        <s v="Trevor S" u="1"/>
        <s v="Tyler B" u="1"/>
        <s v="Jake D"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6-23T00:00:00"/>
        <groupItems count="14">
          <s v="&lt;7/21/2025"/>
          <s v="Jan"/>
          <s v="Feb"/>
          <s v="Mar"/>
          <s v="Apr"/>
          <s v="May"/>
          <s v="Jun"/>
          <s v="Jul"/>
          <s v="Aug"/>
          <s v="Sep"/>
          <s v="Oct"/>
          <s v="Nov"/>
          <s v="Dec"/>
          <s v="&gt;6/23/2026"/>
        </groupItems>
      </fieldGroup>
    </cacheField>
    <cacheField name="Quarters (Date)" numFmtId="0" databaseField="0">
      <fieldGroup base="5">
        <rangePr groupBy="quarters" startDate="2025-07-21T00:00:00" endDate="2026-06-23T00:00:00"/>
        <groupItems count="6">
          <s v="&lt;7/21/2025"/>
          <s v="Qtr1"/>
          <s v="Qtr2"/>
          <s v="Qtr3"/>
          <s v="Qtr4"/>
          <s v="&gt;6/23/2026"/>
        </groupItems>
      </fieldGroup>
    </cacheField>
    <cacheField name="Years (Date)" numFmtId="0" databaseField="0">
      <fieldGroup base="5">
        <rangePr groupBy="years" startDate="2025-07-21T00:00:00" endDate="2026-06-23T00:00:00"/>
        <groupItems count="4">
          <s v="&lt;7/21/2025"/>
          <s v="2025"/>
          <s v="2026"/>
          <s v="&gt;6/23/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196.341482754629" createdVersion="8" refreshedVersion="8" minRefreshableVersion="3" recordCount="1717" xr:uid="{DC51D016-C251-461D-A8BC-322113D3679A}">
  <cacheSource type="worksheet">
    <worksheetSource name="GameLog"/>
  </cacheSource>
  <cacheFields count="11">
    <cacheField name="Player" numFmtId="0">
      <sharedItems containsBlank="1" count="140">
        <s v="Adrian"/>
        <s v="AJ"/>
        <s v="Andrew"/>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Russ C"/>
        <s v="Alexander D"/>
        <s v="Nicholas S"/>
        <s v="Sean"/>
        <s v="Taylor C"/>
        <s v=" Eric E"/>
        <s v="Paul B"/>
        <s v="Edwin M"/>
        <s v="Andrew M"/>
        <s v="Lucas A"/>
        <s v="Tyler Unknown"/>
        <s v="Savi"/>
        <s v="Gavin J"/>
        <s v="Lee"/>
        <s v="Dave P"/>
        <s v="Jared B"/>
        <s v="Joel C"/>
        <s v="Charlie B" u="1"/>
        <s v="Bryce C" u="1"/>
        <s v="Mark D" u="1"/>
        <s v="Trevor S" u="1"/>
        <s v="Tyler B" u="1"/>
        <s v="Jake D" u="1"/>
        <s v="Dakota P" u="1"/>
        <s v="Arman"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6-23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44">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4"/>
    <n v="2026"/>
    <n v="5"/>
    <s v="Previous"/>
    <x v="80"/>
    <s v="Draw"/>
    <b v="0"/>
    <n v="0"/>
    <n v="0"/>
    <n v="1"/>
    <n v="0"/>
  </r>
  <r>
    <x v="0"/>
    <s v="Draw"/>
    <n v="1"/>
    <n v="2"/>
    <n v="1"/>
    <x v="42"/>
    <s v="2|19000101|46160"/>
    <n v="4"/>
    <n v="2026"/>
    <n v="5"/>
    <s v="Previous"/>
    <x v="20"/>
    <s v="Draw"/>
    <b v="0"/>
    <n v="0"/>
    <n v="0"/>
    <n v="1"/>
    <n v="0"/>
  </r>
  <r>
    <x v="0"/>
    <s v="Draw"/>
    <n v="1"/>
    <n v="2"/>
    <n v="1"/>
    <x v="42"/>
    <s v="2|19000101|46160"/>
    <n v="4"/>
    <n v="2026"/>
    <n v="5"/>
    <s v="Previous"/>
    <x v="18"/>
    <s v="Draw"/>
    <b v="0"/>
    <n v="0"/>
    <n v="0"/>
    <n v="1"/>
    <n v="0"/>
  </r>
  <r>
    <x v="80"/>
    <s v="Draw"/>
    <n v="2"/>
    <n v="2"/>
    <n v="1"/>
    <x v="42"/>
    <s v="2|19000101|46160"/>
    <n v="4"/>
    <n v="2026"/>
    <n v="5"/>
    <s v="Previous"/>
    <x v="3"/>
    <s v="Draw"/>
    <b v="0"/>
    <n v="0"/>
    <n v="0"/>
    <n v="1"/>
    <n v="0"/>
  </r>
  <r>
    <x v="80"/>
    <s v="Draw"/>
    <n v="2"/>
    <n v="2"/>
    <n v="1"/>
    <x v="42"/>
    <s v="2|19000101|46160"/>
    <n v="4"/>
    <n v="2026"/>
    <n v="5"/>
    <s v="Previous"/>
    <x v="20"/>
    <s v="Draw"/>
    <b v="0"/>
    <n v="0"/>
    <n v="0"/>
    <n v="1"/>
    <n v="0"/>
  </r>
  <r>
    <x v="80"/>
    <s v="Draw"/>
    <n v="2"/>
    <n v="2"/>
    <n v="1"/>
    <x v="42"/>
    <s v="2|19000101|46160"/>
    <n v="4"/>
    <n v="2026"/>
    <n v="5"/>
    <s v="Previous"/>
    <x v="18"/>
    <s v="Draw"/>
    <b v="0"/>
    <n v="0"/>
    <n v="0"/>
    <n v="1"/>
    <n v="0"/>
  </r>
  <r>
    <x v="20"/>
    <s v="Draw"/>
    <n v="3"/>
    <n v="2"/>
    <n v="1"/>
    <x v="42"/>
    <s v="2|19000101|46160"/>
    <n v="4"/>
    <n v="2026"/>
    <n v="5"/>
    <s v="Previous"/>
    <x v="3"/>
    <s v="Draw"/>
    <b v="0"/>
    <n v="0"/>
    <n v="0"/>
    <n v="1"/>
    <n v="0"/>
  </r>
  <r>
    <x v="20"/>
    <s v="Draw"/>
    <n v="3"/>
    <n v="2"/>
    <n v="1"/>
    <x v="42"/>
    <s v="2|19000101|46160"/>
    <n v="4"/>
    <n v="2026"/>
    <n v="5"/>
    <s v="Previous"/>
    <x v="80"/>
    <s v="Draw"/>
    <b v="0"/>
    <n v="0"/>
    <n v="0"/>
    <n v="1"/>
    <n v="0"/>
  </r>
  <r>
    <x v="20"/>
    <s v="Draw"/>
    <n v="3"/>
    <n v="2"/>
    <n v="1"/>
    <x v="42"/>
    <s v="2|19000101|46160"/>
    <n v="4"/>
    <n v="2026"/>
    <n v="5"/>
    <s v="Previous"/>
    <x v="18"/>
    <s v="Draw"/>
    <b v="0"/>
    <n v="0"/>
    <n v="0"/>
    <n v="1"/>
    <n v="0"/>
  </r>
  <r>
    <x v="18"/>
    <s v="Draw"/>
    <n v="4"/>
    <n v="2"/>
    <n v="1"/>
    <x v="42"/>
    <s v="2|19000101|46160"/>
    <n v="4"/>
    <n v="2026"/>
    <n v="5"/>
    <s v="Previous"/>
    <x v="3"/>
    <s v="Draw"/>
    <b v="0"/>
    <n v="0"/>
    <n v="0"/>
    <n v="1"/>
    <n v="0"/>
  </r>
  <r>
    <x v="18"/>
    <s v="Draw"/>
    <n v="4"/>
    <n v="2"/>
    <n v="1"/>
    <x v="42"/>
    <s v="2|19000101|46160"/>
    <n v="4"/>
    <n v="2026"/>
    <n v="5"/>
    <s v="Previous"/>
    <x v="80"/>
    <s v="Draw"/>
    <b v="0"/>
    <n v="0"/>
    <n v="0"/>
    <n v="1"/>
    <n v="0"/>
  </r>
  <r>
    <x v="18"/>
    <s v="Draw"/>
    <n v="4"/>
    <n v="2"/>
    <n v="1"/>
    <x v="42"/>
    <s v="2|19000101|46160"/>
    <n v="4"/>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1"/>
    <s v="Draw"/>
    <n v="1"/>
    <n v="2"/>
    <n v="1"/>
    <x v="43"/>
    <s v="2|19000101|46167"/>
    <n v="4"/>
    <n v="2026"/>
    <n v="5"/>
    <s v="Previous"/>
    <x v="10"/>
    <s v="Draw"/>
    <b v="0"/>
    <n v="0"/>
    <n v="0"/>
    <n v="1"/>
    <n v="0"/>
  </r>
  <r>
    <x v="81"/>
    <s v="Draw"/>
    <n v="1"/>
    <n v="2"/>
    <n v="1"/>
    <x v="43"/>
    <s v="2|19000101|46167"/>
    <n v="4"/>
    <n v="2026"/>
    <n v="5"/>
    <s v="Previous"/>
    <x v="7"/>
    <s v="Draw"/>
    <b v="0"/>
    <n v="0"/>
    <n v="0"/>
    <n v="1"/>
    <n v="0"/>
  </r>
  <r>
    <x v="81"/>
    <s v="Draw"/>
    <n v="1"/>
    <n v="2"/>
    <n v="1"/>
    <x v="43"/>
    <s v="2|19000101|46167"/>
    <n v="4"/>
    <n v="2026"/>
    <n v="5"/>
    <s v="Previous"/>
    <x v="44"/>
    <s v="Draw"/>
    <b v="0"/>
    <n v="0"/>
    <n v="0"/>
    <n v="1"/>
    <n v="0"/>
  </r>
  <r>
    <x v="10"/>
    <s v="Draw"/>
    <n v="2"/>
    <n v="2"/>
    <n v="1"/>
    <x v="43"/>
    <s v="2|19000101|46167"/>
    <n v="4"/>
    <n v="2026"/>
    <n v="5"/>
    <s v="Previous"/>
    <x v="81"/>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1"/>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1"/>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1"/>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1"/>
    <s v="Win"/>
    <n v="2"/>
    <n v="3"/>
    <n v="2"/>
    <x v="43"/>
    <s v="3|19000102|46167"/>
    <n v="4"/>
    <n v="2026"/>
    <n v="5"/>
    <s v="Previous"/>
    <x v="14"/>
    <s v="Loss"/>
    <b v="0"/>
    <n v="1"/>
    <n v="0"/>
    <n v="0"/>
    <n v="0"/>
  </r>
  <r>
    <x v="81"/>
    <s v="Win"/>
    <n v="2"/>
    <n v="3"/>
    <n v="2"/>
    <x v="43"/>
    <s v="3|19000102|46167"/>
    <n v="4"/>
    <n v="2026"/>
    <n v="5"/>
    <s v="Previous"/>
    <x v="70"/>
    <s v="Loss"/>
    <b v="0"/>
    <n v="1"/>
    <n v="0"/>
    <n v="0"/>
    <n v="0"/>
  </r>
  <r>
    <x v="81"/>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1"/>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1"/>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82"/>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82"/>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82"/>
    <s v="Draw"/>
    <b v="0"/>
    <n v="0"/>
    <n v="0"/>
    <n v="1"/>
    <n v="0"/>
  </r>
  <r>
    <x v="82"/>
    <s v="Draw"/>
    <n v="4"/>
    <n v="2"/>
    <n v="1"/>
    <x v="44"/>
    <s v="2|19000101|46174"/>
    <n v="4"/>
    <n v="2026"/>
    <n v="6"/>
    <s v="Previous"/>
    <x v="4"/>
    <s v="Draw"/>
    <b v="0"/>
    <n v="0"/>
    <n v="0"/>
    <n v="1"/>
    <n v="0"/>
  </r>
  <r>
    <x v="82"/>
    <s v="Draw"/>
    <n v="4"/>
    <n v="2"/>
    <n v="1"/>
    <x v="44"/>
    <s v="2|19000101|46174"/>
    <n v="4"/>
    <n v="2026"/>
    <n v="6"/>
    <s v="Previous"/>
    <x v="46"/>
    <s v="Draw"/>
    <b v="0"/>
    <n v="0"/>
    <n v="0"/>
    <n v="1"/>
    <n v="0"/>
  </r>
  <r>
    <x v="8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83"/>
    <s v="Loss"/>
    <b v="0"/>
    <n v="0"/>
    <n v="1"/>
    <n v="0"/>
    <n v="0"/>
  </r>
  <r>
    <x v="14"/>
    <s v="Loss"/>
    <n v="1"/>
    <n v="4"/>
    <n v="1"/>
    <x v="44"/>
    <s v="4|19000101|46174"/>
    <n v="3"/>
    <n v="2026"/>
    <n v="6"/>
    <s v="Previous"/>
    <x v="43"/>
    <s v="Win"/>
    <b v="0"/>
    <n v="0"/>
    <n v="1"/>
    <n v="0"/>
    <n v="1"/>
  </r>
  <r>
    <x v="83"/>
    <s v="Loss"/>
    <n v="2"/>
    <n v="4"/>
    <n v="1"/>
    <x v="44"/>
    <s v="4|19000101|46174"/>
    <n v="3"/>
    <n v="2026"/>
    <n v="6"/>
    <s v="Previous"/>
    <x v="14"/>
    <s v="Loss"/>
    <b v="0"/>
    <n v="0"/>
    <n v="1"/>
    <n v="0"/>
    <n v="0"/>
  </r>
  <r>
    <x v="83"/>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83"/>
    <s v="Loss"/>
    <b v="0"/>
    <n v="1"/>
    <n v="0"/>
    <n v="0"/>
    <n v="0"/>
  </r>
  <r>
    <x v="84"/>
    <s v="Loss"/>
    <n v="1"/>
    <n v="5"/>
    <n v="1"/>
    <x v="44"/>
    <s v="5|19000101|46174"/>
    <n v="3"/>
    <n v="2026"/>
    <n v="6"/>
    <s v="Previous"/>
    <x v="70"/>
    <s v="Win"/>
    <b v="0"/>
    <n v="0"/>
    <n v="1"/>
    <n v="0"/>
    <n v="1"/>
  </r>
  <r>
    <x v="84"/>
    <s v="Loss"/>
    <n v="1"/>
    <n v="5"/>
    <n v="1"/>
    <x v="44"/>
    <s v="5|19000101|46174"/>
    <n v="3"/>
    <n v="2026"/>
    <n v="6"/>
    <s v="Previous"/>
    <x v="5"/>
    <s v="Loss"/>
    <b v="0"/>
    <n v="0"/>
    <n v="1"/>
    <n v="0"/>
    <n v="0"/>
  </r>
  <r>
    <x v="70"/>
    <s v="Win"/>
    <n v="2"/>
    <n v="5"/>
    <n v="1"/>
    <x v="44"/>
    <s v="5|19000101|46174"/>
    <n v="3"/>
    <n v="2026"/>
    <n v="6"/>
    <s v="Previous"/>
    <x v="84"/>
    <s v="Loss"/>
    <b v="0"/>
    <n v="1"/>
    <n v="0"/>
    <n v="0"/>
    <n v="0"/>
  </r>
  <r>
    <x v="70"/>
    <s v="Win"/>
    <n v="2"/>
    <n v="5"/>
    <n v="1"/>
    <x v="44"/>
    <s v="5|19000101|46174"/>
    <n v="3"/>
    <n v="2026"/>
    <n v="6"/>
    <s v="Previous"/>
    <x v="5"/>
    <s v="Loss"/>
    <b v="0"/>
    <n v="1"/>
    <n v="0"/>
    <n v="0"/>
    <n v="0"/>
  </r>
  <r>
    <x v="5"/>
    <s v="Loss"/>
    <n v="3"/>
    <n v="5"/>
    <n v="1"/>
    <x v="44"/>
    <s v="5|19000101|46174"/>
    <n v="3"/>
    <n v="2026"/>
    <n v="6"/>
    <s v="Previous"/>
    <x v="84"/>
    <s v="Loss"/>
    <b v="0"/>
    <n v="0"/>
    <n v="1"/>
    <n v="0"/>
    <n v="0"/>
  </r>
  <r>
    <x v="5"/>
    <s v="Loss"/>
    <n v="3"/>
    <n v="5"/>
    <n v="1"/>
    <x v="44"/>
    <s v="5|19000101|46174"/>
    <n v="3"/>
    <n v="2026"/>
    <n v="6"/>
    <s v="Previous"/>
    <x v="70"/>
    <s v="Win"/>
    <b v="0"/>
    <n v="0"/>
    <n v="1"/>
    <n v="0"/>
    <n v="1"/>
  </r>
  <r>
    <x v="85"/>
    <s v="Win"/>
    <n v="1"/>
    <n v="6"/>
    <n v="1"/>
    <x v="44"/>
    <s v="6|19000101|46174"/>
    <n v="3"/>
    <n v="2026"/>
    <n v="6"/>
    <s v="Previous"/>
    <x v="15"/>
    <s v="Loss"/>
    <b v="0"/>
    <n v="1"/>
    <n v="0"/>
    <n v="0"/>
    <n v="0"/>
  </r>
  <r>
    <x v="85"/>
    <s v="Win"/>
    <n v="1"/>
    <n v="6"/>
    <n v="1"/>
    <x v="44"/>
    <s v="6|19000101|46174"/>
    <n v="3"/>
    <n v="2026"/>
    <n v="6"/>
    <s v="Previous"/>
    <x v="16"/>
    <s v="Loss"/>
    <b v="0"/>
    <n v="1"/>
    <n v="0"/>
    <n v="0"/>
    <n v="0"/>
  </r>
  <r>
    <x v="15"/>
    <s v="Loss"/>
    <n v="2"/>
    <n v="6"/>
    <n v="1"/>
    <x v="44"/>
    <s v="6|19000101|46174"/>
    <n v="3"/>
    <n v="2026"/>
    <n v="6"/>
    <s v="Previous"/>
    <x v="85"/>
    <s v="Win"/>
    <b v="0"/>
    <n v="0"/>
    <n v="1"/>
    <n v="0"/>
    <n v="1"/>
  </r>
  <r>
    <x v="15"/>
    <s v="Loss"/>
    <n v="2"/>
    <n v="6"/>
    <n v="1"/>
    <x v="44"/>
    <s v="6|19000101|46174"/>
    <n v="3"/>
    <n v="2026"/>
    <n v="6"/>
    <s v="Previous"/>
    <x v="16"/>
    <s v="Loss"/>
    <b v="0"/>
    <n v="0"/>
    <n v="1"/>
    <n v="0"/>
    <n v="0"/>
  </r>
  <r>
    <x v="16"/>
    <s v="Loss"/>
    <n v="3"/>
    <n v="6"/>
    <n v="1"/>
    <x v="44"/>
    <s v="6|19000101|46174"/>
    <n v="3"/>
    <n v="2026"/>
    <n v="6"/>
    <s v="Previous"/>
    <x v="85"/>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83"/>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83"/>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83"/>
    <s v="Loss"/>
    <b v="0"/>
    <n v="0"/>
    <n v="1"/>
    <n v="0"/>
    <n v="0"/>
  </r>
  <r>
    <x v="83"/>
    <s v="Loss"/>
    <n v="4"/>
    <n v="4"/>
    <n v="2"/>
    <x v="44"/>
    <s v="4|19000102|46174"/>
    <n v="4"/>
    <n v="2026"/>
    <n v="6"/>
    <s v="Previous"/>
    <x v="70"/>
    <s v="Win"/>
    <b v="0"/>
    <n v="0"/>
    <n v="1"/>
    <n v="0"/>
    <n v="1"/>
  </r>
  <r>
    <x v="83"/>
    <s v="Loss"/>
    <n v="4"/>
    <n v="4"/>
    <n v="2"/>
    <x v="44"/>
    <s v="4|19000102|46174"/>
    <n v="4"/>
    <n v="2026"/>
    <n v="6"/>
    <s v="Previous"/>
    <x v="15"/>
    <s v="Loss"/>
    <b v="0"/>
    <n v="0"/>
    <n v="1"/>
    <n v="0"/>
    <n v="0"/>
  </r>
  <r>
    <x v="83"/>
    <s v="Loss"/>
    <n v="4"/>
    <n v="4"/>
    <n v="2"/>
    <x v="44"/>
    <s v="4|19000102|46174"/>
    <n v="4"/>
    <n v="2026"/>
    <n v="6"/>
    <s v="Previous"/>
    <x v="46"/>
    <s v="Loss"/>
    <b v="0"/>
    <n v="0"/>
    <n v="1"/>
    <n v="0"/>
    <n v="0"/>
  </r>
  <r>
    <x v="2"/>
    <s v="Loss"/>
    <n v="1"/>
    <n v="5"/>
    <n v="2"/>
    <x v="44"/>
    <s v="5|19000102|46174"/>
    <n v="4"/>
    <n v="2026"/>
    <n v="6"/>
    <s v="Previous"/>
    <x v="84"/>
    <s v="Loss"/>
    <b v="0"/>
    <n v="0"/>
    <n v="1"/>
    <n v="0"/>
    <n v="0"/>
  </r>
  <r>
    <x v="2"/>
    <s v="Loss"/>
    <n v="1"/>
    <n v="5"/>
    <n v="2"/>
    <x v="44"/>
    <s v="5|19000102|46174"/>
    <n v="4"/>
    <n v="2026"/>
    <n v="6"/>
    <s v="Previous"/>
    <x v="85"/>
    <s v="Loss"/>
    <b v="0"/>
    <n v="0"/>
    <n v="1"/>
    <n v="0"/>
    <n v="0"/>
  </r>
  <r>
    <x v="2"/>
    <s v="Loss"/>
    <n v="1"/>
    <n v="5"/>
    <n v="2"/>
    <x v="44"/>
    <s v="5|19000102|46174"/>
    <n v="4"/>
    <n v="2026"/>
    <n v="6"/>
    <s v="Previous"/>
    <x v="14"/>
    <s v="Win"/>
    <b v="0"/>
    <n v="0"/>
    <n v="1"/>
    <n v="0"/>
    <n v="1"/>
  </r>
  <r>
    <x v="84"/>
    <s v="Loss"/>
    <n v="2"/>
    <n v="5"/>
    <n v="2"/>
    <x v="44"/>
    <s v="5|19000102|46174"/>
    <n v="4"/>
    <n v="2026"/>
    <n v="6"/>
    <s v="Previous"/>
    <x v="1"/>
    <s v="Loss"/>
    <b v="0"/>
    <n v="0"/>
    <n v="1"/>
    <n v="0"/>
    <n v="0"/>
  </r>
  <r>
    <x v="84"/>
    <s v="Loss"/>
    <n v="2"/>
    <n v="5"/>
    <n v="2"/>
    <x v="44"/>
    <s v="5|19000102|46174"/>
    <n v="4"/>
    <n v="2026"/>
    <n v="6"/>
    <s v="Previous"/>
    <x v="85"/>
    <s v="Loss"/>
    <b v="0"/>
    <n v="0"/>
    <n v="1"/>
    <n v="0"/>
    <n v="0"/>
  </r>
  <r>
    <x v="84"/>
    <s v="Loss"/>
    <n v="2"/>
    <n v="5"/>
    <n v="2"/>
    <x v="44"/>
    <s v="5|19000102|46174"/>
    <n v="4"/>
    <n v="2026"/>
    <n v="6"/>
    <s v="Previous"/>
    <x v="14"/>
    <s v="Win"/>
    <b v="0"/>
    <n v="0"/>
    <n v="1"/>
    <n v="0"/>
    <n v="1"/>
  </r>
  <r>
    <x v="85"/>
    <s v="Loss"/>
    <n v="3"/>
    <n v="5"/>
    <n v="2"/>
    <x v="44"/>
    <s v="5|19000102|46174"/>
    <n v="4"/>
    <n v="2026"/>
    <n v="6"/>
    <s v="Previous"/>
    <x v="1"/>
    <s v="Loss"/>
    <b v="0"/>
    <n v="0"/>
    <n v="1"/>
    <n v="0"/>
    <n v="0"/>
  </r>
  <r>
    <x v="85"/>
    <s v="Loss"/>
    <n v="3"/>
    <n v="5"/>
    <n v="2"/>
    <x v="44"/>
    <s v="5|19000102|46174"/>
    <n v="4"/>
    <n v="2026"/>
    <n v="6"/>
    <s v="Previous"/>
    <x v="84"/>
    <s v="Loss"/>
    <b v="0"/>
    <n v="0"/>
    <n v="1"/>
    <n v="0"/>
    <n v="0"/>
  </r>
  <r>
    <x v="85"/>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4"/>
    <s v="Loss"/>
    <b v="0"/>
    <n v="1"/>
    <n v="0"/>
    <n v="0"/>
    <n v="0"/>
  </r>
  <r>
    <x v="14"/>
    <s v="Win"/>
    <n v="4"/>
    <n v="5"/>
    <n v="2"/>
    <x v="44"/>
    <s v="5|19000102|46174"/>
    <n v="4"/>
    <n v="2026"/>
    <n v="6"/>
    <s v="Previous"/>
    <x v="85"/>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1"/>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1"/>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1"/>
    <s v="Loss"/>
    <b v="0"/>
    <n v="0"/>
    <n v="1"/>
    <n v="0"/>
    <n v="0"/>
  </r>
  <r>
    <x v="81"/>
    <s v="Loss"/>
    <n v="4"/>
    <n v="2"/>
    <n v="1"/>
    <x v="45"/>
    <s v="2|19000101|46182"/>
    <n v="4"/>
    <n v="2026"/>
    <n v="6"/>
    <s v="Previous"/>
    <x v="17"/>
    <s v="Loss"/>
    <b v="0"/>
    <n v="0"/>
    <n v="1"/>
    <n v="0"/>
    <n v="0"/>
  </r>
  <r>
    <x v="81"/>
    <s v="Loss"/>
    <n v="4"/>
    <n v="2"/>
    <n v="1"/>
    <x v="45"/>
    <s v="2|19000101|46182"/>
    <n v="4"/>
    <n v="2026"/>
    <n v="6"/>
    <s v="Previous"/>
    <x v="4"/>
    <s v="Win"/>
    <b v="0"/>
    <n v="0"/>
    <n v="1"/>
    <n v="0"/>
    <n v="1"/>
  </r>
  <r>
    <x v="81"/>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6"/>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6"/>
    <s v="Loss"/>
    <b v="0"/>
    <n v="0"/>
    <n v="1"/>
    <n v="0"/>
    <n v="0"/>
  </r>
  <r>
    <x v="70"/>
    <s v="Loss"/>
    <n v="2"/>
    <n v="5"/>
    <n v="1"/>
    <x v="45"/>
    <s v="5|19000101|46182"/>
    <n v="4"/>
    <n v="2026"/>
    <n v="6"/>
    <s v="Previous"/>
    <x v="24"/>
    <s v="Loss"/>
    <b v="0"/>
    <n v="0"/>
    <n v="1"/>
    <n v="0"/>
    <n v="0"/>
  </r>
  <r>
    <x v="86"/>
    <s v="Loss"/>
    <n v="3"/>
    <n v="5"/>
    <n v="1"/>
    <x v="45"/>
    <s v="5|19000101|46182"/>
    <n v="4"/>
    <n v="2026"/>
    <n v="6"/>
    <s v="Previous"/>
    <x v="20"/>
    <s v="Win"/>
    <b v="0"/>
    <n v="0"/>
    <n v="1"/>
    <n v="0"/>
    <n v="1"/>
  </r>
  <r>
    <x v="86"/>
    <s v="Loss"/>
    <n v="3"/>
    <n v="5"/>
    <n v="1"/>
    <x v="45"/>
    <s v="5|19000101|46182"/>
    <n v="4"/>
    <n v="2026"/>
    <n v="6"/>
    <s v="Previous"/>
    <x v="70"/>
    <s v="Loss"/>
    <b v="0"/>
    <n v="0"/>
    <n v="1"/>
    <n v="0"/>
    <n v="0"/>
  </r>
  <r>
    <x v="86"/>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6"/>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1"/>
    <s v="Loss"/>
    <n v="1"/>
    <n v="4"/>
    <n v="2"/>
    <x v="45"/>
    <s v="4|19000102|46182"/>
    <n v="4"/>
    <n v="2026"/>
    <n v="6"/>
    <s v="Previous"/>
    <x v="70"/>
    <s v="Win"/>
    <b v="0"/>
    <n v="0"/>
    <n v="1"/>
    <n v="0"/>
    <n v="1"/>
  </r>
  <r>
    <x v="81"/>
    <s v="Loss"/>
    <n v="1"/>
    <n v="4"/>
    <n v="2"/>
    <x v="45"/>
    <s v="4|19000102|46182"/>
    <n v="4"/>
    <n v="2026"/>
    <n v="6"/>
    <s v="Previous"/>
    <x v="1"/>
    <s v="Loss"/>
    <b v="0"/>
    <n v="0"/>
    <n v="1"/>
    <n v="0"/>
    <n v="0"/>
  </r>
  <r>
    <x v="81"/>
    <s v="Loss"/>
    <n v="1"/>
    <n v="4"/>
    <n v="2"/>
    <x v="45"/>
    <s v="4|19000102|46182"/>
    <n v="4"/>
    <n v="2026"/>
    <n v="6"/>
    <s v="Previous"/>
    <x v="14"/>
    <s v="Loss"/>
    <b v="0"/>
    <n v="0"/>
    <n v="1"/>
    <n v="0"/>
    <n v="0"/>
  </r>
  <r>
    <x v="70"/>
    <s v="Win"/>
    <n v="2"/>
    <n v="4"/>
    <n v="2"/>
    <x v="45"/>
    <s v="4|19000102|46182"/>
    <n v="4"/>
    <n v="2026"/>
    <n v="6"/>
    <s v="Previous"/>
    <x v="81"/>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1"/>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1"/>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6"/>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6"/>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6"/>
    <s v="Loss"/>
    <b v="0"/>
    <n v="0"/>
    <n v="1"/>
    <n v="0"/>
    <n v="0"/>
  </r>
  <r>
    <x v="86"/>
    <s v="Loss"/>
    <n v="4"/>
    <n v="5"/>
    <n v="2"/>
    <x v="45"/>
    <s v="5|19000102|46182"/>
    <n v="4"/>
    <n v="2026"/>
    <n v="6"/>
    <s v="Previous"/>
    <x v="32"/>
    <s v="Loss"/>
    <b v="0"/>
    <n v="0"/>
    <n v="1"/>
    <n v="0"/>
    <n v="0"/>
  </r>
  <r>
    <x v="86"/>
    <s v="Loss"/>
    <n v="4"/>
    <n v="5"/>
    <n v="2"/>
    <x v="45"/>
    <s v="5|19000102|46182"/>
    <n v="4"/>
    <n v="2026"/>
    <n v="6"/>
    <s v="Previous"/>
    <x v="0"/>
    <s v="Win"/>
    <b v="0"/>
    <n v="0"/>
    <n v="1"/>
    <n v="0"/>
    <n v="1"/>
  </r>
  <r>
    <x v="86"/>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7"/>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7"/>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7"/>
    <s v="Loss"/>
    <b v="0"/>
    <n v="1"/>
    <n v="0"/>
    <n v="0"/>
    <n v="0"/>
  </r>
  <r>
    <x v="87"/>
    <s v="Loss"/>
    <n v="4"/>
    <n v="1"/>
    <n v="1"/>
    <x v="46"/>
    <s v="1|19000101|46188"/>
    <n v="4"/>
    <n v="2026"/>
    <n v="6"/>
    <s v="Previous"/>
    <x v="20"/>
    <s v="Loss"/>
    <b v="0"/>
    <n v="0"/>
    <n v="1"/>
    <n v="0"/>
    <n v="0"/>
  </r>
  <r>
    <x v="87"/>
    <s v="Loss"/>
    <n v="4"/>
    <n v="1"/>
    <n v="1"/>
    <x v="46"/>
    <s v="1|19000101|46188"/>
    <n v="4"/>
    <n v="2026"/>
    <n v="6"/>
    <s v="Previous"/>
    <x v="46"/>
    <s v="Loss"/>
    <b v="0"/>
    <n v="0"/>
    <n v="1"/>
    <n v="0"/>
    <n v="0"/>
  </r>
  <r>
    <x v="87"/>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88"/>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88"/>
    <s v="Loss"/>
    <b v="0"/>
    <n v="0"/>
    <n v="1"/>
    <n v="0"/>
    <n v="0"/>
  </r>
  <r>
    <x v="14"/>
    <s v="Loss"/>
    <n v="2"/>
    <n v="3"/>
    <n v="1"/>
    <x v="46"/>
    <s v="3|19000101|46188"/>
    <n v="4"/>
    <n v="2026"/>
    <n v="6"/>
    <s v="Previous"/>
    <x v="4"/>
    <s v="Win"/>
    <b v="0"/>
    <n v="0"/>
    <n v="1"/>
    <n v="0"/>
    <n v="1"/>
  </r>
  <r>
    <x v="88"/>
    <s v="Loss"/>
    <n v="3"/>
    <n v="3"/>
    <n v="1"/>
    <x v="46"/>
    <s v="3|19000101|46188"/>
    <n v="4"/>
    <n v="2026"/>
    <n v="6"/>
    <s v="Previous"/>
    <x v="34"/>
    <s v="Loss"/>
    <b v="0"/>
    <n v="0"/>
    <n v="1"/>
    <n v="0"/>
    <n v="0"/>
  </r>
  <r>
    <x v="88"/>
    <s v="Loss"/>
    <n v="3"/>
    <n v="3"/>
    <n v="1"/>
    <x v="46"/>
    <s v="3|19000101|46188"/>
    <n v="4"/>
    <n v="2026"/>
    <n v="6"/>
    <s v="Previous"/>
    <x v="14"/>
    <s v="Loss"/>
    <b v="0"/>
    <n v="0"/>
    <n v="1"/>
    <n v="0"/>
    <n v="0"/>
  </r>
  <r>
    <x v="88"/>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88"/>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88"/>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88"/>
    <s v="Loss"/>
    <n v="2"/>
    <n v="3"/>
    <n v="2"/>
    <x v="46"/>
    <s v="3|19000102|46188"/>
    <n v="4"/>
    <n v="2026"/>
    <n v="6"/>
    <s v="Previous"/>
    <x v="70"/>
    <s v="Loss"/>
    <b v="0"/>
    <n v="0"/>
    <n v="1"/>
    <n v="0"/>
    <n v="0"/>
  </r>
  <r>
    <x v="88"/>
    <s v="Loss"/>
    <n v="2"/>
    <n v="3"/>
    <n v="2"/>
    <x v="46"/>
    <s v="3|19000102|46188"/>
    <n v="4"/>
    <n v="2026"/>
    <n v="6"/>
    <s v="Previous"/>
    <x v="0"/>
    <s v="Loss"/>
    <b v="0"/>
    <n v="0"/>
    <n v="1"/>
    <n v="0"/>
    <n v="0"/>
  </r>
  <r>
    <x v="88"/>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88"/>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88"/>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7"/>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7"/>
    <s v="Loss"/>
    <b v="0"/>
    <n v="0"/>
    <n v="1"/>
    <n v="0"/>
    <n v="0"/>
  </r>
  <r>
    <x v="38"/>
    <s v="Loss"/>
    <n v="2"/>
    <n v="4"/>
    <n v="2"/>
    <x v="46"/>
    <s v="4|19000102|46188"/>
    <n v="4"/>
    <n v="2026"/>
    <n v="6"/>
    <s v="Previous"/>
    <x v="21"/>
    <s v="Win"/>
    <b v="0"/>
    <n v="0"/>
    <n v="1"/>
    <n v="0"/>
    <n v="1"/>
  </r>
  <r>
    <x v="87"/>
    <s v="Loss"/>
    <n v="3"/>
    <n v="4"/>
    <n v="2"/>
    <x v="46"/>
    <s v="4|19000102|46188"/>
    <n v="4"/>
    <n v="2026"/>
    <n v="6"/>
    <s v="Previous"/>
    <x v="18"/>
    <s v="Loss"/>
    <b v="0"/>
    <n v="0"/>
    <n v="1"/>
    <n v="0"/>
    <n v="0"/>
  </r>
  <r>
    <x v="87"/>
    <s v="Loss"/>
    <n v="3"/>
    <n v="4"/>
    <n v="2"/>
    <x v="46"/>
    <s v="4|19000102|46188"/>
    <n v="4"/>
    <n v="2026"/>
    <n v="6"/>
    <s v="Previous"/>
    <x v="38"/>
    <s v="Loss"/>
    <b v="0"/>
    <n v="0"/>
    <n v="1"/>
    <n v="0"/>
    <n v="0"/>
  </r>
  <r>
    <x v="87"/>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7"/>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7"/>
    <s v="Loss"/>
    <n v="1"/>
    <n v="1"/>
    <n v="1"/>
    <x v="47"/>
    <s v="1|19000101|46195"/>
    <n v="4"/>
    <n v="2026"/>
    <n v="6"/>
    <s v="Current"/>
    <x v="17"/>
    <s v="Loss"/>
    <b v="0"/>
    <n v="0"/>
    <n v="1"/>
    <n v="0"/>
    <n v="0"/>
  </r>
  <r>
    <x v="87"/>
    <s v="Loss"/>
    <n v="1"/>
    <n v="1"/>
    <n v="1"/>
    <x v="47"/>
    <s v="1|19000101|46195"/>
    <n v="4"/>
    <n v="2026"/>
    <n v="6"/>
    <s v="Current"/>
    <x v="4"/>
    <s v="Win"/>
    <b v="0"/>
    <n v="0"/>
    <n v="1"/>
    <n v="0"/>
    <n v="1"/>
  </r>
  <r>
    <x v="87"/>
    <s v="Loss"/>
    <n v="1"/>
    <n v="1"/>
    <n v="1"/>
    <x v="47"/>
    <s v="1|19000101|46195"/>
    <n v="4"/>
    <n v="2026"/>
    <n v="6"/>
    <s v="Current"/>
    <x v="1"/>
    <s v="Loss"/>
    <b v="0"/>
    <n v="0"/>
    <n v="1"/>
    <n v="0"/>
    <n v="0"/>
  </r>
  <r>
    <x v="17"/>
    <s v="Loss"/>
    <n v="2"/>
    <n v="1"/>
    <n v="1"/>
    <x v="47"/>
    <s v="1|19000101|46195"/>
    <n v="4"/>
    <n v="2026"/>
    <n v="6"/>
    <s v="Current"/>
    <x v="87"/>
    <s v="Loss"/>
    <b v="0"/>
    <n v="0"/>
    <n v="1"/>
    <n v="0"/>
    <n v="0"/>
  </r>
  <r>
    <x v="17"/>
    <s v="Loss"/>
    <n v="2"/>
    <n v="1"/>
    <n v="1"/>
    <x v="47"/>
    <s v="1|19000101|46195"/>
    <n v="4"/>
    <n v="2026"/>
    <n v="6"/>
    <s v="Current"/>
    <x v="4"/>
    <s v="Win"/>
    <b v="0"/>
    <n v="0"/>
    <n v="1"/>
    <n v="0"/>
    <n v="1"/>
  </r>
  <r>
    <x v="17"/>
    <s v="Loss"/>
    <n v="2"/>
    <n v="1"/>
    <n v="1"/>
    <x v="47"/>
    <s v="1|19000101|46195"/>
    <n v="4"/>
    <n v="2026"/>
    <n v="6"/>
    <s v="Current"/>
    <x v="1"/>
    <s v="Loss"/>
    <b v="0"/>
    <n v="0"/>
    <n v="1"/>
    <n v="0"/>
    <n v="0"/>
  </r>
  <r>
    <x v="4"/>
    <s v="Win"/>
    <n v="3"/>
    <n v="1"/>
    <n v="1"/>
    <x v="47"/>
    <s v="1|19000101|46195"/>
    <n v="4"/>
    <n v="2026"/>
    <n v="6"/>
    <s v="Current"/>
    <x v="87"/>
    <s v="Loss"/>
    <b v="0"/>
    <n v="1"/>
    <n v="0"/>
    <n v="0"/>
    <n v="0"/>
  </r>
  <r>
    <x v="4"/>
    <s v="Win"/>
    <n v="3"/>
    <n v="1"/>
    <n v="1"/>
    <x v="47"/>
    <s v="1|19000101|46195"/>
    <n v="4"/>
    <n v="2026"/>
    <n v="6"/>
    <s v="Current"/>
    <x v="17"/>
    <s v="Loss"/>
    <b v="0"/>
    <n v="1"/>
    <n v="0"/>
    <n v="0"/>
    <n v="0"/>
  </r>
  <r>
    <x v="4"/>
    <s v="Win"/>
    <n v="3"/>
    <n v="1"/>
    <n v="1"/>
    <x v="47"/>
    <s v="1|19000101|46195"/>
    <n v="4"/>
    <n v="2026"/>
    <n v="6"/>
    <s v="Current"/>
    <x v="1"/>
    <s v="Loss"/>
    <b v="0"/>
    <n v="1"/>
    <n v="0"/>
    <n v="0"/>
    <n v="0"/>
  </r>
  <r>
    <x v="2"/>
    <s v="Loss"/>
    <n v="4"/>
    <n v="1"/>
    <n v="1"/>
    <x v="47"/>
    <s v="1|19000101|46195"/>
    <n v="4"/>
    <n v="2026"/>
    <n v="6"/>
    <s v="Current"/>
    <x v="87"/>
    <s v="Loss"/>
    <b v="0"/>
    <n v="0"/>
    <n v="1"/>
    <n v="0"/>
    <n v="0"/>
  </r>
  <r>
    <x v="2"/>
    <s v="Loss"/>
    <n v="4"/>
    <n v="1"/>
    <n v="1"/>
    <x v="47"/>
    <s v="1|19000101|46195"/>
    <n v="4"/>
    <n v="2026"/>
    <n v="6"/>
    <s v="Current"/>
    <x v="17"/>
    <s v="Loss"/>
    <b v="0"/>
    <n v="0"/>
    <n v="1"/>
    <n v="0"/>
    <n v="0"/>
  </r>
  <r>
    <x v="2"/>
    <s v="Loss"/>
    <n v="4"/>
    <n v="1"/>
    <n v="1"/>
    <x v="47"/>
    <s v="1|19000101|46195"/>
    <n v="4"/>
    <n v="2026"/>
    <n v="6"/>
    <s v="Current"/>
    <x v="4"/>
    <s v="Win"/>
    <b v="0"/>
    <n v="0"/>
    <n v="1"/>
    <n v="0"/>
    <n v="1"/>
  </r>
  <r>
    <x v="18"/>
    <s v="Draw"/>
    <n v="1"/>
    <n v="2"/>
    <n v="1"/>
    <x v="47"/>
    <s v="2|19000101|46195"/>
    <n v="4"/>
    <n v="2026"/>
    <n v="6"/>
    <s v="Current"/>
    <x v="70"/>
    <s v="Draw"/>
    <b v="0"/>
    <n v="0"/>
    <n v="0"/>
    <n v="1"/>
    <n v="0"/>
  </r>
  <r>
    <x v="18"/>
    <s v="Draw"/>
    <n v="1"/>
    <n v="2"/>
    <n v="1"/>
    <x v="47"/>
    <s v="2|19000101|46195"/>
    <n v="4"/>
    <n v="2026"/>
    <n v="6"/>
    <s v="Current"/>
    <x v="21"/>
    <s v="Draw"/>
    <b v="0"/>
    <n v="0"/>
    <n v="0"/>
    <n v="1"/>
    <n v="0"/>
  </r>
  <r>
    <x v="18"/>
    <s v="Draw"/>
    <n v="1"/>
    <n v="2"/>
    <n v="1"/>
    <x v="47"/>
    <s v="2|19000101|46195"/>
    <n v="4"/>
    <n v="2026"/>
    <n v="6"/>
    <s v="Current"/>
    <x v="44"/>
    <s v="Draw"/>
    <b v="0"/>
    <n v="0"/>
    <n v="0"/>
    <n v="1"/>
    <n v="0"/>
  </r>
  <r>
    <x v="70"/>
    <s v="Draw"/>
    <n v="2"/>
    <n v="2"/>
    <n v="1"/>
    <x v="47"/>
    <s v="2|19000101|46195"/>
    <n v="4"/>
    <n v="2026"/>
    <n v="6"/>
    <s v="Current"/>
    <x v="18"/>
    <s v="Draw"/>
    <b v="0"/>
    <n v="0"/>
    <n v="0"/>
    <n v="1"/>
    <n v="0"/>
  </r>
  <r>
    <x v="70"/>
    <s v="Draw"/>
    <n v="2"/>
    <n v="2"/>
    <n v="1"/>
    <x v="47"/>
    <s v="2|19000101|46195"/>
    <n v="4"/>
    <n v="2026"/>
    <n v="6"/>
    <s v="Current"/>
    <x v="21"/>
    <s v="Draw"/>
    <b v="0"/>
    <n v="0"/>
    <n v="0"/>
    <n v="1"/>
    <n v="0"/>
  </r>
  <r>
    <x v="70"/>
    <s v="Draw"/>
    <n v="2"/>
    <n v="2"/>
    <n v="1"/>
    <x v="47"/>
    <s v="2|19000101|46195"/>
    <n v="4"/>
    <n v="2026"/>
    <n v="6"/>
    <s v="Current"/>
    <x v="44"/>
    <s v="Draw"/>
    <b v="0"/>
    <n v="0"/>
    <n v="0"/>
    <n v="1"/>
    <n v="0"/>
  </r>
  <r>
    <x v="21"/>
    <s v="Draw"/>
    <n v="3"/>
    <n v="2"/>
    <n v="1"/>
    <x v="47"/>
    <s v="2|19000101|46195"/>
    <n v="4"/>
    <n v="2026"/>
    <n v="6"/>
    <s v="Current"/>
    <x v="18"/>
    <s v="Draw"/>
    <b v="0"/>
    <n v="0"/>
    <n v="0"/>
    <n v="1"/>
    <n v="0"/>
  </r>
  <r>
    <x v="21"/>
    <s v="Draw"/>
    <n v="3"/>
    <n v="2"/>
    <n v="1"/>
    <x v="47"/>
    <s v="2|19000101|46195"/>
    <n v="4"/>
    <n v="2026"/>
    <n v="6"/>
    <s v="Current"/>
    <x v="70"/>
    <s v="Draw"/>
    <b v="0"/>
    <n v="0"/>
    <n v="0"/>
    <n v="1"/>
    <n v="0"/>
  </r>
  <r>
    <x v="21"/>
    <s v="Draw"/>
    <n v="3"/>
    <n v="2"/>
    <n v="1"/>
    <x v="47"/>
    <s v="2|19000101|46195"/>
    <n v="4"/>
    <n v="2026"/>
    <n v="6"/>
    <s v="Current"/>
    <x v="44"/>
    <s v="Draw"/>
    <b v="0"/>
    <n v="0"/>
    <n v="0"/>
    <n v="1"/>
    <n v="0"/>
  </r>
  <r>
    <x v="44"/>
    <s v="Draw"/>
    <n v="4"/>
    <n v="2"/>
    <n v="1"/>
    <x v="47"/>
    <s v="2|19000101|46195"/>
    <n v="4"/>
    <n v="2026"/>
    <n v="6"/>
    <s v="Current"/>
    <x v="18"/>
    <s v="Draw"/>
    <b v="0"/>
    <n v="0"/>
    <n v="0"/>
    <n v="1"/>
    <n v="0"/>
  </r>
  <r>
    <x v="44"/>
    <s v="Draw"/>
    <n v="4"/>
    <n v="2"/>
    <n v="1"/>
    <x v="47"/>
    <s v="2|19000101|46195"/>
    <n v="4"/>
    <n v="2026"/>
    <n v="6"/>
    <s v="Current"/>
    <x v="70"/>
    <s v="Draw"/>
    <b v="0"/>
    <n v="0"/>
    <n v="0"/>
    <n v="1"/>
    <n v="0"/>
  </r>
  <r>
    <x v="44"/>
    <s v="Draw"/>
    <n v="4"/>
    <n v="2"/>
    <n v="1"/>
    <x v="47"/>
    <s v="2|19000101|46195"/>
    <n v="4"/>
    <n v="2026"/>
    <n v="6"/>
    <s v="Current"/>
    <x v="21"/>
    <s v="Draw"/>
    <b v="0"/>
    <n v="0"/>
    <n v="0"/>
    <n v="1"/>
    <n v="0"/>
  </r>
  <r>
    <x v="1"/>
    <s v="Loss"/>
    <n v="1"/>
    <n v="3"/>
    <n v="1"/>
    <x v="47"/>
    <s v="3|19000101|46195"/>
    <n v="4"/>
    <n v="2026"/>
    <n v="6"/>
    <s v="Current"/>
    <x v="2"/>
    <s v="Loss"/>
    <b v="0"/>
    <n v="0"/>
    <n v="1"/>
    <n v="0"/>
    <n v="0"/>
  </r>
  <r>
    <x v="1"/>
    <s v="Loss"/>
    <n v="1"/>
    <n v="3"/>
    <n v="1"/>
    <x v="47"/>
    <s v="3|19000101|46195"/>
    <n v="4"/>
    <n v="2026"/>
    <n v="6"/>
    <s v="Current"/>
    <x v="86"/>
    <s v="Win"/>
    <b v="0"/>
    <n v="0"/>
    <n v="1"/>
    <n v="0"/>
    <n v="1"/>
  </r>
  <r>
    <x v="1"/>
    <s v="Loss"/>
    <n v="1"/>
    <n v="3"/>
    <n v="1"/>
    <x v="47"/>
    <s v="3|19000101|46195"/>
    <n v="4"/>
    <n v="2026"/>
    <n v="6"/>
    <s v="Current"/>
    <x v="89"/>
    <s v="Loss"/>
    <b v="0"/>
    <n v="0"/>
    <n v="1"/>
    <n v="0"/>
    <n v="0"/>
  </r>
  <r>
    <x v="3"/>
    <s v="Loss"/>
    <n v="2"/>
    <n v="3"/>
    <n v="1"/>
    <x v="47"/>
    <s v="3|19000101|46195"/>
    <n v="4"/>
    <n v="2026"/>
    <n v="6"/>
    <s v="Current"/>
    <x v="0"/>
    <s v="Loss"/>
    <b v="0"/>
    <n v="0"/>
    <n v="1"/>
    <n v="0"/>
    <n v="0"/>
  </r>
  <r>
    <x v="3"/>
    <s v="Loss"/>
    <n v="2"/>
    <n v="3"/>
    <n v="1"/>
    <x v="47"/>
    <s v="3|19000101|46195"/>
    <n v="4"/>
    <n v="2026"/>
    <n v="6"/>
    <s v="Current"/>
    <x v="86"/>
    <s v="Win"/>
    <b v="0"/>
    <n v="0"/>
    <n v="1"/>
    <n v="0"/>
    <n v="1"/>
  </r>
  <r>
    <x v="3"/>
    <s v="Loss"/>
    <n v="2"/>
    <n v="3"/>
    <n v="1"/>
    <x v="47"/>
    <s v="3|19000101|46195"/>
    <n v="4"/>
    <n v="2026"/>
    <n v="6"/>
    <s v="Current"/>
    <x v="89"/>
    <s v="Loss"/>
    <b v="0"/>
    <n v="0"/>
    <n v="1"/>
    <n v="0"/>
    <n v="0"/>
  </r>
  <r>
    <x v="86"/>
    <s v="Win"/>
    <n v="3"/>
    <n v="3"/>
    <n v="1"/>
    <x v="47"/>
    <s v="3|19000101|46195"/>
    <n v="4"/>
    <n v="2026"/>
    <n v="6"/>
    <s v="Current"/>
    <x v="0"/>
    <s v="Loss"/>
    <b v="0"/>
    <n v="1"/>
    <n v="0"/>
    <n v="0"/>
    <n v="0"/>
  </r>
  <r>
    <x v="86"/>
    <s v="Win"/>
    <n v="3"/>
    <n v="3"/>
    <n v="1"/>
    <x v="47"/>
    <s v="3|19000101|46195"/>
    <n v="4"/>
    <n v="2026"/>
    <n v="6"/>
    <s v="Current"/>
    <x v="2"/>
    <s v="Loss"/>
    <b v="0"/>
    <n v="1"/>
    <n v="0"/>
    <n v="0"/>
    <n v="0"/>
  </r>
  <r>
    <x v="86"/>
    <s v="Win"/>
    <n v="3"/>
    <n v="3"/>
    <n v="1"/>
    <x v="47"/>
    <s v="3|19000101|46195"/>
    <n v="4"/>
    <n v="2026"/>
    <n v="6"/>
    <s v="Current"/>
    <x v="89"/>
    <s v="Loss"/>
    <b v="0"/>
    <n v="1"/>
    <n v="0"/>
    <n v="0"/>
    <n v="0"/>
  </r>
  <r>
    <x v="89"/>
    <s v="Loss"/>
    <n v="4"/>
    <n v="3"/>
    <n v="1"/>
    <x v="47"/>
    <s v="3|19000101|46195"/>
    <n v="4"/>
    <n v="2026"/>
    <n v="6"/>
    <s v="Current"/>
    <x v="0"/>
    <s v="Loss"/>
    <b v="0"/>
    <n v="0"/>
    <n v="1"/>
    <n v="0"/>
    <n v="0"/>
  </r>
  <r>
    <x v="89"/>
    <s v="Loss"/>
    <n v="4"/>
    <n v="3"/>
    <n v="1"/>
    <x v="47"/>
    <s v="3|19000101|46195"/>
    <n v="4"/>
    <n v="2026"/>
    <n v="6"/>
    <s v="Current"/>
    <x v="2"/>
    <s v="Loss"/>
    <b v="0"/>
    <n v="0"/>
    <n v="1"/>
    <n v="0"/>
    <n v="0"/>
  </r>
  <r>
    <x v="89"/>
    <s v="Loss"/>
    <n v="4"/>
    <n v="3"/>
    <n v="1"/>
    <x v="47"/>
    <s v="3|19000101|46195"/>
    <n v="4"/>
    <n v="2026"/>
    <n v="6"/>
    <s v="Current"/>
    <x v="86"/>
    <s v="Win"/>
    <b v="0"/>
    <n v="0"/>
    <n v="1"/>
    <n v="0"/>
    <n v="1"/>
  </r>
  <r>
    <x v="81"/>
    <s v="Draw"/>
    <n v="1"/>
    <n v="4"/>
    <n v="1"/>
    <x v="47"/>
    <s v="4|19000101|46195"/>
    <n v="4"/>
    <n v="2026"/>
    <n v="6"/>
    <s v="Current"/>
    <x v="43"/>
    <s v="Draw"/>
    <b v="0"/>
    <n v="0"/>
    <n v="0"/>
    <n v="1"/>
    <n v="0"/>
  </r>
  <r>
    <x v="81"/>
    <s v="Draw"/>
    <n v="1"/>
    <n v="4"/>
    <n v="1"/>
    <x v="47"/>
    <s v="4|19000101|46195"/>
    <n v="4"/>
    <n v="2026"/>
    <n v="6"/>
    <s v="Current"/>
    <x v="90"/>
    <s v="Draw"/>
    <b v="0"/>
    <n v="0"/>
    <n v="0"/>
    <n v="1"/>
    <n v="0"/>
  </r>
  <r>
    <x v="81"/>
    <s v="Draw"/>
    <n v="1"/>
    <n v="4"/>
    <n v="1"/>
    <x v="47"/>
    <s v="4|19000101|46195"/>
    <n v="4"/>
    <n v="2026"/>
    <n v="6"/>
    <s v="Current"/>
    <x v="91"/>
    <s v="Draw"/>
    <b v="0"/>
    <n v="0"/>
    <n v="0"/>
    <n v="1"/>
    <n v="0"/>
  </r>
  <r>
    <x v="43"/>
    <s v="Draw"/>
    <n v="2"/>
    <n v="4"/>
    <n v="1"/>
    <x v="47"/>
    <s v="4|19000101|46195"/>
    <n v="4"/>
    <n v="2026"/>
    <n v="6"/>
    <s v="Current"/>
    <x v="81"/>
    <s v="Draw"/>
    <b v="0"/>
    <n v="0"/>
    <n v="0"/>
    <n v="1"/>
    <n v="0"/>
  </r>
  <r>
    <x v="43"/>
    <s v="Draw"/>
    <n v="2"/>
    <n v="4"/>
    <n v="1"/>
    <x v="47"/>
    <s v="4|19000101|46195"/>
    <n v="4"/>
    <n v="2026"/>
    <n v="6"/>
    <s v="Current"/>
    <x v="90"/>
    <s v="Draw"/>
    <b v="0"/>
    <n v="0"/>
    <n v="0"/>
    <n v="1"/>
    <n v="0"/>
  </r>
  <r>
    <x v="43"/>
    <s v="Draw"/>
    <n v="2"/>
    <n v="4"/>
    <n v="1"/>
    <x v="47"/>
    <s v="4|19000101|46195"/>
    <n v="4"/>
    <n v="2026"/>
    <n v="6"/>
    <s v="Current"/>
    <x v="91"/>
    <s v="Draw"/>
    <b v="0"/>
    <n v="0"/>
    <n v="0"/>
    <n v="1"/>
    <n v="0"/>
  </r>
  <r>
    <x v="90"/>
    <s v="Draw"/>
    <n v="3"/>
    <n v="4"/>
    <n v="1"/>
    <x v="47"/>
    <s v="4|19000101|46195"/>
    <n v="4"/>
    <n v="2026"/>
    <n v="6"/>
    <s v="Current"/>
    <x v="81"/>
    <s v="Draw"/>
    <b v="0"/>
    <n v="0"/>
    <n v="0"/>
    <n v="1"/>
    <n v="0"/>
  </r>
  <r>
    <x v="90"/>
    <s v="Draw"/>
    <n v="3"/>
    <n v="4"/>
    <n v="1"/>
    <x v="47"/>
    <s v="4|19000101|46195"/>
    <n v="4"/>
    <n v="2026"/>
    <n v="6"/>
    <s v="Current"/>
    <x v="43"/>
    <s v="Draw"/>
    <b v="0"/>
    <n v="0"/>
    <n v="0"/>
    <n v="1"/>
    <n v="0"/>
  </r>
  <r>
    <x v="90"/>
    <s v="Draw"/>
    <n v="3"/>
    <n v="4"/>
    <n v="1"/>
    <x v="47"/>
    <s v="4|19000101|46195"/>
    <n v="4"/>
    <n v="2026"/>
    <n v="6"/>
    <s v="Current"/>
    <x v="91"/>
    <s v="Draw"/>
    <b v="0"/>
    <n v="0"/>
    <n v="0"/>
    <n v="1"/>
    <n v="0"/>
  </r>
  <r>
    <x v="91"/>
    <s v="Draw"/>
    <n v="4"/>
    <n v="4"/>
    <n v="1"/>
    <x v="47"/>
    <s v="4|19000101|46195"/>
    <n v="4"/>
    <n v="2026"/>
    <n v="6"/>
    <s v="Current"/>
    <x v="81"/>
    <s v="Draw"/>
    <b v="0"/>
    <n v="0"/>
    <n v="0"/>
    <n v="1"/>
    <n v="0"/>
  </r>
  <r>
    <x v="91"/>
    <s v="Draw"/>
    <n v="4"/>
    <n v="4"/>
    <n v="1"/>
    <x v="47"/>
    <s v="4|19000101|46195"/>
    <n v="4"/>
    <n v="2026"/>
    <n v="6"/>
    <s v="Current"/>
    <x v="43"/>
    <s v="Draw"/>
    <b v="0"/>
    <n v="0"/>
    <n v="0"/>
    <n v="1"/>
    <n v="0"/>
  </r>
  <r>
    <x v="91"/>
    <s v="Draw"/>
    <n v="4"/>
    <n v="4"/>
    <n v="1"/>
    <x v="47"/>
    <s v="4|19000101|46195"/>
    <n v="4"/>
    <n v="2026"/>
    <n v="6"/>
    <s v="Current"/>
    <x v="90"/>
    <s v="Draw"/>
    <b v="0"/>
    <n v="0"/>
    <n v="0"/>
    <n v="1"/>
    <n v="0"/>
  </r>
  <r>
    <x v="7"/>
    <s v="Draw"/>
    <n v="1"/>
    <n v="5"/>
    <n v="1"/>
    <x v="47"/>
    <s v="5|19000101|46195"/>
    <n v="4"/>
    <n v="2026"/>
    <n v="6"/>
    <s v="Current"/>
    <x v="24"/>
    <s v="Draw"/>
    <b v="0"/>
    <n v="0"/>
    <n v="0"/>
    <n v="1"/>
    <n v="0"/>
  </r>
  <r>
    <x v="7"/>
    <s v="Draw"/>
    <n v="1"/>
    <n v="5"/>
    <n v="1"/>
    <x v="47"/>
    <s v="5|19000101|46195"/>
    <n v="4"/>
    <n v="2026"/>
    <n v="6"/>
    <s v="Current"/>
    <x v="92"/>
    <s v="Draw"/>
    <b v="0"/>
    <n v="0"/>
    <n v="0"/>
    <n v="1"/>
    <n v="0"/>
  </r>
  <r>
    <x v="7"/>
    <s v="Draw"/>
    <n v="1"/>
    <n v="5"/>
    <n v="1"/>
    <x v="47"/>
    <s v="5|19000101|46195"/>
    <n v="4"/>
    <n v="2026"/>
    <n v="6"/>
    <s v="Current"/>
    <x v="32"/>
    <s v="Draw"/>
    <b v="0"/>
    <n v="0"/>
    <n v="0"/>
    <n v="1"/>
    <n v="0"/>
  </r>
  <r>
    <x v="24"/>
    <s v="Draw"/>
    <n v="2"/>
    <n v="5"/>
    <n v="1"/>
    <x v="47"/>
    <s v="5|19000101|46195"/>
    <n v="4"/>
    <n v="2026"/>
    <n v="6"/>
    <s v="Current"/>
    <x v="7"/>
    <s v="Draw"/>
    <b v="0"/>
    <n v="0"/>
    <n v="0"/>
    <n v="1"/>
    <n v="0"/>
  </r>
  <r>
    <x v="24"/>
    <s v="Draw"/>
    <n v="2"/>
    <n v="5"/>
    <n v="1"/>
    <x v="47"/>
    <s v="5|19000101|46195"/>
    <n v="4"/>
    <n v="2026"/>
    <n v="6"/>
    <s v="Current"/>
    <x v="92"/>
    <s v="Draw"/>
    <b v="0"/>
    <n v="0"/>
    <n v="0"/>
    <n v="1"/>
    <n v="0"/>
  </r>
  <r>
    <x v="24"/>
    <s v="Draw"/>
    <n v="2"/>
    <n v="5"/>
    <n v="1"/>
    <x v="47"/>
    <s v="5|19000101|46195"/>
    <n v="4"/>
    <n v="2026"/>
    <n v="6"/>
    <s v="Current"/>
    <x v="32"/>
    <s v="Draw"/>
    <b v="0"/>
    <n v="0"/>
    <n v="0"/>
    <n v="1"/>
    <n v="0"/>
  </r>
  <r>
    <x v="92"/>
    <s v="Draw"/>
    <n v="3"/>
    <n v="5"/>
    <n v="1"/>
    <x v="47"/>
    <s v="5|19000101|46195"/>
    <n v="4"/>
    <n v="2026"/>
    <n v="6"/>
    <s v="Current"/>
    <x v="7"/>
    <s v="Draw"/>
    <b v="0"/>
    <n v="0"/>
    <n v="0"/>
    <n v="1"/>
    <n v="0"/>
  </r>
  <r>
    <x v="92"/>
    <s v="Draw"/>
    <n v="3"/>
    <n v="5"/>
    <n v="1"/>
    <x v="47"/>
    <s v="5|19000101|46195"/>
    <n v="4"/>
    <n v="2026"/>
    <n v="6"/>
    <s v="Current"/>
    <x v="24"/>
    <s v="Draw"/>
    <b v="0"/>
    <n v="0"/>
    <n v="0"/>
    <n v="1"/>
    <n v="0"/>
  </r>
  <r>
    <x v="92"/>
    <s v="Draw"/>
    <n v="3"/>
    <n v="5"/>
    <n v="1"/>
    <x v="47"/>
    <s v="5|19000101|46195"/>
    <n v="4"/>
    <n v="2026"/>
    <n v="6"/>
    <s v="Current"/>
    <x v="32"/>
    <s v="Draw"/>
    <b v="0"/>
    <n v="0"/>
    <n v="0"/>
    <n v="1"/>
    <n v="0"/>
  </r>
  <r>
    <x v="32"/>
    <s v="Draw"/>
    <n v="4"/>
    <n v="5"/>
    <n v="1"/>
    <x v="47"/>
    <s v="5|19000101|46195"/>
    <n v="4"/>
    <n v="2026"/>
    <n v="6"/>
    <s v="Current"/>
    <x v="7"/>
    <s v="Draw"/>
    <b v="0"/>
    <n v="0"/>
    <n v="0"/>
    <n v="1"/>
    <n v="0"/>
  </r>
  <r>
    <x v="32"/>
    <s v="Draw"/>
    <n v="4"/>
    <n v="5"/>
    <n v="1"/>
    <x v="47"/>
    <s v="5|19000101|46195"/>
    <n v="4"/>
    <n v="2026"/>
    <n v="6"/>
    <s v="Current"/>
    <x v="24"/>
    <s v="Draw"/>
    <b v="0"/>
    <n v="0"/>
    <n v="0"/>
    <n v="1"/>
    <n v="0"/>
  </r>
  <r>
    <x v="32"/>
    <s v="Draw"/>
    <n v="4"/>
    <n v="5"/>
    <n v="1"/>
    <x v="47"/>
    <s v="5|19000101|46195"/>
    <n v="4"/>
    <n v="2026"/>
    <n v="6"/>
    <s v="Current"/>
    <x v="92"/>
    <s v="Draw"/>
    <b v="0"/>
    <n v="0"/>
    <n v="0"/>
    <n v="1"/>
    <n v="0"/>
  </r>
  <r>
    <x v="14"/>
    <s v="Win"/>
    <n v="1"/>
    <n v="6"/>
    <n v="1"/>
    <x v="47"/>
    <s v="6|19000101|46195"/>
    <n v="3"/>
    <n v="2026"/>
    <n v="6"/>
    <s v="Current"/>
    <x v="79"/>
    <s v="Loss"/>
    <b v="0"/>
    <n v="1"/>
    <n v="0"/>
    <n v="0"/>
    <n v="0"/>
  </r>
  <r>
    <x v="14"/>
    <s v="Win"/>
    <n v="1"/>
    <n v="6"/>
    <n v="1"/>
    <x v="47"/>
    <s v="6|19000101|46195"/>
    <n v="3"/>
    <n v="2026"/>
    <n v="6"/>
    <s v="Current"/>
    <x v="10"/>
    <s v="Loss"/>
    <b v="0"/>
    <n v="1"/>
    <n v="0"/>
    <n v="0"/>
    <n v="0"/>
  </r>
  <r>
    <x v="79"/>
    <s v="Loss"/>
    <n v="2"/>
    <n v="6"/>
    <n v="1"/>
    <x v="47"/>
    <s v="6|19000101|46195"/>
    <n v="3"/>
    <n v="2026"/>
    <n v="6"/>
    <s v="Current"/>
    <x v="14"/>
    <s v="Win"/>
    <b v="0"/>
    <n v="0"/>
    <n v="1"/>
    <n v="0"/>
    <n v="1"/>
  </r>
  <r>
    <x v="79"/>
    <s v="Loss"/>
    <n v="2"/>
    <n v="6"/>
    <n v="1"/>
    <x v="47"/>
    <s v="6|19000101|46195"/>
    <n v="3"/>
    <n v="2026"/>
    <n v="6"/>
    <s v="Current"/>
    <x v="10"/>
    <s v="Loss"/>
    <b v="0"/>
    <n v="0"/>
    <n v="1"/>
    <n v="0"/>
    <n v="0"/>
  </r>
  <r>
    <x v="10"/>
    <s v="Loss"/>
    <n v="3"/>
    <n v="6"/>
    <n v="1"/>
    <x v="47"/>
    <s v="6|19000101|46195"/>
    <n v="3"/>
    <n v="2026"/>
    <n v="6"/>
    <s v="Current"/>
    <x v="14"/>
    <s v="Win"/>
    <b v="0"/>
    <n v="0"/>
    <n v="1"/>
    <n v="0"/>
    <n v="1"/>
  </r>
  <r>
    <x v="10"/>
    <s v="Loss"/>
    <n v="3"/>
    <n v="6"/>
    <n v="1"/>
    <x v="47"/>
    <s v="6|19000101|46195"/>
    <n v="3"/>
    <n v="2026"/>
    <n v="6"/>
    <s v="Current"/>
    <x v="79"/>
    <s v="Loss"/>
    <b v="0"/>
    <n v="0"/>
    <n v="1"/>
    <n v="0"/>
    <n v="0"/>
  </r>
  <r>
    <x v="32"/>
    <s v="Loss"/>
    <n v="1"/>
    <n v="1"/>
    <n v="2"/>
    <x v="47"/>
    <s v="1|19000102|46195"/>
    <n v="4"/>
    <n v="2026"/>
    <n v="6"/>
    <s v="Current"/>
    <x v="81"/>
    <s v="Loss"/>
    <b v="0"/>
    <n v="0"/>
    <n v="1"/>
    <n v="0"/>
    <n v="0"/>
  </r>
  <r>
    <x v="32"/>
    <s v="Loss"/>
    <n v="1"/>
    <n v="1"/>
    <n v="2"/>
    <x v="47"/>
    <s v="1|19000102|46195"/>
    <n v="4"/>
    <n v="2026"/>
    <n v="6"/>
    <s v="Current"/>
    <x v="5"/>
    <s v="Win"/>
    <b v="0"/>
    <n v="0"/>
    <n v="1"/>
    <n v="0"/>
    <n v="1"/>
  </r>
  <r>
    <x v="32"/>
    <s v="Loss"/>
    <n v="1"/>
    <n v="1"/>
    <n v="2"/>
    <x v="47"/>
    <s v="1|19000102|46195"/>
    <n v="4"/>
    <n v="2026"/>
    <n v="6"/>
    <s v="Current"/>
    <x v="70"/>
    <s v="Loss"/>
    <b v="0"/>
    <n v="0"/>
    <n v="1"/>
    <n v="0"/>
    <n v="0"/>
  </r>
  <r>
    <x v="81"/>
    <s v="Loss"/>
    <n v="2"/>
    <n v="1"/>
    <n v="2"/>
    <x v="47"/>
    <s v="1|19000102|46195"/>
    <n v="4"/>
    <n v="2026"/>
    <n v="6"/>
    <s v="Current"/>
    <x v="32"/>
    <s v="Loss"/>
    <b v="0"/>
    <n v="0"/>
    <n v="1"/>
    <n v="0"/>
    <n v="0"/>
  </r>
  <r>
    <x v="81"/>
    <s v="Loss"/>
    <n v="2"/>
    <n v="1"/>
    <n v="2"/>
    <x v="47"/>
    <s v="1|19000102|46195"/>
    <n v="4"/>
    <n v="2026"/>
    <n v="6"/>
    <s v="Current"/>
    <x v="5"/>
    <s v="Win"/>
    <b v="0"/>
    <n v="0"/>
    <n v="1"/>
    <n v="0"/>
    <n v="1"/>
  </r>
  <r>
    <x v="81"/>
    <s v="Loss"/>
    <n v="2"/>
    <n v="1"/>
    <n v="2"/>
    <x v="47"/>
    <s v="1|19000102|46195"/>
    <n v="4"/>
    <n v="2026"/>
    <n v="6"/>
    <s v="Current"/>
    <x v="70"/>
    <s v="Loss"/>
    <b v="0"/>
    <n v="0"/>
    <n v="1"/>
    <n v="0"/>
    <n v="0"/>
  </r>
  <r>
    <x v="5"/>
    <s v="Win"/>
    <n v="3"/>
    <n v="1"/>
    <n v="2"/>
    <x v="47"/>
    <s v="1|19000102|46195"/>
    <n v="4"/>
    <n v="2026"/>
    <n v="6"/>
    <s v="Current"/>
    <x v="32"/>
    <s v="Loss"/>
    <b v="0"/>
    <n v="1"/>
    <n v="0"/>
    <n v="0"/>
    <n v="0"/>
  </r>
  <r>
    <x v="5"/>
    <s v="Win"/>
    <n v="3"/>
    <n v="1"/>
    <n v="2"/>
    <x v="47"/>
    <s v="1|19000102|46195"/>
    <n v="4"/>
    <n v="2026"/>
    <n v="6"/>
    <s v="Current"/>
    <x v="81"/>
    <s v="Loss"/>
    <b v="0"/>
    <n v="1"/>
    <n v="0"/>
    <n v="0"/>
    <n v="0"/>
  </r>
  <r>
    <x v="5"/>
    <s v="Win"/>
    <n v="3"/>
    <n v="1"/>
    <n v="2"/>
    <x v="47"/>
    <s v="1|19000102|46195"/>
    <n v="4"/>
    <n v="2026"/>
    <n v="6"/>
    <s v="Current"/>
    <x v="70"/>
    <s v="Loss"/>
    <b v="0"/>
    <n v="1"/>
    <n v="0"/>
    <n v="0"/>
    <n v="0"/>
  </r>
  <r>
    <x v="70"/>
    <s v="Loss"/>
    <n v="4"/>
    <n v="1"/>
    <n v="2"/>
    <x v="47"/>
    <s v="1|19000102|46195"/>
    <n v="4"/>
    <n v="2026"/>
    <n v="6"/>
    <s v="Current"/>
    <x v="32"/>
    <s v="Loss"/>
    <b v="0"/>
    <n v="0"/>
    <n v="1"/>
    <n v="0"/>
    <n v="0"/>
  </r>
  <r>
    <x v="70"/>
    <s v="Loss"/>
    <n v="4"/>
    <n v="1"/>
    <n v="2"/>
    <x v="47"/>
    <s v="1|19000102|46195"/>
    <n v="4"/>
    <n v="2026"/>
    <n v="6"/>
    <s v="Current"/>
    <x v="81"/>
    <s v="Loss"/>
    <b v="0"/>
    <n v="0"/>
    <n v="1"/>
    <n v="0"/>
    <n v="0"/>
  </r>
  <r>
    <x v="70"/>
    <s v="Loss"/>
    <n v="4"/>
    <n v="1"/>
    <n v="2"/>
    <x v="47"/>
    <s v="1|19000102|46195"/>
    <n v="4"/>
    <n v="2026"/>
    <n v="6"/>
    <s v="Current"/>
    <x v="5"/>
    <s v="Win"/>
    <b v="0"/>
    <n v="0"/>
    <n v="1"/>
    <n v="0"/>
    <n v="1"/>
  </r>
  <r>
    <x v="44"/>
    <s v="Win"/>
    <n v="1"/>
    <n v="2"/>
    <n v="2"/>
    <x v="47"/>
    <s v="2|19000102|46195"/>
    <n v="4"/>
    <n v="2026"/>
    <n v="6"/>
    <s v="Current"/>
    <x v="17"/>
    <s v="Loss"/>
    <b v="0"/>
    <n v="1"/>
    <n v="0"/>
    <n v="0"/>
    <n v="0"/>
  </r>
  <r>
    <x v="44"/>
    <s v="Win"/>
    <n v="1"/>
    <n v="2"/>
    <n v="2"/>
    <x v="47"/>
    <s v="2|19000102|46195"/>
    <n v="4"/>
    <n v="2026"/>
    <n v="6"/>
    <s v="Current"/>
    <x v="14"/>
    <s v="Loss"/>
    <b v="0"/>
    <n v="1"/>
    <n v="0"/>
    <n v="0"/>
    <n v="0"/>
  </r>
  <r>
    <x v="44"/>
    <s v="Win"/>
    <n v="1"/>
    <n v="2"/>
    <n v="2"/>
    <x v="47"/>
    <s v="2|19000102|46195"/>
    <n v="4"/>
    <n v="2026"/>
    <n v="6"/>
    <s v="Current"/>
    <x v="90"/>
    <s v="Loss"/>
    <b v="0"/>
    <n v="1"/>
    <n v="0"/>
    <n v="0"/>
    <n v="0"/>
  </r>
  <r>
    <x v="17"/>
    <s v="Loss"/>
    <n v="2"/>
    <n v="2"/>
    <n v="2"/>
    <x v="47"/>
    <s v="2|19000102|46195"/>
    <n v="4"/>
    <n v="2026"/>
    <n v="6"/>
    <s v="Current"/>
    <x v="44"/>
    <s v="Win"/>
    <b v="0"/>
    <n v="0"/>
    <n v="1"/>
    <n v="0"/>
    <n v="1"/>
  </r>
  <r>
    <x v="17"/>
    <s v="Loss"/>
    <n v="2"/>
    <n v="2"/>
    <n v="2"/>
    <x v="47"/>
    <s v="2|19000102|46195"/>
    <n v="4"/>
    <n v="2026"/>
    <n v="6"/>
    <s v="Current"/>
    <x v="14"/>
    <s v="Loss"/>
    <b v="0"/>
    <n v="0"/>
    <n v="1"/>
    <n v="0"/>
    <n v="0"/>
  </r>
  <r>
    <x v="17"/>
    <s v="Loss"/>
    <n v="2"/>
    <n v="2"/>
    <n v="2"/>
    <x v="47"/>
    <s v="2|19000102|46195"/>
    <n v="4"/>
    <n v="2026"/>
    <n v="6"/>
    <s v="Current"/>
    <x v="90"/>
    <s v="Loss"/>
    <b v="0"/>
    <n v="0"/>
    <n v="1"/>
    <n v="0"/>
    <n v="0"/>
  </r>
  <r>
    <x v="14"/>
    <s v="Loss"/>
    <n v="3"/>
    <n v="2"/>
    <n v="2"/>
    <x v="47"/>
    <s v="2|19000102|46195"/>
    <n v="4"/>
    <n v="2026"/>
    <n v="6"/>
    <s v="Current"/>
    <x v="44"/>
    <s v="Win"/>
    <b v="0"/>
    <n v="0"/>
    <n v="1"/>
    <n v="0"/>
    <n v="1"/>
  </r>
  <r>
    <x v="14"/>
    <s v="Loss"/>
    <n v="3"/>
    <n v="2"/>
    <n v="2"/>
    <x v="47"/>
    <s v="2|19000102|46195"/>
    <n v="4"/>
    <n v="2026"/>
    <n v="6"/>
    <s v="Current"/>
    <x v="17"/>
    <s v="Loss"/>
    <b v="0"/>
    <n v="0"/>
    <n v="1"/>
    <n v="0"/>
    <n v="0"/>
  </r>
  <r>
    <x v="14"/>
    <s v="Loss"/>
    <n v="3"/>
    <n v="2"/>
    <n v="2"/>
    <x v="47"/>
    <s v="2|19000102|46195"/>
    <n v="4"/>
    <n v="2026"/>
    <n v="6"/>
    <s v="Current"/>
    <x v="90"/>
    <s v="Loss"/>
    <b v="0"/>
    <n v="0"/>
    <n v="1"/>
    <n v="0"/>
    <n v="0"/>
  </r>
  <r>
    <x v="90"/>
    <s v="Loss"/>
    <n v="4"/>
    <n v="2"/>
    <n v="2"/>
    <x v="47"/>
    <s v="2|19000102|46195"/>
    <n v="4"/>
    <n v="2026"/>
    <n v="6"/>
    <s v="Current"/>
    <x v="44"/>
    <s v="Win"/>
    <b v="0"/>
    <n v="0"/>
    <n v="1"/>
    <n v="0"/>
    <n v="1"/>
  </r>
  <r>
    <x v="90"/>
    <s v="Loss"/>
    <n v="4"/>
    <n v="2"/>
    <n v="2"/>
    <x v="47"/>
    <s v="2|19000102|46195"/>
    <n v="4"/>
    <n v="2026"/>
    <n v="6"/>
    <s v="Current"/>
    <x v="17"/>
    <s v="Loss"/>
    <b v="0"/>
    <n v="0"/>
    <n v="1"/>
    <n v="0"/>
    <n v="0"/>
  </r>
  <r>
    <x v="90"/>
    <s v="Loss"/>
    <n v="4"/>
    <n v="2"/>
    <n v="2"/>
    <x v="47"/>
    <s v="2|19000102|46195"/>
    <n v="4"/>
    <n v="2026"/>
    <n v="6"/>
    <s v="Current"/>
    <x v="14"/>
    <s v="Loss"/>
    <b v="0"/>
    <n v="0"/>
    <n v="1"/>
    <n v="0"/>
    <n v="0"/>
  </r>
  <r>
    <x v="92"/>
    <s v="Loss"/>
    <n v="1"/>
    <n v="3"/>
    <n v="2"/>
    <x v="47"/>
    <s v="3|19000102|46195"/>
    <n v="4"/>
    <n v="2026"/>
    <n v="6"/>
    <s v="Current"/>
    <x v="16"/>
    <s v="Win"/>
    <b v="0"/>
    <n v="0"/>
    <n v="1"/>
    <n v="0"/>
    <n v="1"/>
  </r>
  <r>
    <x v="92"/>
    <s v="Loss"/>
    <n v="1"/>
    <n v="3"/>
    <n v="2"/>
    <x v="47"/>
    <s v="3|19000102|46195"/>
    <n v="4"/>
    <n v="2026"/>
    <n v="6"/>
    <s v="Current"/>
    <x v="89"/>
    <s v="Loss"/>
    <b v="0"/>
    <n v="0"/>
    <n v="1"/>
    <n v="0"/>
    <n v="0"/>
  </r>
  <r>
    <x v="92"/>
    <s v="Loss"/>
    <n v="1"/>
    <n v="3"/>
    <n v="2"/>
    <x v="47"/>
    <s v="3|19000102|46195"/>
    <n v="4"/>
    <n v="2026"/>
    <n v="6"/>
    <s v="Current"/>
    <x v="86"/>
    <s v="Loss"/>
    <b v="0"/>
    <n v="0"/>
    <n v="1"/>
    <n v="0"/>
    <n v="0"/>
  </r>
  <r>
    <x v="16"/>
    <s v="Win"/>
    <n v="2"/>
    <n v="3"/>
    <n v="2"/>
    <x v="47"/>
    <s v="3|19000102|46195"/>
    <n v="4"/>
    <n v="2026"/>
    <n v="6"/>
    <s v="Current"/>
    <x v="92"/>
    <s v="Loss"/>
    <b v="0"/>
    <n v="1"/>
    <n v="0"/>
    <n v="0"/>
    <n v="0"/>
  </r>
  <r>
    <x v="16"/>
    <s v="Win"/>
    <n v="2"/>
    <n v="3"/>
    <n v="2"/>
    <x v="47"/>
    <s v="3|19000102|46195"/>
    <n v="4"/>
    <n v="2026"/>
    <n v="6"/>
    <s v="Current"/>
    <x v="89"/>
    <s v="Loss"/>
    <b v="0"/>
    <n v="1"/>
    <n v="0"/>
    <n v="0"/>
    <n v="0"/>
  </r>
  <r>
    <x v="16"/>
    <s v="Win"/>
    <n v="2"/>
    <n v="3"/>
    <n v="2"/>
    <x v="47"/>
    <s v="3|19000102|46195"/>
    <n v="4"/>
    <n v="2026"/>
    <n v="6"/>
    <s v="Current"/>
    <x v="86"/>
    <s v="Loss"/>
    <b v="0"/>
    <n v="1"/>
    <n v="0"/>
    <n v="0"/>
    <n v="0"/>
  </r>
  <r>
    <x v="89"/>
    <s v="Loss"/>
    <n v="3"/>
    <n v="3"/>
    <n v="2"/>
    <x v="47"/>
    <s v="3|19000102|46195"/>
    <n v="4"/>
    <n v="2026"/>
    <n v="6"/>
    <s v="Current"/>
    <x v="92"/>
    <s v="Loss"/>
    <b v="0"/>
    <n v="0"/>
    <n v="1"/>
    <n v="0"/>
    <n v="0"/>
  </r>
  <r>
    <x v="89"/>
    <s v="Loss"/>
    <n v="3"/>
    <n v="3"/>
    <n v="2"/>
    <x v="47"/>
    <s v="3|19000102|46195"/>
    <n v="4"/>
    <n v="2026"/>
    <n v="6"/>
    <s v="Current"/>
    <x v="16"/>
    <s v="Win"/>
    <b v="0"/>
    <n v="0"/>
    <n v="1"/>
    <n v="0"/>
    <n v="1"/>
  </r>
  <r>
    <x v="89"/>
    <s v="Loss"/>
    <n v="3"/>
    <n v="3"/>
    <n v="2"/>
    <x v="47"/>
    <s v="3|19000102|46195"/>
    <n v="4"/>
    <n v="2026"/>
    <n v="6"/>
    <s v="Current"/>
    <x v="86"/>
    <s v="Loss"/>
    <b v="0"/>
    <n v="0"/>
    <n v="1"/>
    <n v="0"/>
    <n v="0"/>
  </r>
  <r>
    <x v="86"/>
    <s v="Loss"/>
    <n v="4"/>
    <n v="3"/>
    <n v="2"/>
    <x v="47"/>
    <s v="3|19000102|46195"/>
    <n v="4"/>
    <n v="2026"/>
    <n v="6"/>
    <s v="Current"/>
    <x v="92"/>
    <s v="Loss"/>
    <b v="0"/>
    <n v="0"/>
    <n v="1"/>
    <n v="0"/>
    <n v="0"/>
  </r>
  <r>
    <x v="86"/>
    <s v="Loss"/>
    <n v="4"/>
    <n v="3"/>
    <n v="2"/>
    <x v="47"/>
    <s v="3|19000102|46195"/>
    <n v="4"/>
    <n v="2026"/>
    <n v="6"/>
    <s v="Current"/>
    <x v="16"/>
    <s v="Win"/>
    <b v="0"/>
    <n v="0"/>
    <n v="1"/>
    <n v="0"/>
    <n v="1"/>
  </r>
  <r>
    <x v="86"/>
    <s v="Loss"/>
    <n v="4"/>
    <n v="3"/>
    <n v="2"/>
    <x v="47"/>
    <s v="3|19000102|46195"/>
    <n v="4"/>
    <n v="2026"/>
    <n v="6"/>
    <s v="Current"/>
    <x v="89"/>
    <s v="Loss"/>
    <b v="0"/>
    <n v="0"/>
    <n v="1"/>
    <n v="0"/>
    <n v="0"/>
  </r>
  <r>
    <x v="21"/>
    <s v="Win"/>
    <n v="1"/>
    <n v="4"/>
    <n v="2"/>
    <x v="47"/>
    <s v="4|19000102|46195"/>
    <n v="4"/>
    <n v="2026"/>
    <n v="6"/>
    <s v="Current"/>
    <x v="4"/>
    <s v="Loss"/>
    <b v="0"/>
    <n v="1"/>
    <n v="0"/>
    <n v="0"/>
    <n v="0"/>
  </r>
  <r>
    <x v="21"/>
    <s v="Win"/>
    <n v="1"/>
    <n v="4"/>
    <n v="2"/>
    <x v="47"/>
    <s v="4|19000102|46195"/>
    <n v="4"/>
    <n v="2026"/>
    <n v="6"/>
    <s v="Current"/>
    <x v="24"/>
    <s v="Loss"/>
    <b v="0"/>
    <n v="1"/>
    <n v="0"/>
    <n v="0"/>
    <n v="0"/>
  </r>
  <r>
    <x v="21"/>
    <s v="Win"/>
    <n v="1"/>
    <n v="4"/>
    <n v="2"/>
    <x v="47"/>
    <s v="4|19000102|46195"/>
    <n v="4"/>
    <n v="2026"/>
    <n v="6"/>
    <s v="Current"/>
    <x v="43"/>
    <s v="Loss"/>
    <b v="0"/>
    <n v="1"/>
    <n v="0"/>
    <n v="0"/>
    <n v="0"/>
  </r>
  <r>
    <x v="4"/>
    <s v="Loss"/>
    <n v="2"/>
    <n v="4"/>
    <n v="2"/>
    <x v="47"/>
    <s v="4|19000102|46195"/>
    <n v="4"/>
    <n v="2026"/>
    <n v="6"/>
    <s v="Current"/>
    <x v="21"/>
    <s v="Win"/>
    <b v="0"/>
    <n v="0"/>
    <n v="1"/>
    <n v="0"/>
    <n v="1"/>
  </r>
  <r>
    <x v="4"/>
    <s v="Loss"/>
    <n v="2"/>
    <n v="4"/>
    <n v="2"/>
    <x v="47"/>
    <s v="4|19000102|46195"/>
    <n v="4"/>
    <n v="2026"/>
    <n v="6"/>
    <s v="Current"/>
    <x v="24"/>
    <s v="Loss"/>
    <b v="0"/>
    <n v="0"/>
    <n v="1"/>
    <n v="0"/>
    <n v="0"/>
  </r>
  <r>
    <x v="4"/>
    <s v="Loss"/>
    <n v="2"/>
    <n v="4"/>
    <n v="2"/>
    <x v="47"/>
    <s v="4|19000102|46195"/>
    <n v="4"/>
    <n v="2026"/>
    <n v="6"/>
    <s v="Current"/>
    <x v="43"/>
    <s v="Loss"/>
    <b v="0"/>
    <n v="0"/>
    <n v="1"/>
    <n v="0"/>
    <n v="0"/>
  </r>
  <r>
    <x v="24"/>
    <s v="Loss"/>
    <n v="3"/>
    <n v="4"/>
    <n v="2"/>
    <x v="47"/>
    <s v="4|19000102|46195"/>
    <n v="4"/>
    <n v="2026"/>
    <n v="6"/>
    <s v="Current"/>
    <x v="21"/>
    <s v="Win"/>
    <b v="0"/>
    <n v="0"/>
    <n v="1"/>
    <n v="0"/>
    <n v="1"/>
  </r>
  <r>
    <x v="24"/>
    <s v="Loss"/>
    <n v="3"/>
    <n v="4"/>
    <n v="2"/>
    <x v="47"/>
    <s v="4|19000102|46195"/>
    <n v="4"/>
    <n v="2026"/>
    <n v="6"/>
    <s v="Current"/>
    <x v="4"/>
    <s v="Loss"/>
    <b v="0"/>
    <n v="0"/>
    <n v="1"/>
    <n v="0"/>
    <n v="0"/>
  </r>
  <r>
    <x v="24"/>
    <s v="Loss"/>
    <n v="3"/>
    <n v="4"/>
    <n v="2"/>
    <x v="47"/>
    <s v="4|19000102|46195"/>
    <n v="4"/>
    <n v="2026"/>
    <n v="6"/>
    <s v="Current"/>
    <x v="43"/>
    <s v="Loss"/>
    <b v="0"/>
    <n v="0"/>
    <n v="1"/>
    <n v="0"/>
    <n v="0"/>
  </r>
  <r>
    <x v="43"/>
    <s v="Loss"/>
    <n v="4"/>
    <n v="4"/>
    <n v="2"/>
    <x v="47"/>
    <s v="4|19000102|46195"/>
    <n v="4"/>
    <n v="2026"/>
    <n v="6"/>
    <s v="Current"/>
    <x v="21"/>
    <s v="Win"/>
    <b v="0"/>
    <n v="0"/>
    <n v="1"/>
    <n v="0"/>
    <n v="1"/>
  </r>
  <r>
    <x v="43"/>
    <s v="Loss"/>
    <n v="4"/>
    <n v="4"/>
    <n v="2"/>
    <x v="47"/>
    <s v="4|19000102|46195"/>
    <n v="4"/>
    <n v="2026"/>
    <n v="6"/>
    <s v="Current"/>
    <x v="4"/>
    <s v="Loss"/>
    <b v="0"/>
    <n v="0"/>
    <n v="1"/>
    <n v="0"/>
    <n v="0"/>
  </r>
  <r>
    <x v="43"/>
    <s v="Loss"/>
    <n v="4"/>
    <n v="4"/>
    <n v="2"/>
    <x v="47"/>
    <s v="4|19000102|46195"/>
    <n v="4"/>
    <n v="2026"/>
    <n v="6"/>
    <s v="Current"/>
    <x v="24"/>
    <s v="Loss"/>
    <b v="0"/>
    <n v="0"/>
    <n v="1"/>
    <n v="0"/>
    <n v="0"/>
  </r>
  <r>
    <x v="79"/>
    <s v="Loss"/>
    <n v="1"/>
    <n v="5"/>
    <n v="2"/>
    <x v="47"/>
    <s v="5|19000102|46195"/>
    <n v="4"/>
    <n v="2026"/>
    <n v="6"/>
    <s v="Current"/>
    <x v="18"/>
    <s v="Loss"/>
    <b v="0"/>
    <n v="0"/>
    <n v="1"/>
    <n v="0"/>
    <n v="0"/>
  </r>
  <r>
    <x v="79"/>
    <s v="Loss"/>
    <n v="1"/>
    <n v="5"/>
    <n v="2"/>
    <x v="47"/>
    <s v="5|19000102|46195"/>
    <n v="4"/>
    <n v="2026"/>
    <n v="6"/>
    <s v="Current"/>
    <x v="87"/>
    <s v="Win"/>
    <b v="0"/>
    <n v="0"/>
    <n v="1"/>
    <n v="0"/>
    <n v="1"/>
  </r>
  <r>
    <x v="79"/>
    <s v="Loss"/>
    <n v="1"/>
    <n v="5"/>
    <n v="2"/>
    <x v="47"/>
    <s v="5|19000102|46195"/>
    <n v="4"/>
    <n v="2026"/>
    <n v="6"/>
    <s v="Current"/>
    <x v="0"/>
    <s v="Loss"/>
    <b v="0"/>
    <n v="0"/>
    <n v="1"/>
    <n v="0"/>
    <n v="0"/>
  </r>
  <r>
    <x v="18"/>
    <s v="Loss"/>
    <n v="2"/>
    <n v="5"/>
    <n v="2"/>
    <x v="47"/>
    <s v="5|19000102|46195"/>
    <n v="4"/>
    <n v="2026"/>
    <n v="6"/>
    <s v="Current"/>
    <x v="79"/>
    <s v="Loss"/>
    <b v="0"/>
    <n v="0"/>
    <n v="1"/>
    <n v="0"/>
    <n v="0"/>
  </r>
  <r>
    <x v="18"/>
    <s v="Loss"/>
    <n v="2"/>
    <n v="5"/>
    <n v="2"/>
    <x v="47"/>
    <s v="5|19000102|46195"/>
    <n v="4"/>
    <n v="2026"/>
    <n v="6"/>
    <s v="Current"/>
    <x v="87"/>
    <s v="Win"/>
    <b v="0"/>
    <n v="0"/>
    <n v="1"/>
    <n v="0"/>
    <n v="1"/>
  </r>
  <r>
    <x v="18"/>
    <s v="Loss"/>
    <n v="2"/>
    <n v="5"/>
    <n v="2"/>
    <x v="47"/>
    <s v="5|19000102|46195"/>
    <n v="4"/>
    <n v="2026"/>
    <n v="6"/>
    <s v="Current"/>
    <x v="0"/>
    <s v="Loss"/>
    <b v="0"/>
    <n v="0"/>
    <n v="1"/>
    <n v="0"/>
    <n v="0"/>
  </r>
  <r>
    <x v="87"/>
    <s v="Win"/>
    <n v="3"/>
    <n v="5"/>
    <n v="2"/>
    <x v="47"/>
    <s v="5|19000102|46195"/>
    <n v="4"/>
    <n v="2026"/>
    <n v="6"/>
    <s v="Current"/>
    <x v="79"/>
    <s v="Loss"/>
    <b v="0"/>
    <n v="1"/>
    <n v="0"/>
    <n v="0"/>
    <n v="0"/>
  </r>
  <r>
    <x v="87"/>
    <s v="Win"/>
    <n v="3"/>
    <n v="5"/>
    <n v="2"/>
    <x v="47"/>
    <s v="5|19000102|46195"/>
    <n v="4"/>
    <n v="2026"/>
    <n v="6"/>
    <s v="Current"/>
    <x v="18"/>
    <s v="Loss"/>
    <b v="0"/>
    <n v="1"/>
    <n v="0"/>
    <n v="0"/>
    <n v="0"/>
  </r>
  <r>
    <x v="87"/>
    <s v="Win"/>
    <n v="3"/>
    <n v="5"/>
    <n v="2"/>
    <x v="47"/>
    <s v="5|19000102|46195"/>
    <n v="4"/>
    <n v="2026"/>
    <n v="6"/>
    <s v="Current"/>
    <x v="0"/>
    <s v="Loss"/>
    <b v="0"/>
    <n v="1"/>
    <n v="0"/>
    <n v="0"/>
    <n v="0"/>
  </r>
  <r>
    <x v="1"/>
    <s v="Loss"/>
    <n v="4"/>
    <n v="5"/>
    <n v="2"/>
    <x v="47"/>
    <s v="5|19000102|46195"/>
    <n v="4"/>
    <n v="2026"/>
    <n v="6"/>
    <s v="Current"/>
    <x v="79"/>
    <s v="Loss"/>
    <b v="0"/>
    <n v="0"/>
    <n v="1"/>
    <n v="0"/>
    <n v="0"/>
  </r>
  <r>
    <x v="1"/>
    <s v="Loss"/>
    <n v="4"/>
    <n v="5"/>
    <n v="2"/>
    <x v="47"/>
    <s v="5|19000102|46195"/>
    <n v="4"/>
    <n v="2026"/>
    <n v="6"/>
    <s v="Current"/>
    <x v="18"/>
    <s v="Loss"/>
    <b v="0"/>
    <n v="0"/>
    <n v="1"/>
    <n v="0"/>
    <n v="0"/>
  </r>
  <r>
    <x v="1"/>
    <s v="Loss"/>
    <n v="4"/>
    <n v="5"/>
    <n v="2"/>
    <x v="47"/>
    <s v="5|19000102|46195"/>
    <n v="4"/>
    <n v="2026"/>
    <n v="6"/>
    <s v="Current"/>
    <x v="87"/>
    <s v="Win"/>
    <b v="0"/>
    <n v="0"/>
    <n v="1"/>
    <n v="0"/>
    <n v="1"/>
  </r>
  <r>
    <x v="2"/>
    <s v="Loss"/>
    <n v="1"/>
    <n v="6"/>
    <n v="2"/>
    <x v="47"/>
    <s v="6|19000102|46195"/>
    <n v="4"/>
    <n v="2026"/>
    <n v="6"/>
    <s v="Current"/>
    <x v="7"/>
    <s v="Loss"/>
    <b v="0"/>
    <n v="0"/>
    <n v="1"/>
    <n v="0"/>
    <n v="0"/>
  </r>
  <r>
    <x v="2"/>
    <s v="Loss"/>
    <n v="1"/>
    <n v="6"/>
    <n v="2"/>
    <x v="47"/>
    <s v="6|19000102|46195"/>
    <n v="4"/>
    <n v="2026"/>
    <n v="6"/>
    <s v="Current"/>
    <x v="2"/>
    <s v="Win"/>
    <b v="0"/>
    <n v="0"/>
    <n v="1"/>
    <n v="0"/>
    <n v="1"/>
  </r>
  <r>
    <x v="2"/>
    <s v="Loss"/>
    <n v="1"/>
    <n v="6"/>
    <n v="2"/>
    <x v="47"/>
    <s v="6|19000102|46195"/>
    <n v="4"/>
    <n v="2026"/>
    <n v="6"/>
    <s v="Current"/>
    <x v="10"/>
    <s v="Loss"/>
    <b v="0"/>
    <n v="0"/>
    <n v="1"/>
    <n v="0"/>
    <n v="0"/>
  </r>
  <r>
    <x v="7"/>
    <s v="Loss"/>
    <n v="2"/>
    <n v="6"/>
    <n v="2"/>
    <x v="47"/>
    <s v="6|19000102|46195"/>
    <n v="4"/>
    <n v="2026"/>
    <n v="6"/>
    <s v="Current"/>
    <x v="1"/>
    <s v="Loss"/>
    <b v="0"/>
    <n v="0"/>
    <n v="1"/>
    <n v="0"/>
    <n v="0"/>
  </r>
  <r>
    <x v="7"/>
    <s v="Loss"/>
    <n v="2"/>
    <n v="6"/>
    <n v="2"/>
    <x v="47"/>
    <s v="6|19000102|46195"/>
    <n v="4"/>
    <n v="2026"/>
    <n v="6"/>
    <s v="Current"/>
    <x v="2"/>
    <s v="Win"/>
    <b v="0"/>
    <n v="0"/>
    <n v="1"/>
    <n v="0"/>
    <n v="1"/>
  </r>
  <r>
    <x v="7"/>
    <s v="Loss"/>
    <n v="2"/>
    <n v="6"/>
    <n v="2"/>
    <x v="47"/>
    <s v="6|19000102|46195"/>
    <n v="4"/>
    <n v="2026"/>
    <n v="6"/>
    <s v="Current"/>
    <x v="10"/>
    <s v="Loss"/>
    <b v="0"/>
    <n v="0"/>
    <n v="1"/>
    <n v="0"/>
    <n v="0"/>
  </r>
  <r>
    <x v="3"/>
    <s v="Win"/>
    <n v="3"/>
    <n v="6"/>
    <n v="2"/>
    <x v="47"/>
    <s v="6|19000102|46195"/>
    <n v="4"/>
    <n v="2026"/>
    <n v="6"/>
    <s v="Current"/>
    <x v="1"/>
    <s v="Loss"/>
    <b v="0"/>
    <n v="1"/>
    <n v="0"/>
    <n v="0"/>
    <n v="0"/>
  </r>
  <r>
    <x v="3"/>
    <s v="Win"/>
    <n v="3"/>
    <n v="6"/>
    <n v="2"/>
    <x v="47"/>
    <s v="6|19000102|46195"/>
    <n v="4"/>
    <n v="2026"/>
    <n v="6"/>
    <s v="Current"/>
    <x v="7"/>
    <s v="Loss"/>
    <b v="0"/>
    <n v="1"/>
    <n v="0"/>
    <n v="0"/>
    <n v="0"/>
  </r>
  <r>
    <x v="3"/>
    <s v="Win"/>
    <n v="3"/>
    <n v="6"/>
    <n v="2"/>
    <x v="47"/>
    <s v="6|19000102|46195"/>
    <n v="4"/>
    <n v="2026"/>
    <n v="6"/>
    <s v="Current"/>
    <x v="10"/>
    <s v="Loss"/>
    <b v="0"/>
    <n v="1"/>
    <n v="0"/>
    <n v="0"/>
    <n v="0"/>
  </r>
  <r>
    <x v="10"/>
    <s v="Loss"/>
    <n v="4"/>
    <n v="6"/>
    <n v="2"/>
    <x v="47"/>
    <s v="6|19000102|46195"/>
    <n v="4"/>
    <n v="2026"/>
    <n v="6"/>
    <s v="Current"/>
    <x v="1"/>
    <s v="Loss"/>
    <b v="0"/>
    <n v="0"/>
    <n v="1"/>
    <n v="0"/>
    <n v="0"/>
  </r>
  <r>
    <x v="10"/>
    <s v="Loss"/>
    <n v="4"/>
    <n v="6"/>
    <n v="2"/>
    <x v="47"/>
    <s v="6|19000102|46195"/>
    <n v="4"/>
    <n v="2026"/>
    <n v="6"/>
    <s v="Current"/>
    <x v="7"/>
    <s v="Loss"/>
    <b v="0"/>
    <n v="0"/>
    <n v="1"/>
    <n v="0"/>
    <n v="0"/>
  </r>
  <r>
    <x v="10"/>
    <s v="Loss"/>
    <n v="4"/>
    <n v="6"/>
    <n v="2"/>
    <x v="47"/>
    <s v="6|19000102|46195"/>
    <n v="4"/>
    <n v="2026"/>
    <n v="6"/>
    <s v="Current"/>
    <x v="2"/>
    <s v="Win"/>
    <b v="0"/>
    <n v="0"/>
    <n v="1"/>
    <n v="0"/>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7">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0"/>
    <x v="1"/>
    <x v="10"/>
    <x v="0"/>
  </r>
  <r>
    <x v="80"/>
    <x v="2"/>
    <x v="0"/>
    <n v="2"/>
    <n v="1"/>
    <d v="2026-05-18T00:00:00"/>
    <s v="2|19000101|46160"/>
    <x v="0"/>
    <x v="1"/>
    <x v="10"/>
    <x v="0"/>
  </r>
  <r>
    <x v="50"/>
    <x v="2"/>
    <x v="1"/>
    <n v="2"/>
    <n v="1"/>
    <d v="2026-05-18T00:00:00"/>
    <s v="2|19000101|46160"/>
    <x v="0"/>
    <x v="1"/>
    <x v="10"/>
    <x v="0"/>
  </r>
  <r>
    <x v="11"/>
    <x v="2"/>
    <x v="2"/>
    <n v="2"/>
    <n v="1"/>
    <d v="2026-05-18T00:00:00"/>
    <s v="2|19000101|46160"/>
    <x v="0"/>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1"/>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1"/>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82"/>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83"/>
    <x v="1"/>
    <x v="0"/>
    <n v="4"/>
    <n v="1"/>
    <d v="2026-06-01T00:00:00"/>
    <s v="4|19000101|46174"/>
    <x v="2"/>
    <x v="1"/>
    <x v="11"/>
    <x v="0"/>
  </r>
  <r>
    <x v="37"/>
    <x v="0"/>
    <x v="1"/>
    <n v="4"/>
    <n v="1"/>
    <d v="2026-06-01T00:00:00"/>
    <s v="4|19000101|46174"/>
    <x v="2"/>
    <x v="1"/>
    <x v="11"/>
    <x v="0"/>
  </r>
  <r>
    <x v="84"/>
    <x v="1"/>
    <x v="4"/>
    <n v="5"/>
    <n v="1"/>
    <d v="2026-06-01T00:00:00"/>
    <s v="5|19000101|46174"/>
    <x v="2"/>
    <x v="1"/>
    <x v="11"/>
    <x v="0"/>
  </r>
  <r>
    <x v="70"/>
    <x v="0"/>
    <x v="0"/>
    <n v="5"/>
    <n v="1"/>
    <d v="2026-06-01T00:00:00"/>
    <s v="5|19000101|46174"/>
    <x v="2"/>
    <x v="1"/>
    <x v="11"/>
    <x v="0"/>
  </r>
  <r>
    <x v="9"/>
    <x v="1"/>
    <x v="1"/>
    <n v="5"/>
    <n v="1"/>
    <d v="2026-06-01T00:00:00"/>
    <s v="5|19000101|46174"/>
    <x v="2"/>
    <x v="1"/>
    <x v="11"/>
    <x v="0"/>
  </r>
  <r>
    <x v="85"/>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83"/>
    <x v="1"/>
    <x v="2"/>
    <n v="4"/>
    <n v="2"/>
    <d v="2026-06-01T00:00:00"/>
    <s v="4|19000102|46174"/>
    <x v="0"/>
    <x v="1"/>
    <x v="11"/>
    <x v="0"/>
  </r>
  <r>
    <x v="18"/>
    <x v="1"/>
    <x v="4"/>
    <n v="5"/>
    <n v="2"/>
    <d v="2026-06-01T00:00:00"/>
    <s v="5|19000102|46174"/>
    <x v="0"/>
    <x v="1"/>
    <x v="11"/>
    <x v="0"/>
  </r>
  <r>
    <x v="84"/>
    <x v="1"/>
    <x v="0"/>
    <n v="5"/>
    <n v="2"/>
    <d v="2026-06-01T00:00:00"/>
    <s v="5|19000102|46174"/>
    <x v="0"/>
    <x v="1"/>
    <x v="11"/>
    <x v="0"/>
  </r>
  <r>
    <x v="85"/>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1"/>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6"/>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1"/>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6"/>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7"/>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88"/>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88"/>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7"/>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7"/>
    <x v="1"/>
    <x v="4"/>
    <n v="1"/>
    <n v="1"/>
    <d v="2026-06-22T00:00:00"/>
    <s v="1|19000101|46195"/>
    <x v="0"/>
    <x v="1"/>
    <x v="11"/>
    <x v="1"/>
  </r>
  <r>
    <x v="57"/>
    <x v="1"/>
    <x v="0"/>
    <n v="1"/>
    <n v="1"/>
    <d v="2026-06-22T00:00:00"/>
    <s v="1|19000101|46195"/>
    <x v="0"/>
    <x v="1"/>
    <x v="11"/>
    <x v="1"/>
  </r>
  <r>
    <x v="1"/>
    <x v="0"/>
    <x v="1"/>
    <n v="1"/>
    <n v="1"/>
    <d v="2026-06-22T00:00:00"/>
    <s v="1|19000101|46195"/>
    <x v="0"/>
    <x v="1"/>
    <x v="11"/>
    <x v="1"/>
  </r>
  <r>
    <x v="18"/>
    <x v="1"/>
    <x v="2"/>
    <n v="1"/>
    <n v="1"/>
    <d v="2026-06-22T00:00:00"/>
    <s v="1|19000101|46195"/>
    <x v="0"/>
    <x v="1"/>
    <x v="11"/>
    <x v="1"/>
  </r>
  <r>
    <x v="11"/>
    <x v="2"/>
    <x v="4"/>
    <n v="2"/>
    <n v="1"/>
    <d v="2026-06-22T00:00:00"/>
    <s v="2|19000101|46195"/>
    <x v="0"/>
    <x v="1"/>
    <x v="11"/>
    <x v="1"/>
  </r>
  <r>
    <x v="70"/>
    <x v="2"/>
    <x v="0"/>
    <n v="2"/>
    <n v="1"/>
    <d v="2026-06-22T00:00:00"/>
    <s v="2|19000101|46195"/>
    <x v="0"/>
    <x v="1"/>
    <x v="11"/>
    <x v="1"/>
  </r>
  <r>
    <x v="62"/>
    <x v="2"/>
    <x v="1"/>
    <n v="2"/>
    <n v="1"/>
    <d v="2026-06-22T00:00:00"/>
    <s v="2|19000101|46195"/>
    <x v="0"/>
    <x v="1"/>
    <x v="11"/>
    <x v="1"/>
  </r>
  <r>
    <x v="4"/>
    <x v="2"/>
    <x v="2"/>
    <n v="2"/>
    <n v="1"/>
    <d v="2026-06-22T00:00:00"/>
    <s v="2|19000101|46195"/>
    <x v="0"/>
    <x v="1"/>
    <x v="11"/>
    <x v="1"/>
  </r>
  <r>
    <x v="13"/>
    <x v="1"/>
    <x v="4"/>
    <n v="3"/>
    <n v="1"/>
    <d v="2026-06-22T00:00:00"/>
    <s v="3|19000101|46195"/>
    <x v="0"/>
    <x v="1"/>
    <x v="11"/>
    <x v="1"/>
  </r>
  <r>
    <x v="42"/>
    <x v="1"/>
    <x v="0"/>
    <n v="3"/>
    <n v="1"/>
    <d v="2026-06-22T00:00:00"/>
    <s v="3|19000101|46195"/>
    <x v="0"/>
    <x v="1"/>
    <x v="11"/>
    <x v="1"/>
  </r>
  <r>
    <x v="86"/>
    <x v="0"/>
    <x v="1"/>
    <n v="3"/>
    <n v="1"/>
    <d v="2026-06-22T00:00:00"/>
    <s v="3|19000101|46195"/>
    <x v="0"/>
    <x v="1"/>
    <x v="11"/>
    <x v="1"/>
  </r>
  <r>
    <x v="89"/>
    <x v="1"/>
    <x v="2"/>
    <n v="3"/>
    <n v="1"/>
    <d v="2026-06-22T00:00:00"/>
    <s v="3|19000101|46195"/>
    <x v="0"/>
    <x v="1"/>
    <x v="11"/>
    <x v="1"/>
  </r>
  <r>
    <x v="81"/>
    <x v="2"/>
    <x v="4"/>
    <n v="4"/>
    <n v="1"/>
    <d v="2026-06-22T00:00:00"/>
    <s v="4|19000101|46195"/>
    <x v="0"/>
    <x v="1"/>
    <x v="11"/>
    <x v="1"/>
  </r>
  <r>
    <x v="37"/>
    <x v="2"/>
    <x v="0"/>
    <n v="4"/>
    <n v="1"/>
    <d v="2026-06-22T00:00:00"/>
    <s v="4|19000101|46195"/>
    <x v="0"/>
    <x v="1"/>
    <x v="11"/>
    <x v="1"/>
  </r>
  <r>
    <x v="90"/>
    <x v="2"/>
    <x v="1"/>
    <n v="4"/>
    <n v="1"/>
    <d v="2026-06-22T00:00:00"/>
    <s v="4|19000101|46195"/>
    <x v="0"/>
    <x v="1"/>
    <x v="11"/>
    <x v="1"/>
  </r>
  <r>
    <x v="14"/>
    <x v="2"/>
    <x v="2"/>
    <n v="4"/>
    <n v="1"/>
    <d v="2026-06-22T00:00:00"/>
    <s v="4|19000101|46195"/>
    <x v="0"/>
    <x v="1"/>
    <x v="11"/>
    <x v="1"/>
  </r>
  <r>
    <x v="58"/>
    <x v="2"/>
    <x v="4"/>
    <n v="5"/>
    <n v="1"/>
    <d v="2026-06-22T00:00:00"/>
    <s v="5|19000101|46195"/>
    <x v="0"/>
    <x v="1"/>
    <x v="11"/>
    <x v="1"/>
  </r>
  <r>
    <x v="27"/>
    <x v="2"/>
    <x v="0"/>
    <n v="5"/>
    <n v="1"/>
    <d v="2026-06-22T00:00:00"/>
    <s v="5|19000101|46195"/>
    <x v="0"/>
    <x v="1"/>
    <x v="11"/>
    <x v="1"/>
  </r>
  <r>
    <x v="91"/>
    <x v="2"/>
    <x v="1"/>
    <n v="5"/>
    <n v="1"/>
    <d v="2026-06-22T00:00:00"/>
    <s v="5|19000101|46195"/>
    <x v="0"/>
    <x v="1"/>
    <x v="11"/>
    <x v="1"/>
  </r>
  <r>
    <x v="28"/>
    <x v="2"/>
    <x v="2"/>
    <n v="5"/>
    <n v="1"/>
    <d v="2026-06-22T00:00:00"/>
    <s v="5|19000101|46195"/>
    <x v="0"/>
    <x v="1"/>
    <x v="11"/>
    <x v="1"/>
  </r>
  <r>
    <x v="8"/>
    <x v="0"/>
    <x v="4"/>
    <n v="6"/>
    <n v="1"/>
    <d v="2026-06-22T00:00:00"/>
    <s v="6|19000101|46195"/>
    <x v="2"/>
    <x v="1"/>
    <x v="11"/>
    <x v="1"/>
  </r>
  <r>
    <x v="79"/>
    <x v="1"/>
    <x v="0"/>
    <n v="6"/>
    <n v="1"/>
    <d v="2026-06-22T00:00:00"/>
    <s v="6|19000101|46195"/>
    <x v="2"/>
    <x v="1"/>
    <x v="11"/>
    <x v="1"/>
  </r>
  <r>
    <x v="15"/>
    <x v="1"/>
    <x v="1"/>
    <n v="6"/>
    <n v="1"/>
    <d v="2026-06-22T00:00:00"/>
    <s v="6|19000101|46195"/>
    <x v="2"/>
    <x v="1"/>
    <x v="11"/>
    <x v="1"/>
  </r>
  <r>
    <x v="28"/>
    <x v="1"/>
    <x v="4"/>
    <n v="1"/>
    <n v="2"/>
    <d v="2026-06-22T00:00:00"/>
    <s v="1|19000102|46195"/>
    <x v="0"/>
    <x v="1"/>
    <x v="11"/>
    <x v="1"/>
  </r>
  <r>
    <x v="81"/>
    <x v="1"/>
    <x v="0"/>
    <n v="1"/>
    <n v="2"/>
    <d v="2026-06-22T00:00:00"/>
    <s v="1|19000102|46195"/>
    <x v="0"/>
    <x v="1"/>
    <x v="11"/>
    <x v="1"/>
  </r>
  <r>
    <x v="9"/>
    <x v="0"/>
    <x v="1"/>
    <n v="1"/>
    <n v="2"/>
    <d v="2026-06-22T00:00:00"/>
    <s v="1|19000102|46195"/>
    <x v="0"/>
    <x v="1"/>
    <x v="11"/>
    <x v="1"/>
  </r>
  <r>
    <x v="70"/>
    <x v="1"/>
    <x v="2"/>
    <n v="1"/>
    <n v="2"/>
    <d v="2026-06-22T00:00:00"/>
    <s v="1|19000102|46195"/>
    <x v="0"/>
    <x v="1"/>
    <x v="11"/>
    <x v="1"/>
  </r>
  <r>
    <x v="4"/>
    <x v="0"/>
    <x v="4"/>
    <n v="2"/>
    <n v="2"/>
    <d v="2026-06-22T00:00:00"/>
    <s v="2|19000102|46195"/>
    <x v="0"/>
    <x v="1"/>
    <x v="11"/>
    <x v="1"/>
  </r>
  <r>
    <x v="57"/>
    <x v="1"/>
    <x v="0"/>
    <n v="2"/>
    <n v="2"/>
    <d v="2026-06-22T00:00:00"/>
    <s v="2|19000102|46195"/>
    <x v="0"/>
    <x v="1"/>
    <x v="11"/>
    <x v="1"/>
  </r>
  <r>
    <x v="8"/>
    <x v="1"/>
    <x v="1"/>
    <n v="2"/>
    <n v="2"/>
    <d v="2026-06-22T00:00:00"/>
    <s v="2|19000102|46195"/>
    <x v="0"/>
    <x v="1"/>
    <x v="11"/>
    <x v="1"/>
  </r>
  <r>
    <x v="90"/>
    <x v="1"/>
    <x v="2"/>
    <n v="2"/>
    <n v="2"/>
    <d v="2026-06-22T00:00:00"/>
    <s v="2|19000102|46195"/>
    <x v="0"/>
    <x v="1"/>
    <x v="11"/>
    <x v="1"/>
  </r>
  <r>
    <x v="91"/>
    <x v="1"/>
    <x v="4"/>
    <n v="3"/>
    <n v="2"/>
    <d v="2026-06-22T00:00:00"/>
    <s v="3|19000102|46195"/>
    <x v="0"/>
    <x v="1"/>
    <x v="11"/>
    <x v="1"/>
  </r>
  <r>
    <x v="14"/>
    <x v="0"/>
    <x v="0"/>
    <n v="3"/>
    <n v="2"/>
    <d v="2026-06-22T00:00:00"/>
    <s v="3|19000102|46195"/>
    <x v="0"/>
    <x v="1"/>
    <x v="11"/>
    <x v="1"/>
  </r>
  <r>
    <x v="89"/>
    <x v="1"/>
    <x v="1"/>
    <n v="3"/>
    <n v="2"/>
    <d v="2026-06-22T00:00:00"/>
    <s v="3|19000102|46195"/>
    <x v="0"/>
    <x v="1"/>
    <x v="11"/>
    <x v="1"/>
  </r>
  <r>
    <x v="86"/>
    <x v="1"/>
    <x v="2"/>
    <n v="3"/>
    <n v="2"/>
    <d v="2026-06-22T00:00:00"/>
    <s v="3|19000102|46195"/>
    <x v="0"/>
    <x v="1"/>
    <x v="11"/>
    <x v="1"/>
  </r>
  <r>
    <x v="62"/>
    <x v="0"/>
    <x v="4"/>
    <n v="4"/>
    <n v="2"/>
    <d v="2026-06-22T00:00:00"/>
    <s v="4|19000102|46195"/>
    <x v="0"/>
    <x v="1"/>
    <x v="11"/>
    <x v="1"/>
  </r>
  <r>
    <x v="1"/>
    <x v="1"/>
    <x v="0"/>
    <n v="4"/>
    <n v="2"/>
    <d v="2026-06-22T00:00:00"/>
    <s v="4|19000102|46195"/>
    <x v="0"/>
    <x v="1"/>
    <x v="11"/>
    <x v="1"/>
  </r>
  <r>
    <x v="27"/>
    <x v="1"/>
    <x v="1"/>
    <n v="4"/>
    <n v="2"/>
    <d v="2026-06-22T00:00:00"/>
    <s v="4|19000102|46195"/>
    <x v="0"/>
    <x v="1"/>
    <x v="11"/>
    <x v="1"/>
  </r>
  <r>
    <x v="37"/>
    <x v="1"/>
    <x v="2"/>
    <n v="4"/>
    <n v="2"/>
    <d v="2026-06-22T00:00:00"/>
    <s v="4|19000102|46195"/>
    <x v="0"/>
    <x v="1"/>
    <x v="11"/>
    <x v="1"/>
  </r>
  <r>
    <x v="79"/>
    <x v="1"/>
    <x v="4"/>
    <n v="5"/>
    <n v="2"/>
    <d v="2026-06-22T00:00:00"/>
    <s v="5|19000102|46195"/>
    <x v="0"/>
    <x v="1"/>
    <x v="11"/>
    <x v="1"/>
  </r>
  <r>
    <x v="11"/>
    <x v="1"/>
    <x v="0"/>
    <n v="5"/>
    <n v="2"/>
    <d v="2026-06-22T00:00:00"/>
    <s v="5|19000102|46195"/>
    <x v="0"/>
    <x v="1"/>
    <x v="11"/>
    <x v="1"/>
  </r>
  <r>
    <x v="87"/>
    <x v="0"/>
    <x v="1"/>
    <n v="5"/>
    <n v="2"/>
    <d v="2026-06-22T00:00:00"/>
    <s v="5|19000102|46195"/>
    <x v="0"/>
    <x v="1"/>
    <x v="11"/>
    <x v="1"/>
  </r>
  <r>
    <x v="13"/>
    <x v="1"/>
    <x v="2"/>
    <n v="5"/>
    <n v="2"/>
    <d v="2026-06-22T00:00:00"/>
    <s v="5|19000102|46195"/>
    <x v="0"/>
    <x v="1"/>
    <x v="11"/>
    <x v="1"/>
  </r>
  <r>
    <x v="18"/>
    <x v="1"/>
    <x v="4"/>
    <n v="6"/>
    <n v="2"/>
    <d v="2026-06-22T00:00:00"/>
    <s v="6|19000102|46195"/>
    <x v="0"/>
    <x v="1"/>
    <x v="11"/>
    <x v="1"/>
  </r>
  <r>
    <x v="58"/>
    <x v="1"/>
    <x v="0"/>
    <n v="6"/>
    <n v="2"/>
    <d v="2026-06-22T00:00:00"/>
    <s v="6|19000102|46195"/>
    <x v="0"/>
    <x v="1"/>
    <x v="11"/>
    <x v="1"/>
  </r>
  <r>
    <x v="42"/>
    <x v="0"/>
    <x v="1"/>
    <n v="6"/>
    <n v="2"/>
    <d v="2026-06-22T00:00:00"/>
    <s v="6|19000102|46195"/>
    <x v="0"/>
    <x v="1"/>
    <x v="11"/>
    <x v="1"/>
  </r>
  <r>
    <x v="15"/>
    <x v="1"/>
    <x v="2"/>
    <n v="6"/>
    <n v="2"/>
    <d v="2026-06-22T00:00:00"/>
    <s v="6|19000102|46195"/>
    <x v="0"/>
    <x v="1"/>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53" firstHeaderRow="1" firstDataRow="2" firstDataCol="1" rowPageCount="2" colPageCount="1"/>
  <pivotFields count="11">
    <pivotField axis="axisRow" showAll="0">
      <items count="141">
        <item x="1"/>
        <item x="8"/>
        <item x="9"/>
        <item x="11"/>
        <item x="13"/>
        <item x="15"/>
        <item m="1" x="121"/>
        <item x="42"/>
        <item x="47"/>
        <item x="48"/>
        <item x="50"/>
        <item x="51"/>
        <item x="55"/>
        <item x="56"/>
        <item x="57"/>
        <item x="58"/>
        <item x="61"/>
        <item x="0"/>
        <item m="1" x="108"/>
        <item x="72"/>
        <item x="18"/>
        <item x="33"/>
        <item x="53"/>
        <item x="22"/>
        <item m="1" x="134"/>
        <item m="1" x="135"/>
        <item m="1" x="136"/>
        <item m="1" x="137"/>
        <item m="1" x="138"/>
        <item m="1" x="139"/>
        <item x="60"/>
        <item m="1" x="102"/>
        <item x="45"/>
        <item x="27"/>
        <item x="44"/>
        <item x="26"/>
        <item x="52"/>
        <item m="1" x="132"/>
        <item x="43"/>
        <item x="6"/>
        <item x="35"/>
        <item x="23"/>
        <item m="1" x="120"/>
        <item x="49"/>
        <item x="36"/>
        <item m="1" x="114"/>
        <item x="19"/>
        <item m="1" x="133"/>
        <item m="1" x="129"/>
        <item x="16"/>
        <item m="1" x="104"/>
        <item x="38"/>
        <item x="31"/>
        <item x="21"/>
        <item x="46"/>
        <item m="1" x="130"/>
        <item x="62"/>
        <item m="1" x="131"/>
        <item x="39"/>
        <item x="17"/>
        <item x="41"/>
        <item x="3"/>
        <item m="1" x="96"/>
        <item x="32"/>
        <item x="20"/>
        <item x="30"/>
        <item x="59"/>
        <item x="34"/>
        <item m="1" x="128"/>
        <item m="1" x="117"/>
        <item m="1" x="110"/>
        <item m="1" x="109"/>
        <item x="12"/>
        <item m="1" x="112"/>
        <item x="40"/>
        <item m="1" x="127"/>
        <item m="1" x="125"/>
        <item m="1" x="124"/>
        <item m="1" x="126"/>
        <item m="1" x="122"/>
        <item m="1" x="123"/>
        <item m="1" x="111"/>
        <item x="5"/>
        <item x="2"/>
        <item x="29"/>
        <item x="10"/>
        <item x="37"/>
        <item m="1" x="118"/>
        <item m="1" x="113"/>
        <item x="4"/>
        <item m="1" x="119"/>
        <item x="25"/>
        <item x="14"/>
        <item x="54"/>
        <item m="1" x="97"/>
        <item x="63"/>
        <item m="1" x="116"/>
        <item m="1" x="115"/>
        <item x="65"/>
        <item x="66"/>
        <item x="67"/>
        <item x="68"/>
        <item x="69"/>
        <item x="70"/>
        <item x="71"/>
        <item x="7"/>
        <item x="24"/>
        <item x="28"/>
        <item x="64"/>
        <item x="73"/>
        <item x="74"/>
        <item m="1" x="106"/>
        <item m="1" x="107"/>
        <item m="1" x="105"/>
        <item m="1" x="100"/>
        <item x="75"/>
        <item m="1" x="103"/>
        <item x="76"/>
        <item x="77"/>
        <item x="78"/>
        <item m="1" x="101"/>
        <item x="79"/>
        <item x="80"/>
        <item x="81"/>
        <item m="1" x="98"/>
        <item m="1" x="99"/>
        <item x="82"/>
        <item x="83"/>
        <item x="84"/>
        <item x="85"/>
        <item x="86"/>
        <item x="87"/>
        <item x="88"/>
        <item m="1" x="93"/>
        <item m="1" x="94"/>
        <item x="89"/>
        <item x="90"/>
        <item m="1" x="92"/>
        <item x="91"/>
        <item m="1"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x="9"/>
        <item x="10"/>
        <item x="11"/>
        <item h="1" x="6"/>
        <item h="1" x="4"/>
        <item h="1" x="5"/>
        <item h="1" x="3"/>
        <item h="1" x="1"/>
        <item h="1" x="0"/>
        <item t="default"/>
      </items>
    </pivotField>
    <pivotField axis="axisPage" showAll="0">
      <items count="4">
        <item x="1"/>
        <item x="0"/>
        <item m="1" x="2"/>
        <item t="default"/>
      </items>
    </pivotField>
  </pivotFields>
  <rowFields count="1">
    <field x="0"/>
  </rowFields>
  <rowItems count="47">
    <i>
      <x/>
    </i>
    <i>
      <x v="1"/>
    </i>
    <i>
      <x v="2"/>
    </i>
    <i>
      <x v="3"/>
    </i>
    <i>
      <x v="4"/>
    </i>
    <i>
      <x v="5"/>
    </i>
    <i>
      <x v="7"/>
    </i>
    <i>
      <x v="10"/>
    </i>
    <i>
      <x v="14"/>
    </i>
    <i>
      <x v="15"/>
    </i>
    <i>
      <x v="17"/>
    </i>
    <i>
      <x v="20"/>
    </i>
    <i>
      <x v="21"/>
    </i>
    <i>
      <x v="33"/>
    </i>
    <i>
      <x v="46"/>
    </i>
    <i>
      <x v="49"/>
    </i>
    <i>
      <x v="56"/>
    </i>
    <i>
      <x v="61"/>
    </i>
    <i>
      <x v="72"/>
    </i>
    <i>
      <x v="82"/>
    </i>
    <i>
      <x v="85"/>
    </i>
    <i>
      <x v="86"/>
    </i>
    <i>
      <x v="89"/>
    </i>
    <i>
      <x v="91"/>
    </i>
    <i>
      <x v="92"/>
    </i>
    <i>
      <x v="93"/>
    </i>
    <i>
      <x v="100"/>
    </i>
    <i>
      <x v="103"/>
    </i>
    <i>
      <x v="105"/>
    </i>
    <i>
      <x v="106"/>
    </i>
    <i>
      <x v="107"/>
    </i>
    <i>
      <x v="110"/>
    </i>
    <i>
      <x v="115"/>
    </i>
    <i>
      <x v="117"/>
    </i>
    <i>
      <x v="118"/>
    </i>
    <i>
      <x v="119"/>
    </i>
    <i>
      <x v="121"/>
    </i>
    <i>
      <x v="122"/>
    </i>
    <i>
      <x v="123"/>
    </i>
    <i>
      <x v="126"/>
    </i>
    <i>
      <x v="127"/>
    </i>
    <i>
      <x v="128"/>
    </i>
    <i>
      <x v="129"/>
    </i>
    <i>
      <x v="130"/>
    </i>
    <i>
      <x v="131"/>
    </i>
    <i>
      <x v="132"/>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59" firstHeaderRow="0" firstDataRow="1" firstDataCol="1" rowPageCount="1" colPageCount="1"/>
  <pivotFields count="22">
    <pivotField axis="axisPage" showAll="0">
      <items count="127">
        <item x="0"/>
        <item x="4"/>
        <item x="40"/>
        <item x="50"/>
        <item x="14"/>
        <item x="5"/>
        <item x="18"/>
        <item m="1" x="107"/>
        <item x="1"/>
        <item x="10"/>
        <item x="15"/>
        <item x="8"/>
        <item x="2"/>
        <item x="34"/>
        <item x="62"/>
        <item m="1" x="120"/>
        <item x="9"/>
        <item x="61"/>
        <item x="22"/>
        <item x="24"/>
        <item m="1" x="119"/>
        <item m="1" x="113"/>
        <item x="55"/>
        <item x="53"/>
        <item x="35"/>
        <item x="13"/>
        <item x="37"/>
        <item x="56"/>
        <item x="51"/>
        <item m="1" x="103"/>
        <item x="29"/>
        <item x="36"/>
        <item x="49"/>
        <item x="3"/>
        <item x="54"/>
        <item x="25"/>
        <item x="60"/>
        <item x="63"/>
        <item x="6"/>
        <item x="19"/>
        <item x="52"/>
        <item x="20"/>
        <item x="23"/>
        <item x="27"/>
        <item x="30"/>
        <item x="26"/>
        <item x="57"/>
        <item x="17"/>
        <item x="7"/>
        <item x="31"/>
        <item x="59"/>
        <item m="1" x="101"/>
        <item x="33"/>
        <item m="1" x="116"/>
        <item m="1" x="110"/>
        <item m="1" x="109"/>
        <item x="12"/>
        <item m="1" x="111"/>
        <item x="42"/>
        <item m="1" x="125"/>
        <item m="1" x="123"/>
        <item m="1" x="124"/>
        <item m="1" x="121"/>
        <item m="1" x="122"/>
        <item x="28"/>
        <item m="1" x="108"/>
        <item x="45"/>
        <item x="47"/>
        <item x="48"/>
        <item x="46"/>
        <item x="43"/>
        <item m="1" x="117"/>
        <item m="1" x="112"/>
        <item x="21"/>
        <item x="44"/>
        <item m="1" x="118"/>
        <item x="11"/>
        <item x="16"/>
        <item x="58"/>
        <item m="1" x="97"/>
        <item x="64"/>
        <item m="1" x="115"/>
        <item m="1" x="114"/>
        <item x="66"/>
        <item x="65"/>
        <item x="67"/>
        <item x="68"/>
        <item x="69"/>
        <item x="70"/>
        <item x="71"/>
        <item x="72"/>
        <item x="32"/>
        <item x="38"/>
        <item x="39"/>
        <item x="41"/>
        <item x="73"/>
        <item x="74"/>
        <item m="1" x="105"/>
        <item m="1" x="106"/>
        <item m="1" x="104"/>
        <item m="1" x="100"/>
        <item x="75"/>
        <item m="1" x="102"/>
        <item x="76"/>
        <item x="77"/>
        <item x="78"/>
        <item m="1" x="96"/>
        <item x="79"/>
        <item x="80"/>
        <item x="81"/>
        <item m="1" x="98"/>
        <item m="1" x="99"/>
        <item x="82"/>
        <item x="83"/>
        <item x="84"/>
        <item x="85"/>
        <item x="86"/>
        <item x="87"/>
        <item x="88"/>
        <item m="1" x="93"/>
        <item m="1" x="94"/>
        <item x="89"/>
        <item x="90"/>
        <item x="91"/>
        <item x="92"/>
        <item m="1" x="95"/>
        <item t="default"/>
      </items>
    </pivotField>
    <pivotField showAll="0"/>
    <pivotField showAll="0"/>
    <pivotField showAll="0"/>
    <pivotField showAll="0"/>
    <pivotField numFmtId="22" showAll="0">
      <items count="49">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t="default"/>
      </items>
    </pivotField>
    <pivotField dataField="1" showAll="0"/>
    <pivotField showAll="0"/>
    <pivotField showAll="0"/>
    <pivotField showAll="0"/>
    <pivotField showAll="0"/>
    <pivotField axis="axisRow" showAll="0" sortType="descending">
      <items count="127">
        <item x="3"/>
        <item x="4"/>
        <item x="40"/>
        <item x="50"/>
        <item x="14"/>
        <item x="5"/>
        <item x="18"/>
        <item m="1" x="107"/>
        <item x="0"/>
        <item x="10"/>
        <item x="15"/>
        <item x="8"/>
        <item x="1"/>
        <item x="34"/>
        <item x="62"/>
        <item m="1" x="120"/>
        <item x="9"/>
        <item x="61"/>
        <item x="22"/>
        <item x="24"/>
        <item m="1" x="119"/>
        <item m="1" x="113"/>
        <item x="55"/>
        <item x="53"/>
        <item x="35"/>
        <item x="13"/>
        <item x="37"/>
        <item x="56"/>
        <item x="51"/>
        <item m="1" x="103"/>
        <item x="29"/>
        <item x="36"/>
        <item x="49"/>
        <item x="2"/>
        <item x="54"/>
        <item x="25"/>
        <item x="60"/>
        <item x="63"/>
        <item x="6"/>
        <item x="19"/>
        <item x="52"/>
        <item x="20"/>
        <item x="23"/>
        <item x="27"/>
        <item x="30"/>
        <item x="26"/>
        <item x="57"/>
        <item x="17"/>
        <item x="7"/>
        <item x="31"/>
        <item x="59"/>
        <item m="1" x="101"/>
        <item x="33"/>
        <item m="1" x="116"/>
        <item m="1" x="110"/>
        <item m="1" x="109"/>
        <item x="12"/>
        <item m="1" x="111"/>
        <item x="42"/>
        <item m="1" x="125"/>
        <item m="1" x="123"/>
        <item m="1" x="124"/>
        <item m="1" x="121"/>
        <item m="1" x="122"/>
        <item x="28"/>
        <item m="1" x="108"/>
        <item x="45"/>
        <item x="47"/>
        <item x="48"/>
        <item x="46"/>
        <item x="43"/>
        <item m="1" x="117"/>
        <item m="1" x="112"/>
        <item x="21"/>
        <item x="44"/>
        <item m="1" x="118"/>
        <item x="11"/>
        <item x="16"/>
        <item x="58"/>
        <item m="1" x="97"/>
        <item x="64"/>
        <item m="1" x="115"/>
        <item m="1" x="114"/>
        <item x="65"/>
        <item x="66"/>
        <item x="67"/>
        <item x="68"/>
        <item x="69"/>
        <item x="70"/>
        <item x="71"/>
        <item x="72"/>
        <item x="32"/>
        <item x="38"/>
        <item x="39"/>
        <item x="41"/>
        <item x="73"/>
        <item x="74"/>
        <item m="1" x="105"/>
        <item m="1" x="106"/>
        <item m="1" x="104"/>
        <item m="1" x="100"/>
        <item x="75"/>
        <item m="1" x="102"/>
        <item x="76"/>
        <item x="77"/>
        <item x="78"/>
        <item m="1" x="96"/>
        <item x="79"/>
        <item x="80"/>
        <item m="1" x="98"/>
        <item x="81"/>
        <item m="1" x="99"/>
        <item x="82"/>
        <item x="83"/>
        <item x="84"/>
        <item x="85"/>
        <item x="86"/>
        <item x="87"/>
        <item x="88"/>
        <item m="1" x="94"/>
        <item x="89"/>
        <item m="1" x="93"/>
        <item x="90"/>
        <item x="91"/>
        <item x="92"/>
        <item m="1" x="9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6">
    <i>
      <x v="47"/>
    </i>
    <i>
      <x v="1"/>
    </i>
    <i>
      <x v="12"/>
    </i>
    <i>
      <x v="73"/>
    </i>
    <i>
      <x v="6"/>
    </i>
    <i>
      <x v="33"/>
    </i>
    <i>
      <x v="9"/>
    </i>
    <i>
      <x v="19"/>
    </i>
    <i>
      <x v="48"/>
    </i>
    <i>
      <x v="4"/>
    </i>
    <i>
      <x v="5"/>
    </i>
    <i>
      <x v="10"/>
    </i>
    <i>
      <x v="56"/>
    </i>
    <i>
      <x v="64"/>
    </i>
    <i>
      <x v="25"/>
    </i>
    <i>
      <x v="74"/>
    </i>
    <i>
      <x v="13"/>
    </i>
    <i>
      <x v="41"/>
    </i>
    <i>
      <x v="42"/>
    </i>
    <i>
      <x v="77"/>
    </i>
    <i>
      <x v="88"/>
    </i>
    <i>
      <x v="43"/>
    </i>
    <i>
      <x v="45"/>
    </i>
    <i>
      <x v="49"/>
    </i>
    <i>
      <x v="76"/>
    </i>
    <i>
      <x v="107"/>
    </i>
    <i>
      <x/>
    </i>
    <i>
      <x v="11"/>
    </i>
    <i>
      <x v="70"/>
    </i>
    <i>
      <x v="116"/>
    </i>
    <i>
      <x v="31"/>
    </i>
    <i>
      <x v="38"/>
    </i>
    <i>
      <x v="52"/>
    </i>
    <i>
      <x v="91"/>
    </i>
    <i>
      <x v="35"/>
    </i>
    <i>
      <x v="69"/>
    </i>
    <i>
      <x v="39"/>
    </i>
    <i>
      <x v="2"/>
    </i>
    <i>
      <x v="95"/>
    </i>
    <i>
      <x v="66"/>
    </i>
    <i>
      <x v="37"/>
    </i>
    <i>
      <x v="3"/>
    </i>
    <i>
      <x v="27"/>
    </i>
    <i>
      <x v="118"/>
    </i>
    <i>
      <x v="120"/>
    </i>
    <i>
      <x v="93"/>
    </i>
    <i>
      <x v="14"/>
    </i>
    <i>
      <x v="105"/>
    </i>
    <i>
      <x v="78"/>
    </i>
    <i>
      <x v="110"/>
    </i>
    <i>
      <x v="87"/>
    </i>
    <i>
      <x v="117"/>
    </i>
    <i>
      <x v="36"/>
    </i>
    <i>
      <x v="30"/>
    </i>
    <i>
      <x v="90"/>
    </i>
    <i>
      <x v="44"/>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55" firstHeaderRow="1" firstDataRow="2" firstDataCol="1" rowPageCount="1" colPageCount="1"/>
  <pivotFields count="11">
    <pivotField axis="axisRow" showAll="0">
      <items count="141">
        <item x="1"/>
        <item x="8"/>
        <item x="9"/>
        <item x="11"/>
        <item x="13"/>
        <item x="15"/>
        <item m="1" x="121"/>
        <item x="42"/>
        <item x="47"/>
        <item x="48"/>
        <item x="50"/>
        <item x="51"/>
        <item x="55"/>
        <item x="56"/>
        <item x="57"/>
        <item x="58"/>
        <item x="61"/>
        <item x="0"/>
        <item m="1" x="108"/>
        <item x="72"/>
        <item x="18"/>
        <item x="33"/>
        <item x="53"/>
        <item x="22"/>
        <item m="1" x="134"/>
        <item m="1" x="135"/>
        <item m="1" x="136"/>
        <item m="1" x="137"/>
        <item m="1" x="138"/>
        <item m="1" x="139"/>
        <item x="60"/>
        <item m="1" x="102"/>
        <item x="45"/>
        <item x="27"/>
        <item x="44"/>
        <item x="26"/>
        <item x="52"/>
        <item m="1" x="132"/>
        <item x="43"/>
        <item x="6"/>
        <item x="35"/>
        <item x="23"/>
        <item m="1" x="120"/>
        <item x="49"/>
        <item x="36"/>
        <item m="1" x="114"/>
        <item x="19"/>
        <item m="1" x="133"/>
        <item m="1" x="129"/>
        <item x="16"/>
        <item m="1" x="104"/>
        <item x="38"/>
        <item x="31"/>
        <item x="21"/>
        <item x="46"/>
        <item m="1" x="130"/>
        <item x="62"/>
        <item m="1" x="131"/>
        <item x="39"/>
        <item x="17"/>
        <item x="41"/>
        <item x="3"/>
        <item m="1" x="96"/>
        <item x="32"/>
        <item x="20"/>
        <item x="30"/>
        <item x="59"/>
        <item x="34"/>
        <item m="1" x="128"/>
        <item m="1" x="117"/>
        <item m="1" x="110"/>
        <item m="1" x="109"/>
        <item x="12"/>
        <item m="1" x="112"/>
        <item x="40"/>
        <item m="1" x="127"/>
        <item m="1" x="125"/>
        <item m="1" x="124"/>
        <item m="1" x="126"/>
        <item m="1" x="122"/>
        <item m="1" x="123"/>
        <item m="1" x="111"/>
        <item x="5"/>
        <item x="2"/>
        <item x="29"/>
        <item x="10"/>
        <item x="37"/>
        <item m="1" x="118"/>
        <item m="1" x="113"/>
        <item x="4"/>
        <item m="1" x="119"/>
        <item x="25"/>
        <item x="14"/>
        <item x="54"/>
        <item m="1" x="97"/>
        <item x="63"/>
        <item m="1" x="116"/>
        <item m="1" x="115"/>
        <item x="65"/>
        <item x="66"/>
        <item x="67"/>
        <item x="68"/>
        <item x="69"/>
        <item x="70"/>
        <item x="71"/>
        <item x="7"/>
        <item x="24"/>
        <item x="28"/>
        <item x="64"/>
        <item x="73"/>
        <item x="74"/>
        <item m="1" x="106"/>
        <item m="1" x="107"/>
        <item m="1" x="105"/>
        <item m="1" x="100"/>
        <item x="75"/>
        <item m="1" x="103"/>
        <item x="76"/>
        <item x="77"/>
        <item x="78"/>
        <item m="1" x="101"/>
        <item x="79"/>
        <item x="80"/>
        <item x="81"/>
        <item m="1" x="98"/>
        <item m="1" x="99"/>
        <item x="82"/>
        <item x="83"/>
        <item x="84"/>
        <item x="85"/>
        <item x="86"/>
        <item x="87"/>
        <item x="88"/>
        <item m="1" x="93"/>
        <item m="1" x="94"/>
        <item x="89"/>
        <item x="90"/>
        <item m="1" x="92"/>
        <item x="91"/>
        <item m="1"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x="9"/>
        <item x="10"/>
        <item x="11"/>
        <item h="1" x="6"/>
        <item h="1" x="4"/>
        <item h="1" x="5"/>
        <item h="1" x="3"/>
        <item h="1" x="1"/>
        <item h="1" x="0"/>
        <item t="default"/>
      </items>
    </pivotField>
    <pivotField showAll="0"/>
  </pivotFields>
  <rowFields count="1">
    <field x="0"/>
  </rowFields>
  <rowItems count="50">
    <i>
      <x/>
    </i>
    <i>
      <x v="1"/>
    </i>
    <i>
      <x v="2"/>
    </i>
    <i>
      <x v="3"/>
    </i>
    <i>
      <x v="4"/>
    </i>
    <i>
      <x v="5"/>
    </i>
    <i>
      <x v="7"/>
    </i>
    <i>
      <x v="10"/>
    </i>
    <i>
      <x v="14"/>
    </i>
    <i>
      <x v="15"/>
    </i>
    <i>
      <x v="17"/>
    </i>
    <i>
      <x v="20"/>
    </i>
    <i>
      <x v="21"/>
    </i>
    <i>
      <x v="33"/>
    </i>
    <i>
      <x v="46"/>
    </i>
    <i>
      <x v="49"/>
    </i>
    <i>
      <x v="56"/>
    </i>
    <i>
      <x v="61"/>
    </i>
    <i>
      <x v="72"/>
    </i>
    <i>
      <x v="82"/>
    </i>
    <i>
      <x v="85"/>
    </i>
    <i>
      <x v="86"/>
    </i>
    <i>
      <x v="89"/>
    </i>
    <i>
      <x v="91"/>
    </i>
    <i>
      <x v="92"/>
    </i>
    <i>
      <x v="93"/>
    </i>
    <i>
      <x v="100"/>
    </i>
    <i>
      <x v="103"/>
    </i>
    <i>
      <x v="105"/>
    </i>
    <i>
      <x v="106"/>
    </i>
    <i>
      <x v="107"/>
    </i>
    <i>
      <x v="110"/>
    </i>
    <i>
      <x v="115"/>
    </i>
    <i>
      <x v="117"/>
    </i>
    <i>
      <x v="118"/>
    </i>
    <i>
      <x v="119"/>
    </i>
    <i>
      <x v="121"/>
    </i>
    <i>
      <x v="122"/>
    </i>
    <i>
      <x v="123"/>
    </i>
    <i>
      <x v="126"/>
    </i>
    <i>
      <x v="127"/>
    </i>
    <i>
      <x v="128"/>
    </i>
    <i>
      <x v="129"/>
    </i>
    <i>
      <x v="130"/>
    </i>
    <i>
      <x v="131"/>
    </i>
    <i>
      <x v="132"/>
    </i>
    <i>
      <x v="135"/>
    </i>
    <i>
      <x v="136"/>
    </i>
    <i>
      <x v="13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1" s="1"/>
        <i x="2"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s="1"/>
        <i x="10" s="1"/>
        <i x="11" s="1"/>
        <i x="6" nd="1"/>
        <i x="4" nd="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99" totalsRowShown="0">
  <autoFilter ref="B4:P99" xr:uid="{F63DFD6A-A871-49D3-9D52-012AE1A05CAE}">
    <filterColumn colId="8">
      <filters>
        <filter val="10"/>
        <filter val="12"/>
        <filter val="14"/>
        <filter val="16"/>
        <filter val="18"/>
        <filter val="19"/>
        <filter val="20"/>
        <filter val="22"/>
        <filter val="24"/>
        <filter val="8"/>
      </filters>
    </filterColumn>
  </autoFilter>
  <sortState xmlns:xlrd2="http://schemas.microsoft.com/office/spreadsheetml/2017/richdata2" ref="B5:P99">
    <sortCondition ref="D4:D99"/>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717" totalsRowShown="0">
  <autoFilter ref="A1:K1717" xr:uid="{5D12F212-41F7-47F6-8D3C-5B1C2A153568}">
    <filterColumn colId="0">
      <filters>
        <filter val="Eric E"/>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4945" tableType="queryTable" totalsRowShown="0">
  <autoFilter ref="A1:R4945"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9"/>
    <tableColumn id="7" xr3:uid="{B4491C83-EB27-4EBF-850B-0C3D0CFCD92C}" uniqueName="7" name="Pod ID" queryTableFieldId="7" dataDxfId="8"/>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7"/>
    <tableColumn id="12" xr3:uid="{935BC677-B468-4C8F-9C07-5326743B624C}" uniqueName="12" name="Opponent" queryTableFieldId="12" dataDxfId="6"/>
    <tableColumn id="13" xr3:uid="{946B56DC-8905-459D-90F9-20709EF9401E}" uniqueName="13" name="Opponent Result" queryTableFieldId="13" dataDxfId="5"/>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99"/>
  <sheetViews>
    <sheetView tabSelected="1" zoomScaleNormal="100" workbookViewId="0">
      <selection activeCell="Q47" sqref="Q47"/>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11</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0.42</v>
      </c>
      <c r="F5" s="8">
        <f>IF(View_Table[[#This Row],[Games]]=0,0,(View_Table[[#This Row],[Wins]] + (View_Table[[#This Row],[Draws]] * 0.25))/View_Table[[#This Row],[Games]])</f>
        <v>0.5535714285714286</v>
      </c>
      <c r="G5" s="5">
        <f>IFERROR(
    GETPIVOTDATA(
        "Result",
        'Pivot Table'!$A$3,
        "Player",View_Table[[#This Row],[Player]],
        "Result","Win"
    ),
    0
)</f>
        <v>7</v>
      </c>
      <c r="H5" s="5">
        <f>IFERROR(
    GETPIVOTDATA(
        "Result",
        'Pivot Table'!$A$3,
        "Player",View_Table[[#This Row],[Player]],
        "Result","Loss"
    ),
    0
)</f>
        <v>4</v>
      </c>
      <c r="I5" s="5">
        <f>IFERROR(
    GETPIVOTDATA(
        "Result",
        'Pivot Table'!$A$3,
        "Player",View_Table[[#This Row],[Player]],
        "Result","Draw"
    ),
    0
)</f>
        <v>3</v>
      </c>
      <c r="J5" s="5">
        <f>View_Table[[#This Row],[Wins]]+View_Table[[#This Row],[Losses]]+View_Table[[#This Row],[Draws]]</f>
        <v>14</v>
      </c>
      <c r="K5" s="5">
        <f>IFERROR(
    GETPIVOTDATA(
        "Result",
        'Pivot Table Previous'!$A$3,
        "Player",View_Table[[#This Row],[Player]],
        "Result","Win"
    ),
    0
)</f>
        <v>7</v>
      </c>
      <c r="L5" s="5">
        <f>IFERROR(
    GETPIVOTDATA(
        "Result",
        'Pivot Table Previous'!$A$3,
        "Player",View_Table[[#This Row],[Player]],
        "Result","Loss"
    ),
    0
)</f>
        <v>4</v>
      </c>
      <c r="M5" s="5">
        <f>IFERROR(
    GETPIVOTDATA(
        "Result",
        'Pivot Table Previous'!$A$3,
        "Player",View_Table[[#This Row],[Player]],
        "Result","Draw"
    ),
    0
)</f>
        <v>3</v>
      </c>
      <c r="N5" s="5">
        <f>View_Table[[#This Row],[Wins Previous]]+View_Table[[#This Row],[Losses Previous]]+View_Table[[#This Row],[Draws Previous]]</f>
        <v>14</v>
      </c>
      <c r="O5" s="9">
        <f>_xlfn.LET(_xlpm.g,View_Table[[#This Row],[Games Previous]], _xlpm.w,(View_Table[[#This Row],[Wins Previous]] + View_Table[[#This Row],[Draws Previous]] * 0.25), _xlpm.fake, MAX(0,25-_xlpm.g), IF(_xlpm.g=0,0,(_xlpm.w + _xlpm.fake*0.25)/(_xlpm.g + _xlpm.fake)))</f>
        <v>0.42</v>
      </c>
      <c r="P5" s="7">
        <f>IF(View_Table[[#This Row],[Games Previous]]=0,
    View_Table[[#This Row],[Rank]],
    _xlfn.RANK.EQ(View_Table[[#This Row],[Weighted Win% Previous]], View_Table[Weighted Win% Previous], 0)
)</f>
        <v>1</v>
      </c>
    </row>
    <row r="6" spans="2:16" x14ac:dyDescent="0.25">
      <c r="B6" s="3" t="s">
        <v>19</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0.4</v>
      </c>
      <c r="F6" s="8">
        <f>IF(View_Table[[#This Row],[Games]]=0,0,(View_Table[[#This Row],[Wins]] + (View_Table[[#This Row],[Draws]] * 0.25))/View_Table[[#This Row],[Games]])</f>
        <v>0.4375</v>
      </c>
      <c r="G6" s="5">
        <f>IFERROR(
    GETPIVOTDATA(
        "Result",
        'Pivot Table'!$A$3,
        "Player",View_Table[[#This Row],[Player]],
        "Result","Win"
    ),
    0
)</f>
        <v>8</v>
      </c>
      <c r="H6" s="5">
        <f>IFERROR(
    GETPIVOTDATA(
        "Result",
        'Pivot Table'!$A$3,
        "Player",View_Table[[#This Row],[Player]],
        "Result","Loss"
    ),
    0
)</f>
        <v>9</v>
      </c>
      <c r="I6" s="5">
        <f>IFERROR(
    GETPIVOTDATA(
        "Result",
        'Pivot Table'!$A$3,
        "Player",View_Table[[#This Row],[Player]],
        "Result","Draw"
    ),
    0
)</f>
        <v>3</v>
      </c>
      <c r="J6" s="5">
        <f>View_Table[[#This Row],[Wins]]+View_Table[[#This Row],[Losses]]+View_Table[[#This Row],[Draws]]</f>
        <v>20</v>
      </c>
      <c r="K6" s="5">
        <f>IFERROR(
    GETPIVOTDATA(
        "Result",
        'Pivot Table Previous'!$A$3,
        "Player",View_Table[[#This Row],[Player]],
        "Result","Win"
    ),
    0
)</f>
        <v>7</v>
      </c>
      <c r="L6" s="5">
        <f>IFERROR(
    GETPIVOTDATA(
        "Result",
        'Pivot Table Previous'!$A$3,
        "Player",View_Table[[#This Row],[Player]],
        "Result","Loss"
    ),
    0
)</f>
        <v>8</v>
      </c>
      <c r="M6" s="5">
        <f>IFERROR(
    GETPIVOTDATA(
        "Result",
        'Pivot Table Previous'!$A$3,
        "Player",View_Table[[#This Row],[Player]],
        "Result","Draw"
    ),
    0
)</f>
        <v>3</v>
      </c>
      <c r="N6" s="5">
        <f>View_Table[[#This Row],[Wins Previous]]+View_Table[[#This Row],[Losses Previous]]+View_Table[[#This Row],[Draws Previous]]</f>
        <v>18</v>
      </c>
      <c r="O6" s="9">
        <f>_xlfn.LET(_xlpm.g,View_Table[[#This Row],[Games Previous]], _xlpm.w,(View_Table[[#This Row],[Wins Previous]] + View_Table[[#This Row],[Draws Previous]] * 0.25), _xlpm.fake, MAX(0,25-_xlpm.g), IF(_xlpm.g=0,0,(_xlpm.w + _xlpm.fake*0.25)/(_xlpm.g + _xlpm.fake)))</f>
        <v>0.38</v>
      </c>
      <c r="P6" s="7">
        <f>IF(View_Table[[#This Row],[Games Previous]]=0,
    View_Table[[#This Row],[Rank]],
    _xlfn.RANK.EQ(View_Table[[#This Row],[Weighted Win% Previous]], View_Table[Weighted Win% Previous], 0)
)</f>
        <v>2</v>
      </c>
    </row>
    <row r="7" spans="2:16" x14ac:dyDescent="0.25">
      <c r="B7" s="3" t="s">
        <v>13</v>
      </c>
      <c r="C7" s="6">
        <f>View_Table[[#This Row],[Rank Previous]]-View_Table[[#This Row],[Rank]]</f>
        <v>1</v>
      </c>
      <c r="D7" s="7">
        <f>_xlfn.RANK.EQ(View_Table[[#This Row],[Weighted Win%]], View_Table[Weighted Win%], 0)</f>
        <v>3</v>
      </c>
      <c r="E7" s="9">
        <f>_xlfn.LET(_xlpm.g,View_Table[[#This Row],[Games]], _xlpm.w,(View_Table[[#This Row],[Wins]] + View_Table[[#This Row],[Draws]] * 0.25), _xlpm.fake, MAX(0,25-_xlpm.g), IF(_xlpm.g=0,0,(_xlpm.w + _xlpm.fake*0.25)/(_xlpm.g + _xlpm.fake)))</f>
        <v>0.38</v>
      </c>
      <c r="F7" s="8">
        <f>IF(View_Table[[#This Row],[Games]]=0,0,(View_Table[[#This Row],[Wins]] + (View_Table[[#This Row],[Draws]] * 0.25))/View_Table[[#This Row],[Games]])</f>
        <v>0.42105263157894735</v>
      </c>
      <c r="G7" s="5">
        <f>IFERROR(
    GETPIVOTDATA(
        "Result",
        'Pivot Table'!$A$3,
        "Player",View_Table[[#This Row],[Player]],
        "Result","Win"
    ),
    0
)</f>
        <v>7</v>
      </c>
      <c r="H7" s="5">
        <f>IFERROR(
    GETPIVOTDATA(
        "Result",
        'Pivot Table'!$A$3,
        "Player",View_Table[[#This Row],[Player]],
        "Result","Loss"
    ),
    0
)</f>
        <v>8</v>
      </c>
      <c r="I7" s="5">
        <f>IFERROR(
    GETPIVOTDATA(
        "Result",
        'Pivot Table'!$A$3,
        "Player",View_Table[[#This Row],[Player]],
        "Result","Draw"
    ),
    0
)</f>
        <v>4</v>
      </c>
      <c r="J7" s="5">
        <f>View_Table[[#This Row],[Wins]]+View_Table[[#This Row],[Losses]]+View_Table[[#This Row],[Draws]]</f>
        <v>19</v>
      </c>
      <c r="K7" s="5">
        <f>IFERROR(
    GETPIVOTDATA(
        "Result",
        'Pivot Table Previous'!$A$3,
        "Player",View_Table[[#This Row],[Player]],
        "Result","Win"
    ),
    0
)</f>
        <v>6</v>
      </c>
      <c r="L7" s="5">
        <f>IFERROR(
    GETPIVOTDATA(
        "Result",
        'Pivot Table Previous'!$A$3,
        "Player",View_Table[[#This Row],[Player]],
        "Result","Loss"
    ),
    0
)</f>
        <v>8</v>
      </c>
      <c r="M7" s="5">
        <f>IFERROR(
    GETPIVOTDATA(
        "Result",
        'Pivot Table Previous'!$A$3,
        "Player",View_Table[[#This Row],[Player]],
        "Result","Draw"
    ),
    0
)</f>
        <v>4</v>
      </c>
      <c r="N7" s="5">
        <f>View_Table[[#This Row],[Wins Previous]]+View_Table[[#This Row],[Losses Previous]]+View_Table[[#This Row],[Draws Previous]]</f>
        <v>18</v>
      </c>
      <c r="O7" s="9">
        <f>_xlfn.LET(_xlpm.g,View_Table[[#This Row],[Games Previous]], _xlpm.w,(View_Table[[#This Row],[Wins Previous]] + View_Table[[#This Row],[Draws Previous]] * 0.25), _xlpm.fake, MAX(0,25-_xlpm.g), IF(_xlpm.g=0,0,(_xlpm.w + _xlpm.fake*0.25)/(_xlpm.g + _xlpm.fake)))</f>
        <v>0.35</v>
      </c>
      <c r="P7" s="7">
        <f>IF(View_Table[[#This Row],[Games Previous]]=0,
    View_Table[[#This Row],[Rank]],
    _xlfn.RANK.EQ(View_Table[[#This Row],[Weighted Win% Previous]], View_Table[Weighted Win% Previous], 0)
)</f>
        <v>4</v>
      </c>
    </row>
    <row r="8" spans="2:16" hidden="1" x14ac:dyDescent="0.25">
      <c r="B8" s="3" t="s">
        <v>434</v>
      </c>
      <c r="C8" s="6">
        <f>View_Table[[#This Row],[Rank Previous]]-View_Table[[#This Row],[Rank]]</f>
        <v>1</v>
      </c>
      <c r="D8" s="7">
        <f>_xlfn.RANK.EQ(View_Table[[#This Row],[Weighted Win%]], View_Table[Weighted Win%], 0)</f>
        <v>7</v>
      </c>
      <c r="E8" s="9">
        <f>_xlfn.LET(_xlpm.g,View_Table[[#This Row],[Games]], _xlpm.w,(View_Table[[#This Row],[Wins]] + View_Table[[#This Row],[Draws]] * 0.25), _xlpm.fake, MAX(0,25-_xlpm.g), IF(_xlpm.g=0,0,(_xlpm.w + _xlpm.fake*0.25)/(_xlpm.g + _xlpm.fake)))</f>
        <v>0.31</v>
      </c>
      <c r="F8" s="8">
        <f>IF(View_Table[[#This Row],[Games]]=0,0,(View_Table[[#This Row],[Wins]] + (View_Table[[#This Row],[Draws]] * 0.25))/View_Table[[#This Row],[Games]])</f>
        <v>1</v>
      </c>
      <c r="G8" s="5">
        <f>IFERROR(
    GETPIVOTDATA(
        "Result",
        'Pivot Table'!$A$3,
        "Player",View_Table[[#This Row],[Player]],
        "Result","Win"
    ),
    0
)</f>
        <v>2</v>
      </c>
      <c r="H8" s="5">
        <f>IFERROR(
    GETPIVOTDATA(
        "Result",
        'Pivot Table'!$A$3,
        "Player",View_Table[[#This Row],[Player]],
        "Result","Loss"
    ),
    0
)</f>
        <v>0</v>
      </c>
      <c r="I8" s="5">
        <f>IFERROR(
    GETPIVOTDATA(
        "Result",
        'Pivot Table'!$A$3,
        "Player",View_Table[[#This Row],[Player]],
        "Result","Draw"
    ),
    0
)</f>
        <v>0</v>
      </c>
      <c r="J8" s="5">
        <f>View_Table[[#This Row],[Wins]]+View_Table[[#This Row],[Losses]]+View_Table[[#This Row],[Draws]]</f>
        <v>2</v>
      </c>
      <c r="K8" s="7">
        <f>IFERROR(
    GETPIVOTDATA(
        "Result",
        'Pivot Table Previous'!$A$3,
        "Player",View_Table[[#This Row],[Player]],
        "Result","Win"
    ),
    0
)</f>
        <v>2</v>
      </c>
      <c r="L8" s="5">
        <f>IFERROR(
    GETPIVOTDATA(
        "Result",
        'Pivot Table Previous'!$A$3,
        "Player",View_Table[[#This Row],[Player]],
        "Result","Loss"
    ),
    0
)</f>
        <v>0</v>
      </c>
      <c r="M8" s="5">
        <f>IFERROR(
    GETPIVOTDATA(
        "Result",
        'Pivot Table Previous'!$A$3,
        "Player",View_Table[[#This Row],[Player]],
        "Result","Draw"
    ),
    0
)</f>
        <v>0</v>
      </c>
      <c r="N8" s="5">
        <f>View_Table[[#This Row],[Wins Previous]]+View_Table[[#This Row],[Losses Previous]]+View_Table[[#This Row],[Draws Previous]]</f>
        <v>2</v>
      </c>
      <c r="O8" s="9">
        <f>_xlfn.LET(_xlpm.g,View_Table[[#This Row],[Games Previous]], _xlpm.w,(View_Table[[#This Row],[Wins Previous]] + View_Table[[#This Row],[Draws Previous]] * 0.25), _xlpm.fake, MAX(0,25-_xlpm.g), IF(_xlpm.g=0,0,(_xlpm.w + _xlpm.fake*0.25)/(_xlpm.g + _xlpm.fake)))</f>
        <v>0.31</v>
      </c>
      <c r="P8" s="7">
        <f>_xlfn.RANK.EQ(View_Table[[#This Row],[Weighted Win% Previous]], View_Table[Weighted Win% Previous], 0)</f>
        <v>8</v>
      </c>
    </row>
    <row r="9" spans="2:16" x14ac:dyDescent="0.25">
      <c r="B9" s="3" t="s">
        <v>7</v>
      </c>
      <c r="C9" s="6">
        <f>View_Table[[#This Row],[Rank Previous]]-View_Table[[#This Row],[Rank]]</f>
        <v>-2</v>
      </c>
      <c r="D9" s="7">
        <f>_xlfn.RANK.EQ(View_Table[[#This Row],[Weighted Win%]], View_Table[Weighted Win%], 0)</f>
        <v>4</v>
      </c>
      <c r="E9" s="9">
        <f>_xlfn.LET(_xlpm.g,View_Table[[#This Row],[Games]], _xlpm.w,(View_Table[[#This Row],[Wins]] + View_Table[[#This Row],[Draws]] * 0.25), _xlpm.fake, MAX(0,25-_xlpm.g), IF(_xlpm.g=0,0,(_xlpm.w + _xlpm.fake*0.25)/(_xlpm.g + _xlpm.fake)))</f>
        <v>0.36</v>
      </c>
      <c r="F9" s="8">
        <f>IF(View_Table[[#This Row],[Games]]=0,0,(View_Table[[#This Row],[Wins]] + (View_Table[[#This Row],[Draws]] * 0.25))/View_Table[[#This Row],[Games]])</f>
        <v>0.36458333333333331</v>
      </c>
      <c r="G9" s="5">
        <f>IFERROR(
    GETPIVOTDATA(
        "Result",
        'Pivot Table'!$A$3,
        "Player",View_Table[[#This Row],[Player]],
        "Result","Win"
    ),
    0
)</f>
        <v>7</v>
      </c>
      <c r="H9" s="5">
        <f>IFERROR(
    GETPIVOTDATA(
        "Result",
        'Pivot Table'!$A$3,
        "Player",View_Table[[#This Row],[Player]],
        "Result","Loss"
    ),
    0
)</f>
        <v>10</v>
      </c>
      <c r="I9" s="5">
        <f>IFERROR(
    GETPIVOTDATA(
        "Result",
        'Pivot Table'!$A$3,
        "Player",View_Table[[#This Row],[Player]],
        "Result","Draw"
    ),
    0
)</f>
        <v>7</v>
      </c>
      <c r="J9" s="5">
        <f>View_Table[[#This Row],[Wins]]+View_Table[[#This Row],[Losses]]+View_Table[[#This Row],[Draws]]</f>
        <v>24</v>
      </c>
      <c r="K9" s="5">
        <f>IFERROR(
    GETPIVOTDATA(
        "Result",
        'Pivot Table Previous'!$A$3,
        "Player",View_Table[[#This Row],[Player]],
        "Result","Win"
    ),
    0
)</f>
        <v>7</v>
      </c>
      <c r="L9" s="5">
        <f>IFERROR(
    GETPIVOTDATA(
        "Result",
        'Pivot Table Previous'!$A$3,
        "Player",View_Table[[#This Row],[Player]],
        "Result","Loss"
    ),
    0
)</f>
        <v>8</v>
      </c>
      <c r="M9" s="5">
        <f>IFERROR(
    GETPIVOTDATA(
        "Result",
        'Pivot Table Previous'!$A$3,
        "Player",View_Table[[#This Row],[Player]],
        "Result","Draw"
    ),
    0
)</f>
        <v>7</v>
      </c>
      <c r="N9" s="5">
        <f>View_Table[[#This Row],[Wins Previous]]+View_Table[[#This Row],[Losses Previous]]+View_Table[[#This Row],[Draws Previous]]</f>
        <v>22</v>
      </c>
      <c r="O9" s="9">
        <f>_xlfn.LET(_xlpm.g,View_Table[[#This Row],[Games Previous]], _xlpm.w,(View_Table[[#This Row],[Wins Previous]] + View_Table[[#This Row],[Draws Previous]] * 0.25), _xlpm.fake, MAX(0,25-_xlpm.g), IF(_xlpm.g=0,0,(_xlpm.w + _xlpm.fake*0.25)/(_xlpm.g + _xlpm.fake)))</f>
        <v>0.38</v>
      </c>
      <c r="P9" s="7">
        <f>IF(View_Table[[#This Row],[Games Previous]]=0,
    View_Table[[#This Row],[Rank]],
    _xlfn.RANK.EQ(View_Table[[#This Row],[Weighted Win% Previous]], View_Table[Weighted Win% Previous], 0)
)</f>
        <v>2</v>
      </c>
    </row>
    <row r="10" spans="2:16" x14ac:dyDescent="0.25">
      <c r="B10" s="3" t="s">
        <v>352</v>
      </c>
      <c r="C10" s="6">
        <f>View_Table[[#This Row],[Rank Previous]]-View_Table[[#This Row],[Rank]]</f>
        <v>1</v>
      </c>
      <c r="D10" s="7">
        <f>_xlfn.RANK.EQ(View_Table[[#This Row],[Weighted Win%]], View_Table[Weighted Win%], 0)</f>
        <v>5</v>
      </c>
      <c r="E10" s="9">
        <f>_xlfn.LET(_xlpm.g,View_Table[[#This Row],[Games]], _xlpm.w,(View_Table[[#This Row],[Wins]] + View_Table[[#This Row],[Draws]] * 0.25), _xlpm.fake, MAX(0,25-_xlpm.g), IF(_xlpm.g=0,0,(_xlpm.w + _xlpm.fake*0.25)/(_xlpm.g + _xlpm.fake)))</f>
        <v>0.35</v>
      </c>
      <c r="F10" s="8">
        <f>IF(View_Table[[#This Row],[Games]]=0,0,(View_Table[[#This Row],[Wins]] + (View_Table[[#This Row],[Draws]] * 0.25))/View_Table[[#This Row],[Games]])</f>
        <v>0.35416666666666669</v>
      </c>
      <c r="G10" s="5">
        <f>IFERROR(
    GETPIVOTDATA(
        "Result",
        'Pivot Table'!$A$3,
        "Player",View_Table[[#This Row],[Player]],
        "Result","Win"
    ),
    0
)</f>
        <v>7</v>
      </c>
      <c r="H10" s="5">
        <f>IFERROR(
    GETPIVOTDATA(
        "Result",
        'Pivot Table'!$A$3,
        "Player",View_Table[[#This Row],[Player]],
        "Result","Loss"
    ),
    0
)</f>
        <v>11</v>
      </c>
      <c r="I10" s="5">
        <f>IFERROR(
    GETPIVOTDATA(
        "Result",
        'Pivot Table'!$A$3,
        "Player",View_Table[[#This Row],[Player]],
        "Result","Draw"
    ),
    0
)</f>
        <v>6</v>
      </c>
      <c r="J10" s="5">
        <f>View_Table[[#This Row],[Wins]]+View_Table[[#This Row],[Losses]]+View_Table[[#This Row],[Draws]]</f>
        <v>24</v>
      </c>
      <c r="K10" s="7">
        <f>IFERROR(
    GETPIVOTDATA(
        "Result",
        'Pivot Table Previous'!$A$3,
        "Player",View_Table[[#This Row],[Player]],
        "Result","Win"
    ),
    0
)</f>
        <v>6</v>
      </c>
      <c r="L10" s="5">
        <f>IFERROR(
    GETPIVOTDATA(
        "Result",
        'Pivot Table Previous'!$A$3,
        "Player",View_Table[[#This Row],[Player]],
        "Result","Loss"
    ),
    0
)</f>
        <v>11</v>
      </c>
      <c r="M10" s="5">
        <f>IFERROR(
    GETPIVOTDATA(
        "Result",
        'Pivot Table Previous'!$A$3,
        "Player",View_Table[[#This Row],[Player]],
        "Result","Draw"
    ),
    0
)</f>
        <v>5</v>
      </c>
      <c r="N10" s="5">
        <f>View_Table[[#This Row],[Wins Previous]]+View_Table[[#This Row],[Losses Previous]]+View_Table[[#This Row],[Draws Previous]]</f>
        <v>22</v>
      </c>
      <c r="O10" s="9">
        <f>_xlfn.LET(_xlpm.g,View_Table[[#This Row],[Games Previous]], _xlpm.w,(View_Table[[#This Row],[Wins Previous]] + View_Table[[#This Row],[Draws Previous]] * 0.25), _xlpm.fake, MAX(0,25-_xlpm.g), IF(_xlpm.g=0,0,(_xlpm.w + _xlpm.fake*0.25)/(_xlpm.g + _xlpm.fake)))</f>
        <v>0.32</v>
      </c>
      <c r="P10" s="7">
        <f>_xlfn.RANK.EQ(View_Table[[#This Row],[Weighted Win% Previous]], View_Table[Weighted Win% Previous], 0)</f>
        <v>6</v>
      </c>
    </row>
    <row r="11" spans="2:16" x14ac:dyDescent="0.25">
      <c r="B11" s="3" t="s">
        <v>436</v>
      </c>
      <c r="C11" s="6">
        <f>View_Table[[#This Row],[Rank Previous]]-View_Table[[#This Row],[Rank]]</f>
        <v>-1</v>
      </c>
      <c r="D11" s="7">
        <f>_xlfn.RANK.EQ(View_Table[[#This Row],[Weighted Win%]], View_Table[Weighted Win%], 0)</f>
        <v>6</v>
      </c>
      <c r="E11" s="9">
        <f>_xlfn.LET(_xlpm.g,View_Table[[#This Row],[Games]], _xlpm.w,(View_Table[[#This Row],[Wins]] + View_Table[[#This Row],[Draws]] * 0.25), _xlpm.fake, MAX(0,25-_xlpm.g), IF(_xlpm.g=0,0,(_xlpm.w + _xlpm.fake*0.25)/(_xlpm.g + _xlpm.fake)))</f>
        <v>0.33</v>
      </c>
      <c r="F11" s="8">
        <f>IF(View_Table[[#This Row],[Games]]=0,0,(View_Table[[#This Row],[Wins]] + (View_Table[[#This Row],[Draws]] * 0.25))/View_Table[[#This Row],[Games]])</f>
        <v>0.45</v>
      </c>
      <c r="G11" s="5">
        <f>IFERROR(
    GETPIVOTDATA(
        "Result",
        'Pivot Table'!$A$3,
        "Player",View_Table[[#This Row],[Player]],
        "Result","Win"
    ),
    0
)</f>
        <v>4</v>
      </c>
      <c r="H11" s="5">
        <f>IFERROR(
    GETPIVOTDATA(
        "Result",
        'Pivot Table'!$A$3,
        "Player",View_Table[[#This Row],[Player]],
        "Result","Loss"
    ),
    0
)</f>
        <v>4</v>
      </c>
      <c r="I11" s="5">
        <f>IFERROR(
    GETPIVOTDATA(
        "Result",
        'Pivot Table'!$A$3,
        "Player",View_Table[[#This Row],[Player]],
        "Result","Draw"
    ),
    0
)</f>
        <v>2</v>
      </c>
      <c r="J11" s="5">
        <f>View_Table[[#This Row],[Wins]]+View_Table[[#This Row],[Losses]]+View_Table[[#This Row],[Draws]]</f>
        <v>10</v>
      </c>
      <c r="K11" s="7">
        <f>IFERROR(
    GETPIVOTDATA(
        "Result",
        'Pivot Table Previous'!$A$3,
        "Player",View_Table[[#This Row],[Player]],
        "Result","Win"
    ),
    0
)</f>
        <v>4</v>
      </c>
      <c r="L11" s="5">
        <f>IFERROR(
    GETPIVOTDATA(
        "Result",
        'Pivot Table Previous'!$A$3,
        "Player",View_Table[[#This Row],[Player]],
        "Result","Loss"
    ),
    0
)</f>
        <v>4</v>
      </c>
      <c r="M11" s="5">
        <f>IFERROR(
    GETPIVOTDATA(
        "Result",
        'Pivot Table Previous'!$A$3,
        "Player",View_Table[[#This Row],[Player]],
        "Result","Draw"
    ),
    0
)</f>
        <v>2</v>
      </c>
      <c r="N11" s="5">
        <f>View_Table[[#This Row],[Wins Previous]]+View_Table[[#This Row],[Losses Previous]]+View_Table[[#This Row],[Draws Previous]]</f>
        <v>10</v>
      </c>
      <c r="O11" s="9">
        <f>_xlfn.LET(_xlpm.g,View_Table[[#This Row],[Games Previous]], _xlpm.w,(View_Table[[#This Row],[Wins Previous]] + View_Table[[#This Row],[Draws Previous]] * 0.25), _xlpm.fake, MAX(0,25-_xlpm.g), IF(_xlpm.g=0,0,(_xlpm.w + _xlpm.fake*0.25)/(_xlpm.g + _xlpm.fake)))</f>
        <v>0.33</v>
      </c>
      <c r="P11" s="7">
        <f>_xlfn.RANK.EQ(View_Table[[#This Row],[Weighted Win% Previous]], View_Table[Weighted Win% Previous], 0)</f>
        <v>5</v>
      </c>
    </row>
    <row r="12" spans="2:16" x14ac:dyDescent="0.25">
      <c r="B12" s="3" t="s">
        <v>326</v>
      </c>
      <c r="C12" s="6">
        <f>View_Table[[#This Row],[Rank Previous]]-View_Table[[#This Row],[Rank]]</f>
        <v>-1</v>
      </c>
      <c r="D12" s="7">
        <f>_xlfn.RANK.EQ(View_Table[[#This Row],[Weighted Win%]], View_Table[Weighted Win%], 0)</f>
        <v>7</v>
      </c>
      <c r="E12" s="9">
        <f>_xlfn.LET(_xlpm.g,View_Table[[#This Row],[Games]], _xlpm.w,(View_Table[[#This Row],[Wins]] + View_Table[[#This Row],[Draws]] * 0.25), _xlpm.fake, MAX(0,25-_xlpm.g), IF(_xlpm.g=0,0,(_xlpm.w + _xlpm.fake*0.25)/(_xlpm.g + _xlpm.fake)))</f>
        <v>0.31</v>
      </c>
      <c r="F12" s="8">
        <f>IF(View_Table[[#This Row],[Games]]=0,0,(View_Table[[#This Row],[Wins]] + (View_Table[[#This Row],[Draws]] * 0.25))/View_Table[[#This Row],[Games]])</f>
        <v>0.4375</v>
      </c>
      <c r="G12" s="5">
        <f>IFERROR(
    GETPIVOTDATA(
        "Result",
        'Pivot Table'!$A$3,
        "Player",View_Table[[#This Row],[Player]],
        "Result","Win"
    ),
    0
)</f>
        <v>3</v>
      </c>
      <c r="H12" s="5">
        <f>IFERROR(
    GETPIVOTDATA(
        "Result",
        'Pivot Table'!$A$3,
        "Player",View_Table[[#This Row],[Player]],
        "Result","Loss"
    ),
    0
)</f>
        <v>3</v>
      </c>
      <c r="I12" s="5">
        <f>IFERROR(
    GETPIVOTDATA(
        "Result",
        'Pivot Table'!$A$3,
        "Player",View_Table[[#This Row],[Player]],
        "Result","Draw"
    ),
    0
)</f>
        <v>2</v>
      </c>
      <c r="J12" s="5">
        <f>View_Table[[#This Row],[Wins]]+View_Table[[#This Row],[Losses]]+View_Table[[#This Row],[Draws]]</f>
        <v>8</v>
      </c>
      <c r="K12" s="7">
        <f>IFERROR(
    GETPIVOTDATA(
        "Result",
        'Pivot Table Previous'!$A$3,
        "Player",View_Table[[#This Row],[Player]],
        "Result","Win"
    ),
    0
)</f>
        <v>3</v>
      </c>
      <c r="L12" s="5">
        <f>IFERROR(
    GETPIVOTDATA(
        "Result",
        'Pivot Table Previous'!$A$3,
        "Player",View_Table[[#This Row],[Player]],
        "Result","Loss"
    ),
    0
)</f>
        <v>2</v>
      </c>
      <c r="M12" s="5">
        <f>IFERROR(
    GETPIVOTDATA(
        "Result",
        'Pivot Table Previous'!$A$3,
        "Player",View_Table[[#This Row],[Player]],
        "Result","Draw"
    ),
    0
)</f>
        <v>1</v>
      </c>
      <c r="N12" s="5">
        <f>View_Table[[#This Row],[Wins Previous]]+View_Table[[#This Row],[Losses Previous]]+View_Table[[#This Row],[Draws Previous]]</f>
        <v>6</v>
      </c>
      <c r="O12" s="9">
        <f>_xlfn.LET(_xlpm.g,View_Table[[#This Row],[Games Previous]], _xlpm.w,(View_Table[[#This Row],[Wins Previous]] + View_Table[[#This Row],[Draws Previous]] * 0.25), _xlpm.fake, MAX(0,25-_xlpm.g), IF(_xlpm.g=0,0,(_xlpm.w + _xlpm.fake*0.25)/(_xlpm.g + _xlpm.fake)))</f>
        <v>0.32</v>
      </c>
      <c r="P12" s="7">
        <f>_xlfn.RANK.EQ(View_Table[[#This Row],[Weighted Win% Previous]], View_Table[Weighted Win% Previous], 0)</f>
        <v>6</v>
      </c>
    </row>
    <row r="13" spans="2:16" x14ac:dyDescent="0.25">
      <c r="B13" s="3" t="s">
        <v>405</v>
      </c>
      <c r="C13" s="6">
        <f>View_Table[[#This Row],[Rank Previous]]-View_Table[[#This Row],[Rank]]</f>
        <v>-1</v>
      </c>
      <c r="D13" s="7">
        <f>_xlfn.RANK.EQ(View_Table[[#This Row],[Weighted Win%]], View_Table[Weighted Win%], 0)</f>
        <v>9</v>
      </c>
      <c r="E13" s="9">
        <f>_xlfn.LET(_xlpm.g,View_Table[[#This Row],[Games]], _xlpm.w,(View_Table[[#This Row],[Wins]] + View_Table[[#This Row],[Draws]] * 0.25), _xlpm.fake, MAX(0,25-_xlpm.g), IF(_xlpm.g=0,0,(_xlpm.w + _xlpm.fake*0.25)/(_xlpm.g + _xlpm.fake)))</f>
        <v>0.3</v>
      </c>
      <c r="F13" s="8">
        <f>IF(View_Table[[#This Row],[Games]]=0,0,(View_Table[[#This Row],[Wins]] + (View_Table[[#This Row],[Draws]] * 0.25))/View_Table[[#This Row],[Games]])</f>
        <v>0.3125</v>
      </c>
      <c r="G13" s="5">
        <f>IFERROR(
    GETPIVOTDATA(
        "Result",
        'Pivot Table'!$A$3,
        "Player",View_Table[[#This Row],[Player]],
        "Result","Win"
    ),
    0
)</f>
        <v>5</v>
      </c>
      <c r="H13" s="5">
        <f>IFERROR(
    GETPIVOTDATA(
        "Result",
        'Pivot Table'!$A$3,
        "Player",View_Table[[#This Row],[Player]],
        "Result","Loss"
    ),
    0
)</f>
        <v>10</v>
      </c>
      <c r="I13" s="5">
        <f>IFERROR(
    GETPIVOTDATA(
        "Result",
        'Pivot Table'!$A$3,
        "Player",View_Table[[#This Row],[Player]],
        "Result","Draw"
    ),
    0
)</f>
        <v>5</v>
      </c>
      <c r="J13" s="5">
        <f>View_Table[[#This Row],[Wins]]+View_Table[[#This Row],[Losses]]+View_Table[[#This Row],[Draws]]</f>
        <v>20</v>
      </c>
      <c r="K13" s="7">
        <f>IFERROR(
    GETPIVOTDATA(
        "Result",
        'Pivot Table Previous'!$A$3,
        "Player",View_Table[[#This Row],[Player]],
        "Result","Win"
    ),
    0
)</f>
        <v>5</v>
      </c>
      <c r="L13" s="5">
        <f>IFERROR(
    GETPIVOTDATA(
        "Result",
        'Pivot Table Previous'!$A$3,
        "Player",View_Table[[#This Row],[Player]],
        "Result","Loss"
    ),
    0
)</f>
        <v>9</v>
      </c>
      <c r="M13" s="5">
        <f>IFERROR(
    GETPIVOTDATA(
        "Result",
        'Pivot Table Previous'!$A$3,
        "Player",View_Table[[#This Row],[Player]],
        "Result","Draw"
    ),
    0
)</f>
        <v>4</v>
      </c>
      <c r="N13" s="5">
        <f>View_Table[[#This Row],[Wins Previous]]+View_Table[[#This Row],[Losses Previous]]+View_Table[[#This Row],[Draws Previous]]</f>
        <v>18</v>
      </c>
      <c r="O13" s="9">
        <f>_xlfn.LET(_xlpm.g,View_Table[[#This Row],[Games Previous]], _xlpm.w,(View_Table[[#This Row],[Wins Previous]] + View_Table[[#This Row],[Draws Previous]] * 0.25), _xlpm.fake, MAX(0,25-_xlpm.g), IF(_xlpm.g=0,0,(_xlpm.w + _xlpm.fake*0.25)/(_xlpm.g + _xlpm.fake)))</f>
        <v>0.31</v>
      </c>
      <c r="P13" s="7">
        <f>_xlfn.RANK.EQ(View_Table[[#This Row],[Weighted Win% Previous]], View_Table[Weighted Win% Previous], 0)</f>
        <v>8</v>
      </c>
    </row>
    <row r="14" spans="2:16" hidden="1" x14ac:dyDescent="0.25">
      <c r="B14" s="3" t="s">
        <v>322</v>
      </c>
      <c r="C14" s="6">
        <f>View_Table[[#This Row],[Rank Previous]]-View_Table[[#This Row],[Rank]]</f>
        <v>-1</v>
      </c>
      <c r="D14" s="7">
        <f>_xlfn.RANK.EQ(View_Table[[#This Row],[Weighted Win%]], View_Table[Weighted Win%], 0)</f>
        <v>14</v>
      </c>
      <c r="E14" s="9">
        <f>_xlfn.LET(_xlpm.g,View_Table[[#This Row],[Games]], _xlpm.w,(View_Table[[#This Row],[Wins]] + View_Table[[#This Row],[Draws]] * 0.25), _xlpm.fake, MAX(0,25-_xlpm.g), IF(_xlpm.g=0,0,(_xlpm.w + _xlpm.fake*0.25)/(_xlpm.g + _xlpm.fake)))</f>
        <v>0.27</v>
      </c>
      <c r="F14" s="8">
        <f>IF(View_Table[[#This Row],[Games]]=0,0,(View_Table[[#This Row],[Wins]] + (View_Table[[#This Row],[Draws]] * 0.25))/View_Table[[#This Row],[Games]])</f>
        <v>0.5</v>
      </c>
      <c r="G14" s="5">
        <f>IFERROR(
    GETPIVOTDATA(
        "Result",
        'Pivot Table'!$A$3,
        "Player",View_Table[[#This Row],[Player]],
        "Result","Win"
    ),
    0
)</f>
        <v>1</v>
      </c>
      <c r="H14" s="5">
        <f>IFERROR(
    GETPIVOTDATA(
        "Result",
        'Pivot Table'!$A$3,
        "Player",View_Table[[#This Row],[Player]],
        "Result","Loss"
    ),
    0
)</f>
        <v>1</v>
      </c>
      <c r="I14" s="5">
        <f>IFERROR(
    GETPIVOTDATA(
        "Result",
        'Pivot Table'!$A$3,
        "Player",View_Table[[#This Row],[Player]],
        "Result","Draw"
    ),
    0
)</f>
        <v>0</v>
      </c>
      <c r="J14" s="5">
        <f>View_Table[[#This Row],[Wins]]+View_Table[[#This Row],[Losses]]+View_Table[[#This Row],[Draws]]</f>
        <v>2</v>
      </c>
      <c r="K14" s="7">
        <f>IFERROR(
    GETPIVOTDATA(
        "Result",
        'Pivot Table Previous'!$A$3,
        "Player",View_Table[[#This Row],[Player]],
        "Result","Win"
    ),
    0
)</f>
        <v>1</v>
      </c>
      <c r="L14" s="5">
        <f>IFERROR(
    GETPIVOTDATA(
        "Result",
        'Pivot Table Previous'!$A$3,
        "Player",View_Table[[#This Row],[Player]],
        "Result","Loss"
    ),
    0
)</f>
        <v>1</v>
      </c>
      <c r="M14" s="5">
        <f>IFERROR(
    GETPIVOTDATA(
        "Result",
        'Pivot Table Previous'!$A$3,
        "Player",View_Table[[#This Row],[Player]],
        "Result","Draw"
    ),
    0
)</f>
        <v>0</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0.27</v>
      </c>
      <c r="P14" s="7">
        <f>_xlfn.RANK.EQ(View_Table[[#This Row],[Weighted Win% Previous]], View_Table[Weighted Win% Previous], 0)</f>
        <v>13</v>
      </c>
    </row>
    <row r="15" spans="2:16" x14ac:dyDescent="0.25">
      <c r="B15" s="3" t="s">
        <v>325</v>
      </c>
      <c r="C15" s="6">
        <f>View_Table[[#This Row],[Rank Previous]]-View_Table[[#This Row],[Rank]]</f>
        <v>1</v>
      </c>
      <c r="D15" s="7">
        <f>_xlfn.RANK.EQ(View_Table[[#This Row],[Weighted Win%]], View_Table[Weighted Win%], 0)</f>
        <v>9</v>
      </c>
      <c r="E15" s="9">
        <f>_xlfn.LET(_xlpm.g,View_Table[[#This Row],[Games]], _xlpm.w,(View_Table[[#This Row],[Wins]] + View_Table[[#This Row],[Draws]] * 0.25), _xlpm.fake, MAX(0,25-_xlpm.g), IF(_xlpm.g=0,0,(_xlpm.w + _xlpm.fake*0.25)/(_xlpm.g + _xlpm.fake)))</f>
        <v>0.3</v>
      </c>
      <c r="F15" s="8">
        <f>IF(View_Table[[#This Row],[Games]]=0,0,(View_Table[[#This Row],[Wins]] + (View_Table[[#This Row],[Draws]] * 0.25))/View_Table[[#This Row],[Games]])</f>
        <v>0.40625</v>
      </c>
      <c r="G15" s="5">
        <f>IFERROR(
    GETPIVOTDATA(
        "Result",
        'Pivot Table'!$A$3,
        "Player",View_Table[[#This Row],[Player]],
        "Result","Win"
    ),
    0
)</f>
        <v>3</v>
      </c>
      <c r="H15" s="5">
        <f>IFERROR(
    GETPIVOTDATA(
        "Result",
        'Pivot Table'!$A$3,
        "Player",View_Table[[#This Row],[Player]],
        "Result","Loss"
    ),
    0
)</f>
        <v>4</v>
      </c>
      <c r="I15" s="5">
        <f>IFERROR(
    GETPIVOTDATA(
        "Result",
        'Pivot Table'!$A$3,
        "Player",View_Table[[#This Row],[Player]],
        "Result","Draw"
    ),
    0
)</f>
        <v>1</v>
      </c>
      <c r="J15" s="5">
        <f>View_Table[[#This Row],[Wins]]+View_Table[[#This Row],[Losses]]+View_Table[[#This Row],[Draws]]</f>
        <v>8</v>
      </c>
      <c r="K15" s="7">
        <f>IFERROR(
    GETPIVOTDATA(
        "Result",
        'Pivot Table Previous'!$A$3,
        "Player",View_Table[[#This Row],[Player]],
        "Result","Win"
    ),
    0
)</f>
        <v>3</v>
      </c>
      <c r="L15" s="5">
        <f>IFERROR(
    GETPIVOTDATA(
        "Result",
        'Pivot Table Previous'!$A$3,
        "Player",View_Table[[#This Row],[Player]],
        "Result","Loss"
    ),
    0
)</f>
        <v>4</v>
      </c>
      <c r="M15" s="5">
        <f>IFERROR(
    GETPIVOTDATA(
        "Result",
        'Pivot Table Previous'!$A$3,
        "Player",View_Table[[#This Row],[Player]],
        "Result","Draw"
    ),
    0
)</f>
        <v>1</v>
      </c>
      <c r="N15" s="5">
        <f>View_Table[[#This Row],[Wins Previous]]+View_Table[[#This Row],[Losses Previous]]+View_Table[[#This Row],[Draws Previous]]</f>
        <v>8</v>
      </c>
      <c r="O15" s="9">
        <f>_xlfn.LET(_xlpm.g,View_Table[[#This Row],[Games Previous]], _xlpm.w,(View_Table[[#This Row],[Wins Previous]] + View_Table[[#This Row],[Draws Previous]] * 0.25), _xlpm.fake, MAX(0,25-_xlpm.g), IF(_xlpm.g=0,0,(_xlpm.w + _xlpm.fake*0.25)/(_xlpm.g + _xlpm.fake)))</f>
        <v>0.3</v>
      </c>
      <c r="P15" s="7">
        <f>_xlfn.RANK.EQ(View_Table[[#This Row],[Weighted Win% Previous]], View_Table[Weighted Win% Previous], 0)</f>
        <v>10</v>
      </c>
    </row>
    <row r="16" spans="2:16" x14ac:dyDescent="0.25">
      <c r="B16" s="3" t="s">
        <v>465</v>
      </c>
      <c r="C16" s="6">
        <f>View_Table[[#This Row],[Rank Previous]]-View_Table[[#This Row],[Rank]]</f>
        <v>1</v>
      </c>
      <c r="D16" s="7">
        <f>_xlfn.RANK.EQ(View_Table[[#This Row],[Weighted Win%]], View_Table[Weighted Win%], 0)</f>
        <v>11</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2</v>
      </c>
      <c r="J16" s="5">
        <f>View_Table[[#This Row],[Wins]]+View_Table[[#This Row],[Losses]]+View_Table[[#This Row],[Draws]]</f>
        <v>10</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2</v>
      </c>
      <c r="N16" s="5">
        <f>View_Table[[#This Row],[Wins Previous]]+View_Table[[#This Row],[Losses Previous]]+View_Table[[#This Row],[Draws Previous]]</f>
        <v>10</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12</v>
      </c>
    </row>
    <row r="17" spans="2:16" hidden="1" x14ac:dyDescent="0.25">
      <c r="B17" s="3" t="s">
        <v>541</v>
      </c>
      <c r="C17" s="6">
        <f>View_Table[[#This Row],[Rank Previous]]-View_Table[[#This Row],[Rank]]</f>
        <v>-3</v>
      </c>
      <c r="D17" s="7">
        <f>_xlfn.RANK.EQ(View_Table[[#This Row],[Weighted Win%]], View_Table[Weighted Win%], 0)</f>
        <v>19</v>
      </c>
      <c r="E17" s="9">
        <f>_xlfn.LET(_xlpm.g,View_Table[[#This Row],[Games]], _xlpm.w,(View_Table[[#This Row],[Wins]] + View_Table[[#This Row],[Draws]] * 0.25), _xlpm.fake, MAX(0,25-_xlpm.g), IF(_xlpm.g=0,0,(_xlpm.w + _xlpm.fake*0.25)/(_xlpm.g + _xlpm.fake)))</f>
        <v>0.25</v>
      </c>
      <c r="F17" s="8">
        <f>IF(View_Table[[#This Row],[Games]]=0,0,(View_Table[[#This Row],[Wins]] + (View_Table[[#This Row],[Draws]] * 0.25))/View_Table[[#This Row],[Games]])</f>
        <v>0.25</v>
      </c>
      <c r="G17" s="5">
        <f>IFERROR(
    GETPIVOTDATA(
        "Result",
        'Pivot Table'!$A$3,
        "Player",View_Table[[#This Row],[Player]],
        "Result","Win"
    ),
    0
)</f>
        <v>1</v>
      </c>
      <c r="H17" s="5">
        <f>IFERROR(
    GETPIVOTDATA(
        "Result",
        'Pivot Table'!$A$3,
        "Player",View_Table[[#This Row],[Player]],
        "Result","Loss"
    ),
    0
)</f>
        <v>3</v>
      </c>
      <c r="I17" s="5">
        <f>IFERROR(
    GETPIVOTDATA(
        "Result",
        'Pivot Table'!$A$3,
        "Player",View_Table[[#This Row],[Player]],
        "Result","Draw"
    ),
    0
)</f>
        <v>2</v>
      </c>
      <c r="J17" s="5">
        <f>View_Table[[#This Row],[Wins]]+View_Table[[#This Row],[Losses]]+View_Table[[#This Row],[Draws]]</f>
        <v>6</v>
      </c>
      <c r="K17" s="7">
        <f>IFERROR(
    GETPIVOTDATA(
        "Result",
        'Pivot Table Previous'!$A$3,
        "Player",View_Table[[#This Row],[Player]],
        "Result","Win"
    ),
    0
)</f>
        <v>1</v>
      </c>
      <c r="L17" s="5">
        <f>IFERROR(
    GETPIVOTDATA(
        "Result",
        'Pivot Table Previous'!$A$3,
        "Player",View_Table[[#This Row],[Player]],
        "Result","Loss"
    ),
    0
)</f>
        <v>2</v>
      </c>
      <c r="M17" s="5">
        <f>IFERROR(
    GETPIVOTDATA(
        "Result",
        'Pivot Table Previous'!$A$3,
        "Player",View_Table[[#This Row],[Player]],
        "Result","Draw"
    ),
    0
)</f>
        <v>1</v>
      </c>
      <c r="N17" s="5">
        <f>View_Table[[#This Row],[Wins Previous]]+View_Table[[#This Row],[Losses Previous]]+View_Table[[#This Row],[Draws Previous]]</f>
        <v>4</v>
      </c>
      <c r="O17" s="9">
        <f>_xlfn.LET(_xlpm.g,View_Table[[#This Row],[Games Previous]], _xlpm.w,(View_Table[[#This Row],[Wins Previous]] + View_Table[[#This Row],[Draws Previous]] * 0.25), _xlpm.fake, MAX(0,25-_xlpm.g), IF(_xlpm.g=0,0,(_xlpm.w + _xlpm.fake*0.25)/(_xlpm.g + _xlpm.fake)))</f>
        <v>0.26</v>
      </c>
      <c r="P17" s="7">
        <f>_xlfn.RANK.EQ(View_Table[[#This Row],[Weighted Win% Previous]], View_Table[Weighted Win% Previous], 0)</f>
        <v>16</v>
      </c>
    </row>
    <row r="18" spans="2:16" hidden="1" x14ac:dyDescent="0.25">
      <c r="B18" s="3" t="s">
        <v>421</v>
      </c>
      <c r="C18" s="6">
        <f>View_Table[[#This Row],[Rank Previous]]-View_Table[[#This Row],[Rank]]</f>
        <v>-3</v>
      </c>
      <c r="D18" s="7">
        <f>_xlfn.RANK.EQ(View_Table[[#This Row],[Weighted Win%]], View_Table[Weighted Win%], 0)</f>
        <v>49</v>
      </c>
      <c r="E18" s="9">
        <f>_xlfn.LET(_xlpm.g,View_Table[[#This Row],[Games]], _xlpm.w,(View_Table[[#This Row],[Wins]] + View_Table[[#This Row],[Draws]] * 0.25), _xlpm.fake, MAX(0,25-_xlpm.g), IF(_xlpm.g=0,0,(_xlpm.w + _xlpm.fake*0.25)/(_xlpm.g + _xlpm.fake)))</f>
        <v>0</v>
      </c>
      <c r="F18" s="8">
        <f>IF(View_Table[[#This Row],[Games]]=0,0,(View_Table[[#This Row],[Wins]] + (View_Table[[#This Row],[Draws]] * 0.25))/View_Table[[#This Row],[Games]])</f>
        <v>0</v>
      </c>
      <c r="G18" s="5">
        <f>IFERROR(
    GETPIVOTDATA(
        "Result",
        'Pivot Table'!$A$3,
        "Player",View_Table[[#This Row],[Player]],
        "Result","Win"
    ),
    0
)</f>
        <v>0</v>
      </c>
      <c r="H18" s="5">
        <f>IFERROR(
    GETPIVOTDATA(
        "Result",
        'Pivot Table'!$A$3,
        "Player",View_Table[[#This Row],[Player]],
        "Result","Loss"
    ),
    0
)</f>
        <v>0</v>
      </c>
      <c r="I18" s="5">
        <f>IFERROR(
    GETPIVOTDATA(
        "Result",
        'Pivot Table'!$A$3,
        "Player",View_Table[[#This Row],[Player]],
        "Result","Draw"
    ),
    0
)</f>
        <v>0</v>
      </c>
      <c r="J18" s="5">
        <f>View_Table[[#This Row],[Wins]]+View_Table[[#This Row],[Losses]]+View_Table[[#This Row],[Draws]]</f>
        <v>0</v>
      </c>
      <c r="K18" s="7">
        <f>IFERROR(
    GETPIVOTDATA(
        "Result",
        'Pivot Table Previous'!$A$3,
        "Player",View_Table[[#This Row],[Player]],
        "Result","Win"
    ),
    0
)</f>
        <v>0</v>
      </c>
      <c r="L18" s="5">
        <f>IFERROR(
    GETPIVOTDATA(
        "Result",
        'Pivot Table Previous'!$A$3,
        "Player",View_Table[[#This Row],[Player]],
        "Result","Loss"
    ),
    0
)</f>
        <v>0</v>
      </c>
      <c r="M18" s="5">
        <f>IFERROR(
    GETPIVOTDATA(
        "Result",
        'Pivot Table Previous'!$A$3,
        "Player",View_Table[[#This Row],[Player]],
        "Result","Draw"
    ),
    0
)</f>
        <v>0</v>
      </c>
      <c r="N18" s="5">
        <f>View_Table[[#This Row],[Wins Previous]]+View_Table[[#This Row],[Losses Previous]]+View_Table[[#This Row],[Draws Previous]]</f>
        <v>0</v>
      </c>
      <c r="O18" s="9">
        <f>_xlfn.LET(_xlpm.g,View_Table[[#This Row],[Games Previous]], _xlpm.w,(View_Table[[#This Row],[Wins Previous]] + View_Table[[#This Row],[Draws Previous]] * 0.25), _xlpm.fake, MAX(0,25-_xlpm.g), IF(_xlpm.g=0,0,(_xlpm.w + _xlpm.fake*0.25)/(_xlpm.g + _xlpm.fake)))</f>
        <v>0</v>
      </c>
      <c r="P18" s="7">
        <f>_xlfn.RANK.EQ(View_Table[[#This Row],[Weighted Win% Previous]], View_Table[Weighted Win% Previous], 0)</f>
        <v>46</v>
      </c>
    </row>
    <row r="19" spans="2:16" x14ac:dyDescent="0.25">
      <c r="B19" s="3" t="s">
        <v>519</v>
      </c>
      <c r="C19" s="6">
        <f>View_Table[[#This Row],[Rank Previous]]-View_Table[[#This Row],[Rank]]</f>
        <v>-2</v>
      </c>
      <c r="D19" s="7">
        <f>_xlfn.RANK.EQ(View_Table[[#This Row],[Weighted Win%]], View_Table[Weighted Win%], 0)</f>
        <v>12</v>
      </c>
      <c r="E19" s="9">
        <f>_xlfn.LET(_xlpm.g,View_Table[[#This Row],[Games]], _xlpm.w,(View_Table[[#This Row],[Wins]] + View_Table[[#This Row],[Draws]] * 0.25), _xlpm.fake, MAX(0,25-_xlpm.g), IF(_xlpm.g=0,0,(_xlpm.w + _xlpm.fake*0.25)/(_xlpm.g + _xlpm.fake)))</f>
        <v>0.28000000000000003</v>
      </c>
      <c r="F19" s="8">
        <f>IF(View_Table[[#This Row],[Games]]=0,0,(View_Table[[#This Row],[Wins]] + (View_Table[[#This Row],[Draws]] * 0.25))/View_Table[[#This Row],[Games]])</f>
        <v>0.32500000000000001</v>
      </c>
      <c r="G19" s="5">
        <f>IFERROR(
    GETPIVOTDATA(
        "Result",
        'Pivot Table'!$A$3,
        "Player",View_Table[[#This Row],[Player]],
        "Result","Win"
    ),
    0
)</f>
        <v>3</v>
      </c>
      <c r="H19" s="5">
        <f>IFERROR(
    GETPIVOTDATA(
        "Result",
        'Pivot Table'!$A$3,
        "Player",View_Table[[#This Row],[Player]],
        "Result","Loss"
    ),
    0
)</f>
        <v>6</v>
      </c>
      <c r="I19" s="5">
        <f>IFERROR(
    GETPIVOTDATA(
        "Result",
        'Pivot Table'!$A$3,
        "Player",View_Table[[#This Row],[Player]],
        "Result","Draw"
    ),
    0
)</f>
        <v>1</v>
      </c>
      <c r="J19" s="5">
        <f>View_Table[[#This Row],[Wins]]+View_Table[[#This Row],[Losses]]+View_Table[[#This Row],[Draws]]</f>
        <v>10</v>
      </c>
      <c r="K19" s="7">
        <f>IFERROR(
    GETPIVOTDATA(
        "Result",
        'Pivot Table Previous'!$A$3,
        "Player",View_Table[[#This Row],[Player]],
        "Result","Win"
    ),
    0
)</f>
        <v>3</v>
      </c>
      <c r="L19" s="5">
        <f>IFERROR(
    GETPIVOTDATA(
        "Result",
        'Pivot Table Previous'!$A$3,
        "Player",View_Table[[#This Row],[Player]],
        "Result","Loss"
    ),
    0
)</f>
        <v>4</v>
      </c>
      <c r="M19" s="5">
        <f>IFERROR(
    GETPIVOTDATA(
        "Result",
        'Pivot Table Previous'!$A$3,
        "Player",View_Table[[#This Row],[Player]],
        "Result","Draw"
    ),
    0
)</f>
        <v>1</v>
      </c>
      <c r="N19" s="5">
        <f>View_Table[[#This Row],[Wins Previous]]+View_Table[[#This Row],[Losses Previous]]+View_Table[[#This Row],[Draws Previous]]</f>
        <v>8</v>
      </c>
      <c r="O19" s="9">
        <f>_xlfn.LET(_xlpm.g,View_Table[[#This Row],[Games Previous]], _xlpm.w,(View_Table[[#This Row],[Wins Previous]] + View_Table[[#This Row],[Draws Previous]] * 0.25), _xlpm.fake, MAX(0,25-_xlpm.g), IF(_xlpm.g=0,0,(_xlpm.w + _xlpm.fake*0.25)/(_xlpm.g + _xlpm.fake)))</f>
        <v>0.3</v>
      </c>
      <c r="P19" s="7">
        <f>_xlfn.RANK.EQ(View_Table[[#This Row],[Weighted Win% Previous]], View_Table[Weighted Win% Previous], 0)</f>
        <v>10</v>
      </c>
    </row>
    <row r="20" spans="2:16" hidden="1" x14ac:dyDescent="0.25">
      <c r="B20" s="3" t="s">
        <v>544</v>
      </c>
      <c r="C20" s="6">
        <f>View_Table[[#This Row],[Rank Previous]]-View_Table[[#This Row],[Rank]]</f>
        <v>-3</v>
      </c>
      <c r="D20" s="7">
        <f>_xlfn.RANK.EQ(View_Table[[#This Row],[Weighted Win%]], View_Table[Weighted Win%], 0)</f>
        <v>49</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46</v>
      </c>
    </row>
    <row r="21" spans="2:16" hidden="1" x14ac:dyDescent="0.25">
      <c r="B21" s="3" t="s">
        <v>402</v>
      </c>
      <c r="C21" s="6">
        <f>View_Table[[#This Row],[Rank Previous]]-View_Table[[#This Row],[Rank]]</f>
        <v>-1</v>
      </c>
      <c r="D21" s="7">
        <f>_xlfn.RANK.EQ(View_Table[[#This Row],[Weighted Win%]], View_Table[Weighted Win%], 0)</f>
        <v>17</v>
      </c>
      <c r="E21" s="9">
        <f>_xlfn.LET(_xlpm.g,View_Table[[#This Row],[Games]], _xlpm.w,(View_Table[[#This Row],[Wins]] + View_Table[[#This Row],[Draws]] * 0.25), _xlpm.fake, MAX(0,25-_xlpm.g), IF(_xlpm.g=0,0,(_xlpm.w + _xlpm.fake*0.25)/(_xlpm.g + _xlpm.fake)))</f>
        <v>0.26</v>
      </c>
      <c r="F21" s="8">
        <f>IF(View_Table[[#This Row],[Games]]=0,0,(View_Table[[#This Row],[Wins]] + (View_Table[[#This Row],[Draws]] * 0.25))/View_Table[[#This Row],[Games]])</f>
        <v>0.29166666666666669</v>
      </c>
      <c r="G21" s="5">
        <f>IFERROR(
    GETPIVOTDATA(
        "Result",
        'Pivot Table'!$A$3,
        "Player",View_Table[[#This Row],[Player]],
        "Result","Win"
    ),
    0
)</f>
        <v>1</v>
      </c>
      <c r="H21" s="5">
        <f>IFERROR(
    GETPIVOTDATA(
        "Result",
        'Pivot Table'!$A$3,
        "Player",View_Table[[#This Row],[Player]],
        "Result","Loss"
    ),
    0
)</f>
        <v>2</v>
      </c>
      <c r="I21" s="5">
        <f>IFERROR(
    GETPIVOTDATA(
        "Result",
        'Pivot Table'!$A$3,
        "Player",View_Table[[#This Row],[Player]],
        "Result","Draw"
    ),
    0
)</f>
        <v>3</v>
      </c>
      <c r="J21" s="5">
        <f>View_Table[[#This Row],[Wins]]+View_Table[[#This Row],[Losses]]+View_Table[[#This Row],[Draws]]</f>
        <v>6</v>
      </c>
      <c r="K21" s="7">
        <f>IFERROR(
    GETPIVOTDATA(
        "Result",
        'Pivot Table Previous'!$A$3,
        "Player",View_Table[[#This Row],[Player]],
        "Result","Win"
    ),
    0
)</f>
        <v>1</v>
      </c>
      <c r="L21" s="5">
        <f>IFERROR(
    GETPIVOTDATA(
        "Result",
        'Pivot Table Previous'!$A$3,
        "Player",View_Table[[#This Row],[Player]],
        "Result","Loss"
    ),
    0
)</f>
        <v>2</v>
      </c>
      <c r="M21" s="5">
        <f>IFERROR(
    GETPIVOTDATA(
        "Result",
        'Pivot Table Previous'!$A$3,
        "Player",View_Table[[#This Row],[Player]],
        "Result","Draw"
    ),
    0
)</f>
        <v>3</v>
      </c>
      <c r="N21" s="5">
        <f>View_Table[[#This Row],[Wins Previous]]+View_Table[[#This Row],[Losses Previous]]+View_Table[[#This Row],[Draws Previous]]</f>
        <v>6</v>
      </c>
      <c r="O21" s="9">
        <f>_xlfn.LET(_xlpm.g,View_Table[[#This Row],[Games Previous]], _xlpm.w,(View_Table[[#This Row],[Wins Previous]] + View_Table[[#This Row],[Draws Previous]] * 0.25), _xlpm.fake, MAX(0,25-_xlpm.g), IF(_xlpm.g=0,0,(_xlpm.w + _xlpm.fake*0.25)/(_xlpm.g + _xlpm.fake)))</f>
        <v>0.26</v>
      </c>
      <c r="P21" s="7">
        <f>_xlfn.RANK.EQ(View_Table[[#This Row],[Weighted Win% Previous]], View_Table[Weighted Win% Previous], 0)</f>
        <v>16</v>
      </c>
    </row>
    <row r="22" spans="2:16" x14ac:dyDescent="0.25">
      <c r="B22" s="3" t="s">
        <v>351</v>
      </c>
      <c r="C22" s="6">
        <f>View_Table[[#This Row],[Rank Previous]]-View_Table[[#This Row],[Rank]]</f>
        <v>6</v>
      </c>
      <c r="D22" s="7">
        <f>_xlfn.RANK.EQ(View_Table[[#This Row],[Weighted Win%]], View_Table[Weighted Win%], 0)</f>
        <v>12</v>
      </c>
      <c r="E22" s="9">
        <f>_xlfn.LET(_xlpm.g,View_Table[[#This Row],[Games]], _xlpm.w,(View_Table[[#This Row],[Wins]] + View_Table[[#This Row],[Draws]] * 0.25), _xlpm.fake, MAX(0,25-_xlpm.g), IF(_xlpm.g=0,0,(_xlpm.w + _xlpm.fake*0.25)/(_xlpm.g + _xlpm.fake)))</f>
        <v>0.28000000000000003</v>
      </c>
      <c r="F22" s="8">
        <f>IF(View_Table[[#This Row],[Games]]=0,0,(View_Table[[#This Row],[Wins]] + (View_Table[[#This Row],[Draws]] * 0.25))/View_Table[[#This Row],[Games]])</f>
        <v>0.29166666666666669</v>
      </c>
      <c r="G22" s="5">
        <f>IFERROR(
    GETPIVOTDATA(
        "Result",
        'Pivot Table'!$A$3,
        "Player",View_Table[[#This Row],[Player]],
        "Result","Win"
    ),
    0
)</f>
        <v>4</v>
      </c>
      <c r="H22" s="5">
        <f>IFERROR(
    GETPIVOTDATA(
        "Result",
        'Pivot Table'!$A$3,
        "Player",View_Table[[#This Row],[Player]],
        "Result","Loss"
    ),
    0
)</f>
        <v>9</v>
      </c>
      <c r="I22" s="5">
        <f>IFERROR(
    GETPIVOTDATA(
        "Result",
        'Pivot Table'!$A$3,
        "Player",View_Table[[#This Row],[Player]],
        "Result","Draw"
    ),
    0
)</f>
        <v>5</v>
      </c>
      <c r="J22" s="5">
        <f>View_Table[[#This Row],[Wins]]+View_Table[[#This Row],[Losses]]+View_Table[[#This Row],[Draws]]</f>
        <v>18</v>
      </c>
      <c r="K22" s="7">
        <f>IFERROR(
    GETPIVOTDATA(
        "Result",
        'Pivot Table Previous'!$A$3,
        "Player",View_Table[[#This Row],[Player]],
        "Result","Win"
    ),
    0
)</f>
        <v>3</v>
      </c>
      <c r="L22" s="5">
        <f>IFERROR(
    GETPIVOTDATA(
        "Result",
        'Pivot Table Previous'!$A$3,
        "Player",View_Table[[#This Row],[Player]],
        "Result","Loss"
    ),
    0
)</f>
        <v>9</v>
      </c>
      <c r="M22" s="5">
        <f>IFERROR(
    GETPIVOTDATA(
        "Result",
        'Pivot Table Previous'!$A$3,
        "Player",View_Table[[#This Row],[Player]],
        "Result","Draw"
    ),
    0
)</f>
        <v>4</v>
      </c>
      <c r="N22" s="5">
        <f>View_Table[[#This Row],[Wins Previous]]+View_Table[[#This Row],[Losses Previous]]+View_Table[[#This Row],[Draws Previous]]</f>
        <v>16</v>
      </c>
      <c r="O22" s="9">
        <f>_xlfn.LET(_xlpm.g,View_Table[[#This Row],[Games Previous]], _xlpm.w,(View_Table[[#This Row],[Wins Previous]] + View_Table[[#This Row],[Draws Previous]] * 0.25), _xlpm.fake, MAX(0,25-_xlpm.g), IF(_xlpm.g=0,0,(_xlpm.w + _xlpm.fake*0.25)/(_xlpm.g + _xlpm.fake)))</f>
        <v>0.25</v>
      </c>
      <c r="P22" s="7">
        <f>_xlfn.RANK.EQ(View_Table[[#This Row],[Weighted Win% Previous]], View_Table[Weighted Win% Previous], 0)</f>
        <v>18</v>
      </c>
    </row>
    <row r="23" spans="2:16" hidden="1" x14ac:dyDescent="0.25">
      <c r="B23" s="3" t="s">
        <v>296</v>
      </c>
      <c r="C23" s="6">
        <f>View_Table[[#This Row],[Rank Previous]]-View_Table[[#This Row],[Rank]]</f>
        <v>-3</v>
      </c>
      <c r="D23" s="7">
        <f>_xlfn.RANK.EQ(View_Table[[#This Row],[Weighted Win%]], View_Table[Weighted Win%], 0)</f>
        <v>49</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46</v>
      </c>
    </row>
    <row r="24" spans="2:16" x14ac:dyDescent="0.25">
      <c r="B24" s="3" t="s">
        <v>14</v>
      </c>
      <c r="C24" s="6">
        <f>View_Table[[#This Row],[Rank Previous]]-View_Table[[#This Row],[Rank]]</f>
        <v>4</v>
      </c>
      <c r="D24" s="7">
        <f>_xlfn.RANK.EQ(View_Table[[#This Row],[Weighted Win%]], View_Table[Weighted Win%], 0)</f>
        <v>14</v>
      </c>
      <c r="E24" s="9">
        <f>_xlfn.LET(_xlpm.g,View_Table[[#This Row],[Games]], _xlpm.w,(View_Table[[#This Row],[Wins]] + View_Table[[#This Row],[Draws]] * 0.25), _xlpm.fake, MAX(0,25-_xlpm.g), IF(_xlpm.g=0,0,(_xlpm.w + _xlpm.fake*0.25)/(_xlpm.g + _xlpm.fake)))</f>
        <v>0.27</v>
      </c>
      <c r="F24" s="8">
        <f>IF(View_Table[[#This Row],[Games]]=0,0,(View_Table[[#This Row],[Wins]] + (View_Table[[#This Row],[Draws]] * 0.25))/View_Table[[#This Row],[Games]])</f>
        <v>0.27083333333333331</v>
      </c>
      <c r="G24" s="5">
        <f>IFERROR(
    GETPIVOTDATA(
        "Result",
        'Pivot Table'!$A$3,
        "Player",View_Table[[#This Row],[Player]],
        "Result","Win"
    ),
    0
)</f>
        <v>5</v>
      </c>
      <c r="H24" s="5">
        <f>IFERROR(
    GETPIVOTDATA(
        "Result",
        'Pivot Table'!$A$3,
        "Player",View_Table[[#This Row],[Player]],
        "Result","Loss"
    ),
    0
)</f>
        <v>13</v>
      </c>
      <c r="I24" s="5">
        <f>IFERROR(
    GETPIVOTDATA(
        "Result",
        'Pivot Table'!$A$3,
        "Player",View_Table[[#This Row],[Player]],
        "Result","Draw"
    ),
    0
)</f>
        <v>6</v>
      </c>
      <c r="J24" s="5">
        <f>View_Table[[#This Row],[Wins]]+View_Table[[#This Row],[Losses]]+View_Table[[#This Row],[Draws]]</f>
        <v>24</v>
      </c>
      <c r="K24" s="5">
        <f>IFERROR(
    GETPIVOTDATA(
        "Result",
        'Pivot Table Previous'!$A$3,
        "Player",View_Table[[#This Row],[Player]],
        "Result","Win"
    ),
    0
)</f>
        <v>4</v>
      </c>
      <c r="L24" s="5">
        <f>IFERROR(
    GETPIVOTDATA(
        "Result",
        'Pivot Table Previous'!$A$3,
        "Player",View_Table[[#This Row],[Player]],
        "Result","Loss"
    ),
    0
)</f>
        <v>12</v>
      </c>
      <c r="M24" s="5">
        <f>IFERROR(
    GETPIVOTDATA(
        "Result",
        'Pivot Table Previous'!$A$3,
        "Player",View_Table[[#This Row],[Player]],
        "Result","Draw"
    ),
    0
)</f>
        <v>6</v>
      </c>
      <c r="N24" s="5">
        <f>View_Table[[#This Row],[Wins Previous]]+View_Table[[#This Row],[Losses Previous]]+View_Table[[#This Row],[Draws Previous]]</f>
        <v>22</v>
      </c>
      <c r="O24" s="9">
        <f>_xlfn.LET(_xlpm.g,View_Table[[#This Row],[Games Previous]], _xlpm.w,(View_Table[[#This Row],[Wins Previous]] + View_Table[[#This Row],[Draws Previous]] * 0.25), _xlpm.fake, MAX(0,25-_xlpm.g), IF(_xlpm.g=0,0,(_xlpm.w + _xlpm.fake*0.25)/(_xlpm.g + _xlpm.fake)))</f>
        <v>0.25</v>
      </c>
      <c r="P24" s="7">
        <f>IF(View_Table[[#This Row],[Games Previous]]=0,
    View_Table[[#This Row],[Rank]],
    _xlfn.RANK.EQ(View_Table[[#This Row],[Weighted Win% Previous]], View_Table[Weighted Win% Previous], 0)
)</f>
        <v>18</v>
      </c>
    </row>
    <row r="25" spans="2:16" hidden="1" x14ac:dyDescent="0.25">
      <c r="B25" s="3" t="s">
        <v>22</v>
      </c>
      <c r="C25" s="6">
        <f>View_Table[[#This Row],[Rank Previous]]-View_Table[[#This Row],[Rank]]</f>
        <v>0</v>
      </c>
      <c r="D25" s="7">
        <f>_xlfn.RANK.EQ(View_Table[[#This Row],[Weighted Win%]], View_Table[Weighted Win%], 0)</f>
        <v>49</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5">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IF(View_Table[[#This Row],[Games Previous]]=0,
    View_Table[[#This Row],[Rank]],
    _xlfn.RANK.EQ(View_Table[[#This Row],[Weighted Win% Previous]], View_Table[Weighted Win% Previous], 0)
)</f>
        <v>49</v>
      </c>
    </row>
    <row r="26" spans="2:16" hidden="1" x14ac:dyDescent="0.25">
      <c r="B26" s="3" t="s">
        <v>364</v>
      </c>
      <c r="C26" s="6">
        <f>View_Table[[#This Row],[Rank Previous]]-View_Table[[#This Row],[Rank]]</f>
        <v>-1</v>
      </c>
      <c r="D26" s="7">
        <f>_xlfn.RANK.EQ(View_Table[[#This Row],[Weighted Win%]], View_Table[Weighted Win%], 0)</f>
        <v>19</v>
      </c>
      <c r="E26" s="9">
        <f>_xlfn.LET(_xlpm.g,View_Table[[#This Row],[Games]], _xlpm.w,(View_Table[[#This Row],[Wins]] + View_Table[[#This Row],[Draws]] * 0.25), _xlpm.fake, MAX(0,25-_xlpm.g), IF(_xlpm.g=0,0,(_xlpm.w + _xlpm.fake*0.25)/(_xlpm.g + _xlpm.fake)))</f>
        <v>0.25</v>
      </c>
      <c r="F26" s="8">
        <f>IF(View_Table[[#This Row],[Games]]=0,0,(View_Table[[#This Row],[Wins]] + (View_Table[[#This Row],[Draws]] * 0.25))/View_Table[[#This Row],[Games]])</f>
        <v>0.25</v>
      </c>
      <c r="G26" s="5">
        <f>IFERROR(
    GETPIVOTDATA(
        "Result",
        'Pivot Table'!$A$3,
        "Player",View_Table[[#This Row],[Player]],
        "Result","Win"
    ),
    0
)</f>
        <v>1</v>
      </c>
      <c r="H26" s="5">
        <f>IFERROR(
    GETPIVOTDATA(
        "Result",
        'Pivot Table'!$A$3,
        "Player",View_Table[[#This Row],[Player]],
        "Result","Loss"
    ),
    0
)</f>
        <v>3</v>
      </c>
      <c r="I26" s="5">
        <f>IFERROR(
    GETPIVOTDATA(
        "Result",
        'Pivot Table'!$A$3,
        "Player",View_Table[[#This Row],[Player]],
        "Result","Draw"
    ),
    0
)</f>
        <v>2</v>
      </c>
      <c r="J26" s="5">
        <f>View_Table[[#This Row],[Wins]]+View_Table[[#This Row],[Losses]]+View_Table[[#This Row],[Draws]]</f>
        <v>6</v>
      </c>
      <c r="K26" s="7">
        <f>IFERROR(
    GETPIVOTDATA(
        "Result",
        'Pivot Table Previous'!$A$3,
        "Player",View_Table[[#This Row],[Player]],
        "Result","Win"
    ),
    0
)</f>
        <v>1</v>
      </c>
      <c r="L26" s="5">
        <f>IFERROR(
    GETPIVOTDATA(
        "Result",
        'Pivot Table Previous'!$A$3,
        "Player",View_Table[[#This Row],[Player]],
        "Result","Loss"
    ),
    0
)</f>
        <v>3</v>
      </c>
      <c r="M26" s="5">
        <f>IFERROR(
    GETPIVOTDATA(
        "Result",
        'Pivot Table Previous'!$A$3,
        "Player",View_Table[[#This Row],[Player]],
        "Result","Draw"
    ),
    0
)</f>
        <v>2</v>
      </c>
      <c r="N26" s="5">
        <f>View_Table[[#This Row],[Wins Previous]]+View_Table[[#This Row],[Losses Previous]]+View_Table[[#This Row],[Draws Previous]]</f>
        <v>6</v>
      </c>
      <c r="O26" s="9">
        <f>_xlfn.LET(_xlpm.g,View_Table[[#This Row],[Games Previous]], _xlpm.w,(View_Table[[#This Row],[Wins Previous]] + View_Table[[#This Row],[Draws Previous]] * 0.25), _xlpm.fake, MAX(0,25-_xlpm.g), IF(_xlpm.g=0,0,(_xlpm.w + _xlpm.fake*0.25)/(_xlpm.g + _xlpm.fake)))</f>
        <v>0.25</v>
      </c>
      <c r="P26" s="7">
        <f>_xlfn.RANK.EQ(View_Table[[#This Row],[Weighted Win% Previous]], View_Table[Weighted Win% Previous], 0)</f>
        <v>18</v>
      </c>
    </row>
    <row r="27" spans="2:16" hidden="1" x14ac:dyDescent="0.25">
      <c r="B27" s="3" t="s">
        <v>432</v>
      </c>
      <c r="C27" s="6">
        <f>View_Table[[#This Row],[Rank Previous]]-View_Table[[#This Row],[Rank]]</f>
        <v>-3</v>
      </c>
      <c r="D27" s="7">
        <f>_xlfn.RANK.EQ(View_Table[[#This Row],[Weighted Win%]], View_Table[Weighted Win%], 0)</f>
        <v>49</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46</v>
      </c>
    </row>
    <row r="28" spans="2:16" hidden="1" x14ac:dyDescent="0.25">
      <c r="B28" s="3" t="s">
        <v>400</v>
      </c>
      <c r="C28" s="6">
        <f>View_Table[[#This Row],[Rank Previous]]-View_Table[[#This Row],[Rank]]</f>
        <v>-3</v>
      </c>
      <c r="D28" s="7">
        <f>_xlfn.RANK.EQ(View_Table[[#This Row],[Weighted Win%]], View_Table[Weighted Win%], 0)</f>
        <v>49</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46</v>
      </c>
    </row>
    <row r="29" spans="2:16" hidden="1" x14ac:dyDescent="0.25">
      <c r="B29" s="3" t="s">
        <v>406</v>
      </c>
      <c r="C29" s="6">
        <f>View_Table[[#This Row],[Rank Previous]]-View_Table[[#This Row],[Rank]]</f>
        <v>-3</v>
      </c>
      <c r="D29" s="7">
        <f>_xlfn.RANK.EQ(View_Table[[#This Row],[Weighted Win%]], View_Table[Weighted Win%], 0)</f>
        <v>49</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46</v>
      </c>
    </row>
    <row r="30" spans="2:16" hidden="1" x14ac:dyDescent="0.25">
      <c r="B30" s="3" t="s">
        <v>386</v>
      </c>
      <c r="C30" s="6">
        <f>View_Table[[#This Row],[Rank Previous]]-View_Table[[#This Row],[Rank]]</f>
        <v>-3</v>
      </c>
      <c r="D30" s="7">
        <f>_xlfn.RANK.EQ(View_Table[[#This Row],[Weighted Win%]], View_Table[Weighted Win%], 0)</f>
        <v>49</v>
      </c>
      <c r="E30" s="9">
        <f>_xlfn.LET(_xlpm.g,View_Table[[#This Row],[Games]], _xlpm.w,(View_Table[[#This Row],[Wins]] + View_Table[[#This Row],[Draws]] * 0.25), _xlpm.fake, MAX(0,25-_xlpm.g), IF(_xlpm.g=0,0,(_xlpm.w + _xlpm.fake*0.25)/(_xlpm.g + _xlpm.fake)))</f>
        <v>0</v>
      </c>
      <c r="F30" s="8">
        <f>IF(View_Table[[#This Row],[Games]]=0,0,(View_Table[[#This Row],[Wins]] + (View_Table[[#This Row],[Draws]] * 0.25))/View_Table[[#This Row],[Games]])</f>
        <v>0</v>
      </c>
      <c r="G30" s="5">
        <f>IFERROR(
    GETPIVOTDATA(
        "Result",
        'Pivot Table'!$A$3,
        "Player",View_Table[[#This Row],[Player]],
        "Result","Win"
    ),
    0
)</f>
        <v>0</v>
      </c>
      <c r="H30" s="5">
        <f>IFERROR(
    GETPIVOTDATA(
        "Result",
        'Pivot Table'!$A$3,
        "Player",View_Table[[#This Row],[Player]],
        "Result","Loss"
    ),
    0
)</f>
        <v>0</v>
      </c>
      <c r="I30" s="5">
        <f>IFERROR(
    GETPIVOTDATA(
        "Result",
        'Pivot Table'!$A$3,
        "Player",View_Table[[#This Row],[Player]],
        "Result","Draw"
    ),
    0
)</f>
        <v>0</v>
      </c>
      <c r="J30" s="5">
        <f>View_Table[[#This Row],[Wins]]+View_Table[[#This Row],[Losses]]+View_Table[[#This Row],[Draws]]</f>
        <v>0</v>
      </c>
      <c r="K30" s="7">
        <f>IFERROR(
    GETPIVOTDATA(
        "Result",
        'Pivot Table Previous'!$A$3,
        "Player",View_Table[[#This Row],[Player]],
        "Result","Win"
    ),
    0
)</f>
        <v>0</v>
      </c>
      <c r="L30" s="5">
        <f>IFERROR(
    GETPIVOTDATA(
        "Result",
        'Pivot Table Previous'!$A$3,
        "Player",View_Table[[#This Row],[Player]],
        "Result","Loss"
    ),
    0
)</f>
        <v>0</v>
      </c>
      <c r="M30" s="5">
        <f>IFERROR(
    GETPIVOTDATA(
        "Result",
        'Pivot Table Previous'!$A$3,
        "Player",View_Table[[#This Row],[Player]],
        "Result","Draw"
    ),
    0
)</f>
        <v>0</v>
      </c>
      <c r="N30" s="5">
        <f>View_Table[[#This Row],[Wins Previous]]+View_Table[[#This Row],[Losses Previous]]+View_Table[[#This Row],[Draws Previous]]</f>
        <v>0</v>
      </c>
      <c r="O30" s="9">
        <f>_xlfn.LET(_xlpm.g,View_Table[[#This Row],[Games Previous]], _xlpm.w,(View_Table[[#This Row],[Wins Previous]] + View_Table[[#This Row],[Draws Previous]] * 0.25), _xlpm.fake, MAX(0,25-_xlpm.g), IF(_xlpm.g=0,0,(_xlpm.w + _xlpm.fake*0.25)/(_xlpm.g + _xlpm.fake)))</f>
        <v>0</v>
      </c>
      <c r="P30" s="7">
        <f>_xlfn.RANK.EQ(View_Table[[#This Row],[Weighted Win% Previous]], View_Table[Weighted Win% Previous], 0)</f>
        <v>46</v>
      </c>
    </row>
    <row r="31" spans="2:16" hidden="1" x14ac:dyDescent="0.25">
      <c r="B31" s="3" t="s">
        <v>43</v>
      </c>
      <c r="C31" s="6">
        <f>View_Table[[#This Row],[Rank Previous]]-View_Table[[#This Row],[Rank]]</f>
        <v>-3</v>
      </c>
      <c r="D31" s="7">
        <f>_xlfn.RANK.EQ(View_Table[[#This Row],[Weighted Win%]], View_Table[Weighted Win%], 0)</f>
        <v>49</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46</v>
      </c>
    </row>
    <row r="32" spans="2:16" hidden="1" x14ac:dyDescent="0.25">
      <c r="B32" s="3" t="s">
        <v>323</v>
      </c>
      <c r="C32" s="6">
        <f>View_Table[[#This Row],[Rank Previous]]-View_Table[[#This Row],[Rank]]</f>
        <v>-3</v>
      </c>
      <c r="D32" s="7">
        <f>_xlfn.RANK.EQ(View_Table[[#This Row],[Weighted Win%]], View_Table[Weighted Win%], 0)</f>
        <v>49</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46</v>
      </c>
    </row>
    <row r="33" spans="2:16" hidden="1" x14ac:dyDescent="0.25">
      <c r="B33" s="3" t="s">
        <v>324</v>
      </c>
      <c r="C33" s="6">
        <f>View_Table[[#This Row],[Rank Previous]]-View_Table[[#This Row],[Rank]]</f>
        <v>-3</v>
      </c>
      <c r="D33" s="7">
        <f>_xlfn.RANK.EQ(View_Table[[#This Row],[Weighted Win%]], View_Table[Weighted Win%], 0)</f>
        <v>49</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46</v>
      </c>
    </row>
    <row r="34" spans="2:16" x14ac:dyDescent="0.25">
      <c r="B34" s="3" t="s">
        <v>9</v>
      </c>
      <c r="C34" s="6">
        <f>View_Table[[#This Row],[Rank Previous]]-View_Table[[#This Row],[Rank]]</f>
        <v>-6</v>
      </c>
      <c r="D34" s="7">
        <f>_xlfn.RANK.EQ(View_Table[[#This Row],[Weighted Win%]], View_Table[Weighted Win%], 0)</f>
        <v>19</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3</v>
      </c>
      <c r="H34" s="5">
        <f>IFERROR(
    GETPIVOTDATA(
        "Result",
        'Pivot Table'!$A$3,
        "Player",View_Table[[#This Row],[Player]],
        "Result","Loss"
    ),
    0
)</f>
        <v>9</v>
      </c>
      <c r="I34" s="5">
        <f>IFERROR(
    GETPIVOTDATA(
        "Result",
        'Pivot Table'!$A$3,
        "Player",View_Table[[#This Row],[Player]],
        "Result","Draw"
    ),
    0
)</f>
        <v>4</v>
      </c>
      <c r="J34" s="5">
        <f>View_Table[[#This Row],[Wins]]+View_Table[[#This Row],[Losses]]+View_Table[[#This Row],[Draws]]</f>
        <v>16</v>
      </c>
      <c r="K34" s="7">
        <f>IFERROR(
    GETPIVOTDATA(
        "Result",
        'Pivot Table Previous'!$A$3,
        "Player",View_Table[[#This Row],[Player]],
        "Result","Win"
    ),
    0
)</f>
        <v>3</v>
      </c>
      <c r="L34" s="5">
        <f>IFERROR(
    GETPIVOTDATA(
        "Result",
        'Pivot Table Previous'!$A$3,
        "Player",View_Table[[#This Row],[Player]],
        "Result","Loss"
    ),
    0
)</f>
        <v>7</v>
      </c>
      <c r="M34" s="5">
        <f>IFERROR(
    GETPIVOTDATA(
        "Result",
        'Pivot Table Previous'!$A$3,
        "Player",View_Table[[#This Row],[Player]],
        "Result","Draw"
    ),
    0
)</f>
        <v>4</v>
      </c>
      <c r="N34" s="5">
        <f>View_Table[[#This Row],[Wins Previous]]+View_Table[[#This Row],[Losses Previous]]+View_Table[[#This Row],[Draws Previous]]</f>
        <v>14</v>
      </c>
      <c r="O34" s="9">
        <f>_xlfn.LET(_xlpm.g,View_Table[[#This Row],[Games Previous]], _xlpm.w,(View_Table[[#This Row],[Wins Previous]] + View_Table[[#This Row],[Draws Previous]] * 0.25), _xlpm.fake, MAX(0,25-_xlpm.g), IF(_xlpm.g=0,0,(_xlpm.w + _xlpm.fake*0.25)/(_xlpm.g + _xlpm.fake)))</f>
        <v>0.27</v>
      </c>
      <c r="P34" s="7">
        <f>_xlfn.RANK.EQ(View_Table[[#This Row],[Weighted Win% Previous]], View_Table[Weighted Win% Previous], 0)</f>
        <v>13</v>
      </c>
    </row>
    <row r="35" spans="2:16" hidden="1" x14ac:dyDescent="0.25">
      <c r="B35" s="3" t="s">
        <v>478</v>
      </c>
      <c r="C35" s="6">
        <f>View_Table[[#This Row],[Rank Previous]]-View_Table[[#This Row],[Rank]]</f>
        <v>-1</v>
      </c>
      <c r="D35" s="7">
        <f>_xlfn.RANK.EQ(View_Table[[#This Row],[Weighted Win%]], View_Table[Weighted Win%], 0)</f>
        <v>25</v>
      </c>
      <c r="E35" s="9">
        <f>_xlfn.LET(_xlpm.g,View_Table[[#This Row],[Games]], _xlpm.w,(View_Table[[#This Row],[Wins]] + View_Table[[#This Row],[Draws]] * 0.25), _xlpm.fake, MAX(0,25-_xlpm.g), IF(_xlpm.g=0,0,(_xlpm.w + _xlpm.fake*0.25)/(_xlpm.g + _xlpm.fake)))</f>
        <v>0.24</v>
      </c>
      <c r="F35" s="8">
        <f>IF(View_Table[[#This Row],[Games]]=0,0,(View_Table[[#This Row],[Wins]] + (View_Table[[#This Row],[Draws]] * 0.25))/View_Table[[#This Row],[Games]])</f>
        <v>0.125</v>
      </c>
      <c r="G35" s="5">
        <f>IFERROR(
    GETPIVOTDATA(
        "Result",
        'Pivot Table'!$A$3,
        "Player",View_Table[[#This Row],[Player]],
        "Result","Win"
    ),
    0
)</f>
        <v>0</v>
      </c>
      <c r="H35" s="5">
        <f>IFERROR(
    GETPIVOTDATA(
        "Result",
        'Pivot Table'!$A$3,
        "Player",View_Table[[#This Row],[Player]],
        "Result","Loss"
    ),
    0
)</f>
        <v>1</v>
      </c>
      <c r="I35" s="5">
        <f>IFERROR(
    GETPIVOTDATA(
        "Result",
        'Pivot Table'!$A$3,
        "Player",View_Table[[#This Row],[Player]],
        "Result","Draw"
    ),
    0
)</f>
        <v>1</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1</v>
      </c>
      <c r="M35" s="5">
        <f>IFERROR(
    GETPIVOTDATA(
        "Result",
        'Pivot Table Previous'!$A$3,
        "Player",View_Table[[#This Row],[Player]],
        "Result","Draw"
    ),
    0
)</f>
        <v>1</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0.24</v>
      </c>
      <c r="P35" s="7">
        <f>_xlfn.RANK.EQ(View_Table[[#This Row],[Weighted Win% Previous]], View_Table[Weighted Win% Previous], 0)</f>
        <v>24</v>
      </c>
    </row>
    <row r="36" spans="2:16" hidden="1" x14ac:dyDescent="0.25">
      <c r="B36" s="3" t="s">
        <v>401</v>
      </c>
      <c r="C36" s="6">
        <f>View_Table[[#This Row],[Rank Previous]]-View_Table[[#This Row],[Rank]]</f>
        <v>-3</v>
      </c>
      <c r="D36" s="7">
        <f>_xlfn.RANK.EQ(View_Table[[#This Row],[Weighted Win%]], View_Table[Weighted Win%], 0)</f>
        <v>49</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7">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_xlfn.RANK.EQ(View_Table[[#This Row],[Weighted Win% Previous]], View_Table[Weighted Win% Previous], 0)</f>
        <v>46</v>
      </c>
    </row>
    <row r="37" spans="2:16" hidden="1" x14ac:dyDescent="0.25">
      <c r="B37" s="3" t="s">
        <v>403</v>
      </c>
      <c r="C37" s="6">
        <f>View_Table[[#This Row],[Rank Previous]]-View_Table[[#This Row],[Rank]]</f>
        <v>-3</v>
      </c>
      <c r="D37" s="7">
        <f>_xlfn.RANK.EQ(View_Table[[#This Row],[Weighted Win%]], View_Table[Weighted Win%], 0)</f>
        <v>49</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46</v>
      </c>
    </row>
    <row r="38" spans="2:16" hidden="1" x14ac:dyDescent="0.25">
      <c r="B38" s="3" t="s">
        <v>404</v>
      </c>
      <c r="C38" s="6">
        <f>View_Table[[#This Row],[Rank Previous]]-View_Table[[#This Row],[Rank]]</f>
        <v>-3</v>
      </c>
      <c r="D38" s="7">
        <f>_xlfn.RANK.EQ(View_Table[[#This Row],[Weighted Win%]], View_Table[Weighted Win%], 0)</f>
        <v>49</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46</v>
      </c>
    </row>
    <row r="39" spans="2:16" hidden="1" x14ac:dyDescent="0.25">
      <c r="B39" s="3" t="s">
        <v>435</v>
      </c>
      <c r="C39" s="6">
        <f>View_Table[[#This Row],[Rank Previous]]-View_Table[[#This Row],[Rank]]</f>
        <v>-2</v>
      </c>
      <c r="D39" s="7">
        <f>_xlfn.RANK.EQ(View_Table[[#This Row],[Weighted Win%]], View_Table[Weighted Win%], 0)</f>
        <v>40</v>
      </c>
      <c r="E39" s="9">
        <f>_xlfn.LET(_xlpm.g,View_Table[[#This Row],[Games]], _xlpm.w,(View_Table[[#This Row],[Wins]] + View_Table[[#This Row],[Draws]] * 0.25), _xlpm.fake, MAX(0,25-_xlpm.g), IF(_xlpm.g=0,0,(_xlpm.w + _xlpm.fake*0.25)/(_xlpm.g + _xlpm.fake)))</f>
        <v>0.22</v>
      </c>
      <c r="F39" s="8">
        <f>IF(View_Table[[#This Row],[Games]]=0,0,(View_Table[[#This Row],[Wins]] + (View_Table[[#This Row],[Draws]] * 0.25))/View_Table[[#This Row],[Games]])</f>
        <v>6.25E-2</v>
      </c>
      <c r="G39" s="5">
        <f>IFERROR(
    GETPIVOTDATA(
        "Result",
        'Pivot Table'!$A$3,
        "Player",View_Table[[#This Row],[Player]],
        "Result","Win"
    ),
    0
)</f>
        <v>0</v>
      </c>
      <c r="H39" s="5">
        <f>IFERROR(
    GETPIVOTDATA(
        "Result",
        'Pivot Table'!$A$3,
        "Player",View_Table[[#This Row],[Player]],
        "Result","Loss"
    ),
    0
)</f>
        <v>3</v>
      </c>
      <c r="I39" s="5">
        <f>IFERROR(
    GETPIVOTDATA(
        "Result",
        'Pivot Table'!$A$3,
        "Player",View_Table[[#This Row],[Player]],
        "Result","Draw"
    ),
    0
)</f>
        <v>1</v>
      </c>
      <c r="J39" s="5">
        <f>View_Table[[#This Row],[Wins]]+View_Table[[#This Row],[Losses]]+View_Table[[#This Row],[Draws]]</f>
        <v>4</v>
      </c>
      <c r="K39" s="7">
        <f>IFERROR(
    GETPIVOTDATA(
        "Result",
        'Pivot Table Previous'!$A$3,
        "Player",View_Table[[#This Row],[Player]],
        "Result","Win"
    ),
    0
)</f>
        <v>0</v>
      </c>
      <c r="L39" s="5">
        <f>IFERROR(
    GETPIVOTDATA(
        "Result",
        'Pivot Table Previous'!$A$3,
        "Player",View_Table[[#This Row],[Player]],
        "Result","Loss"
    ),
    0
)</f>
        <v>3</v>
      </c>
      <c r="M39" s="5">
        <f>IFERROR(
    GETPIVOTDATA(
        "Result",
        'Pivot Table Previous'!$A$3,
        "Player",View_Table[[#This Row],[Player]],
        "Result","Draw"
    ),
    0
)</f>
        <v>1</v>
      </c>
      <c r="N39" s="5">
        <f>View_Table[[#This Row],[Wins Previous]]+View_Table[[#This Row],[Losses Previous]]+View_Table[[#This Row],[Draws Previous]]</f>
        <v>4</v>
      </c>
      <c r="O39" s="9">
        <f>_xlfn.LET(_xlpm.g,View_Table[[#This Row],[Games Previous]], _xlpm.w,(View_Table[[#This Row],[Wins Previous]] + View_Table[[#This Row],[Draws Previous]] * 0.25), _xlpm.fake, MAX(0,25-_xlpm.g), IF(_xlpm.g=0,0,(_xlpm.w + _xlpm.fake*0.25)/(_xlpm.g + _xlpm.fake)))</f>
        <v>0.22</v>
      </c>
      <c r="P39" s="7">
        <f>_xlfn.RANK.EQ(View_Table[[#This Row],[Weighted Win% Previous]], View_Table[Weighted Win% Previous], 0)</f>
        <v>38</v>
      </c>
    </row>
    <row r="40" spans="2:16" hidden="1" x14ac:dyDescent="0.25">
      <c r="B40" s="3" t="s">
        <v>59</v>
      </c>
      <c r="C40" s="6">
        <f>View_Table[[#This Row],[Rank Previous]]-View_Table[[#This Row],[Rank]]</f>
        <v>-4</v>
      </c>
      <c r="D40" s="7">
        <f>_xlfn.RANK.EQ(View_Table[[#This Row],[Weighted Win%]], View_Table[Weighted Win%], 0)</f>
        <v>30</v>
      </c>
      <c r="E40" s="9">
        <f>_xlfn.LET(_xlpm.g,View_Table[[#This Row],[Games]], _xlpm.w,(View_Table[[#This Row],[Wins]] + View_Table[[#This Row],[Draws]] * 0.25), _xlpm.fake, MAX(0,25-_xlpm.g), IF(_xlpm.g=0,0,(_xlpm.w + _xlpm.fake*0.25)/(_xlpm.g + _xlpm.fake)))</f>
        <v>0.23</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2</v>
      </c>
      <c r="I40" s="5">
        <f>IFERROR(
    GETPIVOTDATA(
        "Result",
        'Pivot Table'!$A$3,
        "Player",View_Table[[#This Row],[Player]],
        "Result","Draw"
    ),
    0
)</f>
        <v>0</v>
      </c>
      <c r="J40" s="5">
        <f>View_Table[[#This Row],[Wins]]+View_Table[[#This Row],[Losses]]+View_Table[[#This Row],[Draws]]</f>
        <v>2</v>
      </c>
      <c r="K40" s="5">
        <f>IFERROR(
    GETPIVOTDATA(
        "Result",
        'Pivot Table Previous'!$A$3,
        "Player",View_Table[[#This Row],[Player]],
        "Result","Win"
    ),
    0
)</f>
        <v>0</v>
      </c>
      <c r="L40" s="5">
        <f>IFERROR(
    GETPIVOTDATA(
        "Result",
        'Pivot Table Previous'!$A$3,
        "Player",View_Table[[#This Row],[Player]],
        "Result","Loss"
    ),
    0
)</f>
        <v>2</v>
      </c>
      <c r="M40" s="5">
        <f>IFERROR(
    GETPIVOTDATA(
        "Result",
        'Pivot Table Previous'!$A$3,
        "Player",View_Table[[#This Row],[Player]],
        "Result","Draw"
    ),
    0
)</f>
        <v>0</v>
      </c>
      <c r="N40" s="5">
        <f>View_Table[[#This Row],[Wins Previous]]+View_Table[[#This Row],[Losses Previous]]+View_Table[[#This Row],[Draws Previous]]</f>
        <v>2</v>
      </c>
      <c r="O40" s="9">
        <f>_xlfn.LET(_xlpm.g,View_Table[[#This Row],[Games Previous]], _xlpm.w,(View_Table[[#This Row],[Wins Previous]] + View_Table[[#This Row],[Draws Previous]] * 0.25), _xlpm.fake, MAX(0,25-_xlpm.g), IF(_xlpm.g=0,0,(_xlpm.w + _xlpm.fake*0.25)/(_xlpm.g + _xlpm.fake)))</f>
        <v>0.23</v>
      </c>
      <c r="P40" s="7">
        <f>IF(View_Table[[#This Row],[Games Previous]]=0,
    View_Table[[#This Row],[Rank]],
    _xlfn.RANK.EQ(View_Table[[#This Row],[Weighted Win% Previous]], View_Table[Weighted Win% Previous], 0)
)</f>
        <v>26</v>
      </c>
    </row>
    <row r="41" spans="2:16" hidden="1" x14ac:dyDescent="0.25">
      <c r="B41" s="3" t="s">
        <v>437</v>
      </c>
      <c r="C41" s="6">
        <f>View_Table[[#This Row],[Rank Previous]]-View_Table[[#This Row],[Rank]]</f>
        <v>-3</v>
      </c>
      <c r="D41" s="7">
        <f>_xlfn.RANK.EQ(View_Table[[#This Row],[Weighted Win%]], View_Table[Weighted Win%], 0)</f>
        <v>49</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46</v>
      </c>
    </row>
    <row r="42" spans="2:16" hidden="1" x14ac:dyDescent="0.25">
      <c r="B42" s="3" t="s">
        <v>438</v>
      </c>
      <c r="C42" s="6">
        <f>View_Table[[#This Row],[Rank Previous]]-View_Table[[#This Row],[Rank]]</f>
        <v>-4</v>
      </c>
      <c r="D42" s="7">
        <f>_xlfn.RANK.EQ(View_Table[[#This Row],[Weighted Win%]], View_Table[Weighted Win%], 0)</f>
        <v>30</v>
      </c>
      <c r="E42" s="9">
        <f>_xlfn.LET(_xlpm.g,View_Table[[#This Row],[Games]], _xlpm.w,(View_Table[[#This Row],[Wins]] + View_Table[[#This Row],[Draws]] * 0.25), _xlpm.fake, MAX(0,25-_xlpm.g), IF(_xlpm.g=0,0,(_xlpm.w + _xlpm.fake*0.25)/(_xlpm.g + _xlpm.fake)))</f>
        <v>0.23</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2</v>
      </c>
      <c r="I42" s="5">
        <f>IFERROR(
    GETPIVOTDATA(
        "Result",
        'Pivot Table'!$A$3,
        "Player",View_Table[[#This Row],[Player]],
        "Result","Draw"
    ),
    0
)</f>
        <v>0</v>
      </c>
      <c r="J42" s="5">
        <f>View_Table[[#This Row],[Wins]]+View_Table[[#This Row],[Losses]]+View_Table[[#This Row],[Draws]]</f>
        <v>2</v>
      </c>
      <c r="K42" s="7">
        <f>IFERROR(
    GETPIVOTDATA(
        "Result",
        'Pivot Table Previous'!$A$3,
        "Player",View_Table[[#This Row],[Player]],
        "Result","Win"
    ),
    0
)</f>
        <v>0</v>
      </c>
      <c r="L42" s="5">
        <f>IFERROR(
    GETPIVOTDATA(
        "Result",
        'Pivot Table Previous'!$A$3,
        "Player",View_Table[[#This Row],[Player]],
        "Result","Loss"
    ),
    0
)</f>
        <v>2</v>
      </c>
      <c r="M42" s="5">
        <f>IFERROR(
    GETPIVOTDATA(
        "Result",
        'Pivot Table Previous'!$A$3,
        "Player",View_Table[[#This Row],[Player]],
        "Result","Draw"
    ),
    0
)</f>
        <v>0</v>
      </c>
      <c r="N42" s="5">
        <f>View_Table[[#This Row],[Wins Previous]]+View_Table[[#This Row],[Losses Previous]]+View_Table[[#This Row],[Draws Previous]]</f>
        <v>2</v>
      </c>
      <c r="O42" s="9">
        <f>_xlfn.LET(_xlpm.g,View_Table[[#This Row],[Games Previous]], _xlpm.w,(View_Table[[#This Row],[Wins Previous]] + View_Table[[#This Row],[Draws Previous]] * 0.25), _xlpm.fake, MAX(0,25-_xlpm.g), IF(_xlpm.g=0,0,(_xlpm.w + _xlpm.fake*0.25)/(_xlpm.g + _xlpm.fake)))</f>
        <v>0.23</v>
      </c>
      <c r="P42" s="7">
        <f>_xlfn.RANK.EQ(View_Table[[#This Row],[Weighted Win% Previous]], View_Table[Weighted Win% Previous], 0)</f>
        <v>26</v>
      </c>
    </row>
    <row r="43" spans="2:16" hidden="1" x14ac:dyDescent="0.25">
      <c r="B43" s="3" t="s">
        <v>365</v>
      </c>
      <c r="C43" s="6">
        <f>View_Table[[#This Row],[Rank Previous]]-View_Table[[#This Row],[Rank]]</f>
        <v>-4</v>
      </c>
      <c r="D43" s="7">
        <f>_xlfn.RANK.EQ(View_Table[[#This Row],[Weighted Win%]], View_Table[Weighted Win%], 0)</f>
        <v>30</v>
      </c>
      <c r="E43" s="9">
        <f>_xlfn.LET(_xlpm.g,View_Table[[#This Row],[Games]], _xlpm.w,(View_Table[[#This Row],[Wins]] + View_Table[[#This Row],[Draws]] * 0.25), _xlpm.fake, MAX(0,25-_xlpm.g), IF(_xlpm.g=0,0,(_xlpm.w + _xlpm.fake*0.25)/(_xlpm.g + _xlpm.fake)))</f>
        <v>0.23</v>
      </c>
      <c r="F43" s="8">
        <f>IF(View_Table[[#This Row],[Games]]=0,0,(View_Table[[#This Row],[Wins]] + (View_Table[[#This Row],[Draws]] * 0.25))/View_Table[[#This Row],[Games]])</f>
        <v>0</v>
      </c>
      <c r="G43" s="5">
        <f>IFERROR(
    GETPIVOTDATA(
        "Result",
        'Pivot Table'!$A$3,
        "Player",View_Table[[#This Row],[Player]],
        "Result","Win"
    ),
    0
)</f>
        <v>0</v>
      </c>
      <c r="H43" s="5">
        <f>IFERROR(
    GETPIVOTDATA(
        "Result",
        'Pivot Table'!$A$3,
        "Player",View_Table[[#This Row],[Player]],
        "Result","Loss"
    ),
    0
)</f>
        <v>2</v>
      </c>
      <c r="I43" s="5">
        <f>IFERROR(
    GETPIVOTDATA(
        "Result",
        'Pivot Table'!$A$3,
        "Player",View_Table[[#This Row],[Player]],
        "Result","Draw"
    ),
    0
)</f>
        <v>0</v>
      </c>
      <c r="J43" s="5">
        <f>View_Table[[#This Row],[Wins]]+View_Table[[#This Row],[Losses]]+View_Table[[#This Row],[Draws]]</f>
        <v>2</v>
      </c>
      <c r="K43" s="7">
        <f>IFERROR(
    GETPIVOTDATA(
        "Result",
        'Pivot Table Previous'!$A$3,
        "Player",View_Table[[#This Row],[Player]],
        "Result","Win"
    ),
    0
)</f>
        <v>0</v>
      </c>
      <c r="L43" s="5">
        <f>IFERROR(
    GETPIVOTDATA(
        "Result",
        'Pivot Table Previous'!$A$3,
        "Player",View_Table[[#This Row],[Player]],
        "Result","Loss"
    ),
    0
)</f>
        <v>2</v>
      </c>
      <c r="M43" s="5">
        <f>IFERROR(
    GETPIVOTDATA(
        "Result",
        'Pivot Table Previous'!$A$3,
        "Player",View_Table[[#This Row],[Player]],
        "Result","Draw"
    ),
    0
)</f>
        <v>0</v>
      </c>
      <c r="N43" s="5">
        <f>View_Table[[#This Row],[Wins Previous]]+View_Table[[#This Row],[Losses Previous]]+View_Table[[#This Row],[Draws Previous]]</f>
        <v>2</v>
      </c>
      <c r="O43" s="9">
        <f>_xlfn.LET(_xlpm.g,View_Table[[#This Row],[Games Previous]], _xlpm.w,(View_Table[[#This Row],[Wins Previous]] + View_Table[[#This Row],[Draws Previous]] * 0.25), _xlpm.fake, MAX(0,25-_xlpm.g), IF(_xlpm.g=0,0,(_xlpm.w + _xlpm.fake*0.25)/(_xlpm.g + _xlpm.fake)))</f>
        <v>0.23</v>
      </c>
      <c r="P43" s="7">
        <f>_xlfn.RANK.EQ(View_Table[[#This Row],[Weighted Win% Previous]], View_Table[Weighted Win% Previous], 0)</f>
        <v>26</v>
      </c>
    </row>
    <row r="44" spans="2:16" hidden="1" x14ac:dyDescent="0.25">
      <c r="B44" s="3" t="s">
        <v>463</v>
      </c>
      <c r="C44" s="6">
        <f>View_Table[[#This Row],[Rank Previous]]-View_Table[[#This Row],[Rank]]</f>
        <v>-4</v>
      </c>
      <c r="D44" s="7">
        <f>_xlfn.RANK.EQ(View_Table[[#This Row],[Weighted Win%]], View_Table[Weighted Win%], 0)</f>
        <v>30</v>
      </c>
      <c r="E44" s="9">
        <f>_xlfn.LET(_xlpm.g,View_Table[[#This Row],[Games]], _xlpm.w,(View_Table[[#This Row],[Wins]] + View_Table[[#This Row],[Draws]] * 0.25), _xlpm.fake, MAX(0,25-_xlpm.g), IF(_xlpm.g=0,0,(_xlpm.w + _xlpm.fake*0.25)/(_xlpm.g + _xlpm.fake)))</f>
        <v>0.23</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2</v>
      </c>
      <c r="I44" s="5">
        <f>IFERROR(
    GETPIVOTDATA(
        "Result",
        'Pivot Table'!$A$3,
        "Player",View_Table[[#This Row],[Player]],
        "Result","Draw"
    ),
    0
)</f>
        <v>0</v>
      </c>
      <c r="J44" s="5">
        <f>View_Table[[#This Row],[Wins]]+View_Table[[#This Row],[Losses]]+View_Table[[#This Row],[Draws]]</f>
        <v>2</v>
      </c>
      <c r="K44" s="7">
        <f>IFERROR(
    GETPIVOTDATA(
        "Result",
        'Pivot Table Previous'!$A$3,
        "Player",View_Table[[#This Row],[Player]],
        "Result","Win"
    ),
    0
)</f>
        <v>0</v>
      </c>
      <c r="L44" s="5">
        <f>IFERROR(
    GETPIVOTDATA(
        "Result",
        'Pivot Table Previous'!$A$3,
        "Player",View_Table[[#This Row],[Player]],
        "Result","Loss"
    ),
    0
)</f>
        <v>2</v>
      </c>
      <c r="M44" s="5">
        <f>IFERROR(
    GETPIVOTDATA(
        "Result",
        'Pivot Table Previous'!$A$3,
        "Player",View_Table[[#This Row],[Player]],
        "Result","Draw"
    ),
    0
)</f>
        <v>0</v>
      </c>
      <c r="N44" s="5">
        <f>View_Table[[#This Row],[Wins Previous]]+View_Table[[#This Row],[Losses Previous]]+View_Table[[#This Row],[Draws Previous]]</f>
        <v>2</v>
      </c>
      <c r="O44" s="9">
        <f>_xlfn.LET(_xlpm.g,View_Table[[#This Row],[Games Previous]], _xlpm.w,(View_Table[[#This Row],[Wins Previous]] + View_Table[[#This Row],[Draws Previous]] * 0.25), _xlpm.fake, MAX(0,25-_xlpm.g), IF(_xlpm.g=0,0,(_xlpm.w + _xlpm.fake*0.25)/(_xlpm.g + _xlpm.fake)))</f>
        <v>0.23</v>
      </c>
      <c r="P44" s="7">
        <f>_xlfn.RANK.EQ(View_Table[[#This Row],[Weighted Win% Previous]], View_Table[Weighted Win% Previous], 0)</f>
        <v>26</v>
      </c>
    </row>
    <row r="45" spans="2:16" hidden="1" x14ac:dyDescent="0.25">
      <c r="B45" s="3" t="s">
        <v>42</v>
      </c>
      <c r="C45" s="6">
        <f>View_Table[[#This Row],[Rank Previous]]-View_Table[[#This Row],[Rank]]</f>
        <v>-3</v>
      </c>
      <c r="D45" s="7">
        <f>_xlfn.RANK.EQ(View_Table[[#This Row],[Weighted Win%]], View_Table[Weighted Win%], 0)</f>
        <v>49</v>
      </c>
      <c r="E45" s="9">
        <f>_xlfn.LET(_xlpm.g,View_Table[[#This Row],[Games]], _xlpm.w,(View_Table[[#This Row],[Wins]] + View_Table[[#This Row],[Draws]] * 0.25), _xlpm.fake, MAX(0,25-_xlpm.g), IF(_xlpm.g=0,0,(_xlpm.w + _xlpm.fake*0.25)/(_xlpm.g + _xlpm.fake)))</f>
        <v>0</v>
      </c>
      <c r="F45" s="8">
        <f>IF(View_Table[[#This Row],[Games]]=0,0,(View_Table[[#This Row],[Wins]] + (View_Table[[#This Row],[Draws]] * 0.25))/View_Table[[#This Row],[Games]])</f>
        <v>0</v>
      </c>
      <c r="G45" s="5">
        <f>IFERROR(
    GETPIVOTDATA(
        "Result",
        'Pivot Table'!$A$3,
        "Player",View_Table[[#This Row],[Player]],
        "Result","Win"
    ),
    0
)</f>
        <v>0</v>
      </c>
      <c r="H45" s="5">
        <f>IFERROR(
    GETPIVOTDATA(
        "Result",
        'Pivot Table'!$A$3,
        "Player",View_Table[[#This Row],[Player]],
        "Result","Loss"
    ),
    0
)</f>
        <v>0</v>
      </c>
      <c r="I45" s="5">
        <f>IFERROR(
    GETPIVOTDATA(
        "Result",
        'Pivot Table'!$A$3,
        "Player",View_Table[[#This Row],[Player]],
        "Result","Draw"
    ),
    0
)</f>
        <v>0</v>
      </c>
      <c r="J45" s="5">
        <f>View_Table[[#This Row],[Wins]]+View_Table[[#This Row],[Losses]]+View_Table[[#This Row],[Draws]]</f>
        <v>0</v>
      </c>
      <c r="K45" s="7">
        <f>IFERROR(
    GETPIVOTDATA(
        "Result",
        'Pivot Table Previous'!$A$3,
        "Player",View_Table[[#This Row],[Player]],
        "Result","Win"
    ),
    0
)</f>
        <v>0</v>
      </c>
      <c r="L45" s="5">
        <f>IFERROR(
    GETPIVOTDATA(
        "Result",
        'Pivot Table Previous'!$A$3,
        "Player",View_Table[[#This Row],[Player]],
        "Result","Loss"
    ),
    0
)</f>
        <v>0</v>
      </c>
      <c r="M45" s="5">
        <f>IFERROR(
    GETPIVOTDATA(
        "Result",
        'Pivot Table Previous'!$A$3,
        "Player",View_Table[[#This Row],[Player]],
        "Result","Draw"
    ),
    0
)</f>
        <v>0</v>
      </c>
      <c r="N45" s="5">
        <f>View_Table[[#This Row],[Wins Previous]]+View_Table[[#This Row],[Losses Previous]]+View_Table[[#This Row],[Draws Previous]]</f>
        <v>0</v>
      </c>
      <c r="O45" s="9">
        <f>_xlfn.LET(_xlpm.g,View_Table[[#This Row],[Games Previous]], _xlpm.w,(View_Table[[#This Row],[Wins Previous]] + View_Table[[#This Row],[Draws Previous]] * 0.25), _xlpm.fake, MAX(0,25-_xlpm.g), IF(_xlpm.g=0,0,(_xlpm.w + _xlpm.fake*0.25)/(_xlpm.g + _xlpm.fake)))</f>
        <v>0</v>
      </c>
      <c r="P45" s="7">
        <f>_xlfn.RANK.EQ(View_Table[[#This Row],[Weighted Win% Previous]], View_Table[Weighted Win% Previous], 0)</f>
        <v>46</v>
      </c>
    </row>
    <row r="46" spans="2:16" hidden="1" x14ac:dyDescent="0.25">
      <c r="B46" s="3" t="s">
        <v>464</v>
      </c>
      <c r="C46" s="6">
        <f>View_Table[[#This Row],[Rank Previous]]-View_Table[[#This Row],[Rank]]</f>
        <v>-4</v>
      </c>
      <c r="D46" s="7">
        <f>_xlfn.RANK.EQ(View_Table[[#This Row],[Weighted Win%]], View_Table[Weighted Win%], 0)</f>
        <v>30</v>
      </c>
      <c r="E46" s="9">
        <f>_xlfn.LET(_xlpm.g,View_Table[[#This Row],[Games]], _xlpm.w,(View_Table[[#This Row],[Wins]] + View_Table[[#This Row],[Draws]] * 0.25), _xlpm.fake, MAX(0,25-_xlpm.g), IF(_xlpm.g=0,0,(_xlpm.w + _xlpm.fake*0.25)/(_xlpm.g + _xlpm.fake)))</f>
        <v>0.23</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2</v>
      </c>
      <c r="I46" s="5">
        <f>IFERROR(
    GETPIVOTDATA(
        "Result",
        'Pivot Table'!$A$3,
        "Player",View_Table[[#This Row],[Player]],
        "Result","Draw"
    ),
    0
)</f>
        <v>0</v>
      </c>
      <c r="J46" s="5">
        <f>View_Table[[#This Row],[Wins]]+View_Table[[#This Row],[Losses]]+View_Table[[#This Row],[Draws]]</f>
        <v>2</v>
      </c>
      <c r="K46" s="7">
        <f>IFERROR(
    GETPIVOTDATA(
        "Result",
        'Pivot Table Previous'!$A$3,
        "Player",View_Table[[#This Row],[Player]],
        "Result","Win"
    ),
    0
)</f>
        <v>0</v>
      </c>
      <c r="L46" s="5">
        <f>IFERROR(
    GETPIVOTDATA(
        "Result",
        'Pivot Table Previous'!$A$3,
        "Player",View_Table[[#This Row],[Player]],
        "Result","Loss"
    ),
    0
)</f>
        <v>2</v>
      </c>
      <c r="M46" s="5">
        <f>IFERROR(
    GETPIVOTDATA(
        "Result",
        'Pivot Table Previous'!$A$3,
        "Player",View_Table[[#This Row],[Player]],
        "Result","Draw"
    ),
    0
)</f>
        <v>0</v>
      </c>
      <c r="N46" s="5">
        <f>View_Table[[#This Row],[Wins Previous]]+View_Table[[#This Row],[Losses Previous]]+View_Table[[#This Row],[Draws Previous]]</f>
        <v>2</v>
      </c>
      <c r="O46" s="9">
        <f>_xlfn.LET(_xlpm.g,View_Table[[#This Row],[Games Previous]], _xlpm.w,(View_Table[[#This Row],[Wins Previous]] + View_Table[[#This Row],[Draws Previous]] * 0.25), _xlpm.fake, MAX(0,25-_xlpm.g), IF(_xlpm.g=0,0,(_xlpm.w + _xlpm.fake*0.25)/(_xlpm.g + _xlpm.fake)))</f>
        <v>0.23</v>
      </c>
      <c r="P46" s="7">
        <f>_xlfn.RANK.EQ(View_Table[[#This Row],[Weighted Win% Previous]], View_Table[Weighted Win% Previous], 0)</f>
        <v>26</v>
      </c>
    </row>
    <row r="47" spans="2:16" x14ac:dyDescent="0.25">
      <c r="B47" s="3" t="s">
        <v>17</v>
      </c>
      <c r="C47" s="6">
        <f>View_Table[[#This Row],[Rank Previous]]-View_Table[[#This Row],[Rank]]</f>
        <v>-7</v>
      </c>
      <c r="D47" s="7">
        <f>_xlfn.RANK.EQ(View_Table[[#This Row],[Weighted Win%]], View_Table[Weighted Win%], 0)</f>
        <v>25</v>
      </c>
      <c r="E47" s="9">
        <f>_xlfn.LET(_xlpm.g,View_Table[[#This Row],[Games]], _xlpm.w,(View_Table[[#This Row],[Wins]] + View_Table[[#This Row],[Draws]] * 0.25), _xlpm.fake, MAX(0,25-_xlpm.g), IF(_xlpm.g=0,0,(_xlpm.w + _xlpm.fake*0.25)/(_xlpm.g + _xlpm.fake)))</f>
        <v>0.24</v>
      </c>
      <c r="F47" s="8">
        <f>IF(View_Table[[#This Row],[Games]]=0,0,(View_Table[[#This Row],[Wins]] + (View_Table[[#This Row],[Draws]] * 0.25))/View_Table[[#This Row],[Games]])</f>
        <v>0.23749999999999999</v>
      </c>
      <c r="G47" s="5">
        <f>IFERROR(
    GETPIVOTDATA(
        "Result",
        'Pivot Table'!$A$3,
        "Player",View_Table[[#This Row],[Player]],
        "Result","Win"
    ),
    0
)</f>
        <v>3</v>
      </c>
      <c r="H47" s="5">
        <f>IFERROR(
    GETPIVOTDATA(
        "Result",
        'Pivot Table'!$A$3,
        "Player",View_Table[[#This Row],[Player]],
        "Result","Loss"
    ),
    0
)</f>
        <v>10</v>
      </c>
      <c r="I47" s="5">
        <f>IFERROR(
    GETPIVOTDATA(
        "Result",
        'Pivot Table'!$A$3,
        "Player",View_Table[[#This Row],[Player]],
        "Result","Draw"
    ),
    0
)</f>
        <v>7</v>
      </c>
      <c r="J47" s="5">
        <f>View_Table[[#This Row],[Wins]]+View_Table[[#This Row],[Losses]]+View_Table[[#This Row],[Draws]]</f>
        <v>20</v>
      </c>
      <c r="K47" s="5">
        <f>IFERROR(
    GETPIVOTDATA(
        "Result",
        'Pivot Table Previous'!$A$3,
        "Player",View_Table[[#This Row],[Player]],
        "Result","Win"
    ),
    0
)</f>
        <v>3</v>
      </c>
      <c r="L47" s="5">
        <f>IFERROR(
    GETPIVOTDATA(
        "Result",
        'Pivot Table Previous'!$A$3,
        "Player",View_Table[[#This Row],[Player]],
        "Result","Loss"
    ),
    0
)</f>
        <v>9</v>
      </c>
      <c r="M47" s="5">
        <f>IFERROR(
    GETPIVOTDATA(
        "Result",
        'Pivot Table Previous'!$A$3,
        "Player",View_Table[[#This Row],[Player]],
        "Result","Draw"
    ),
    0
)</f>
        <v>6</v>
      </c>
      <c r="N47" s="5">
        <f>View_Table[[#This Row],[Wins Previous]]+View_Table[[#This Row],[Losses Previous]]+View_Table[[#This Row],[Draws Previous]]</f>
        <v>18</v>
      </c>
      <c r="O47" s="9">
        <f>_xlfn.LET(_xlpm.g,View_Table[[#This Row],[Games Previous]], _xlpm.w,(View_Table[[#This Row],[Wins Previous]] + View_Table[[#This Row],[Draws Previous]] * 0.25), _xlpm.fake, MAX(0,25-_xlpm.g), IF(_xlpm.g=0,0,(_xlpm.w + _xlpm.fake*0.25)/(_xlpm.g + _xlpm.fake)))</f>
        <v>0.25</v>
      </c>
      <c r="P47" s="7">
        <f>IF(View_Table[[#This Row],[Games Previous]]=0,
    View_Table[[#This Row],[Rank]],
    _xlfn.RANK.EQ(View_Table[[#This Row],[Weighted Win% Previous]], View_Table[Weighted Win% Previous], 0)
)</f>
        <v>18</v>
      </c>
    </row>
    <row r="48" spans="2:16" hidden="1" x14ac:dyDescent="0.25">
      <c r="B48" s="3" t="s">
        <v>27</v>
      </c>
      <c r="C48" s="6">
        <f>View_Table[[#This Row],[Rank Previous]]-View_Table[[#This Row],[Rank]]</f>
        <v>-4</v>
      </c>
      <c r="D48" s="7">
        <f>_xlfn.RANK.EQ(View_Table[[#This Row],[Weighted Win%]], View_Table[Weighted Win%], 0)</f>
        <v>30</v>
      </c>
      <c r="E48" s="9">
        <f>_xlfn.LET(_xlpm.g,View_Table[[#This Row],[Games]], _xlpm.w,(View_Table[[#This Row],[Wins]] + View_Table[[#This Row],[Draws]] * 0.25), _xlpm.fake, MAX(0,25-_xlpm.g), IF(_xlpm.g=0,0,(_xlpm.w + _xlpm.fake*0.25)/(_xlpm.g + _xlpm.fake)))</f>
        <v>0.23</v>
      </c>
      <c r="F48" s="8">
        <f>IF(View_Table[[#This Row],[Games]]=0,0,(View_Table[[#This Row],[Wins]] + (View_Table[[#This Row],[Draws]] * 0.25))/View_Table[[#This Row],[Games]])</f>
        <v>0.125</v>
      </c>
      <c r="G48" s="5">
        <f>IFERROR(
    GETPIVOTDATA(
        "Result",
        'Pivot Table'!$A$3,
        "Player",View_Table[[#This Row],[Player]],
        "Result","Win"
    ),
    0
)</f>
        <v>0</v>
      </c>
      <c r="H48" s="5">
        <f>IFERROR(
    GETPIVOTDATA(
        "Result",
        'Pivot Table'!$A$3,
        "Player",View_Table[[#This Row],[Player]],
        "Result","Loss"
    ),
    0
)</f>
        <v>2</v>
      </c>
      <c r="I48" s="5">
        <f>IFERROR(
    GETPIVOTDATA(
        "Result",
        'Pivot Table'!$A$3,
        "Player",View_Table[[#This Row],[Player]],
        "Result","Draw"
    ),
    0
)</f>
        <v>2</v>
      </c>
      <c r="J48" s="5">
        <f>View_Table[[#This Row],[Wins]]+View_Table[[#This Row],[Losses]]+View_Table[[#This Row],[Draws]]</f>
        <v>4</v>
      </c>
      <c r="K48" s="7">
        <f>IFERROR(
    GETPIVOTDATA(
        "Result",
        'Pivot Table Previous'!$A$3,
        "Player",View_Table[[#This Row],[Player]],
        "Result","Win"
    ),
    0
)</f>
        <v>0</v>
      </c>
      <c r="L48" s="5">
        <f>IFERROR(
    GETPIVOTDATA(
        "Result",
        'Pivot Table Previous'!$A$3,
        "Player",View_Table[[#This Row],[Player]],
        "Result","Loss"
    ),
    0
)</f>
        <v>2</v>
      </c>
      <c r="M48" s="5">
        <f>IFERROR(
    GETPIVOTDATA(
        "Result",
        'Pivot Table Previous'!$A$3,
        "Player",View_Table[[#This Row],[Player]],
        "Result","Draw"
    ),
    0
)</f>
        <v>2</v>
      </c>
      <c r="N48" s="5">
        <f>View_Table[[#This Row],[Wins Previous]]+View_Table[[#This Row],[Losses Previous]]+View_Table[[#This Row],[Draws Previous]]</f>
        <v>4</v>
      </c>
      <c r="O48" s="9">
        <f>_xlfn.LET(_xlpm.g,View_Table[[#This Row],[Games Previous]], _xlpm.w,(View_Table[[#This Row],[Wins Previous]] + View_Table[[#This Row],[Draws Previous]] * 0.25), _xlpm.fake, MAX(0,25-_xlpm.g), IF(_xlpm.g=0,0,(_xlpm.w + _xlpm.fake*0.25)/(_xlpm.g + _xlpm.fake)))</f>
        <v>0.23</v>
      </c>
      <c r="P48" s="7">
        <f>_xlfn.RANK.EQ(View_Table[[#This Row],[Weighted Win% Previous]], View_Table[Weighted Win% Previous], 0)</f>
        <v>26</v>
      </c>
    </row>
    <row r="49" spans="2:16" x14ac:dyDescent="0.25">
      <c r="B49" s="3" t="s">
        <v>41</v>
      </c>
      <c r="C49" s="6">
        <f>View_Table[[#This Row],[Rank Previous]]-View_Table[[#This Row],[Rank]]</f>
        <v>-7</v>
      </c>
      <c r="D49" s="7">
        <f>_xlfn.RANK.EQ(View_Table[[#This Row],[Weighted Win%]], View_Table[Weighted Win%], 0)</f>
        <v>25</v>
      </c>
      <c r="E49" s="9">
        <f>_xlfn.LET(_xlpm.g,View_Table[[#This Row],[Games]], _xlpm.w,(View_Table[[#This Row],[Wins]] + View_Table[[#This Row],[Draws]] * 0.25), _xlpm.fake, MAX(0,25-_xlpm.g), IF(_xlpm.g=0,0,(_xlpm.w + _xlpm.fake*0.25)/(_xlpm.g + _xlpm.fake)))</f>
        <v>0.24</v>
      </c>
      <c r="F49" s="8">
        <f>IF(View_Table[[#This Row],[Games]]=0,0,(View_Table[[#This Row],[Wins]] + (View_Table[[#This Row],[Draws]] * 0.25))/View_Table[[#This Row],[Games]])</f>
        <v>0.23749999999999999</v>
      </c>
      <c r="G49" s="5">
        <f>IFERROR(
    GETPIVOTDATA(
        "Result",
        'Pivot Table'!$A$3,
        "Player",View_Table[[#This Row],[Player]],
        "Result","Win"
    ),
    0
)</f>
        <v>4</v>
      </c>
      <c r="H49" s="5">
        <f>IFERROR(
    GETPIVOTDATA(
        "Result",
        'Pivot Table'!$A$3,
        "Player",View_Table[[#This Row],[Player]],
        "Result","Loss"
    ),
    0
)</f>
        <v>13</v>
      </c>
      <c r="I49" s="5">
        <f>IFERROR(
    GETPIVOTDATA(
        "Result",
        'Pivot Table'!$A$3,
        "Player",View_Table[[#This Row],[Player]],
        "Result","Draw"
    ),
    0
)</f>
        <v>3</v>
      </c>
      <c r="J49" s="5">
        <f>View_Table[[#This Row],[Wins]]+View_Table[[#This Row],[Losses]]+View_Table[[#This Row],[Draws]]</f>
        <v>20</v>
      </c>
      <c r="K49" s="5">
        <f>IFERROR(
    GETPIVOTDATA(
        "Result",
        'Pivot Table Previous'!$A$3,
        "Player",View_Table[[#This Row],[Player]],
        "Result","Win"
    ),
    0
)</f>
        <v>4</v>
      </c>
      <c r="L49" s="5">
        <f>IFERROR(
    GETPIVOTDATA(
        "Result",
        'Pivot Table Previous'!$A$3,
        "Player",View_Table[[#This Row],[Player]],
        "Result","Loss"
    ),
    0
)</f>
        <v>12</v>
      </c>
      <c r="M49" s="5">
        <f>IFERROR(
    GETPIVOTDATA(
        "Result",
        'Pivot Table Previous'!$A$3,
        "Player",View_Table[[#This Row],[Player]],
        "Result","Draw"
    ),
    0
)</f>
        <v>2</v>
      </c>
      <c r="N49" s="5">
        <f>View_Table[[#This Row],[Wins Previous]]+View_Table[[#This Row],[Losses Previous]]+View_Table[[#This Row],[Draws Previous]]</f>
        <v>18</v>
      </c>
      <c r="O49" s="9">
        <f>_xlfn.LET(_xlpm.g,View_Table[[#This Row],[Games Previous]], _xlpm.w,(View_Table[[#This Row],[Wins Previous]] + View_Table[[#This Row],[Draws Previous]] * 0.25), _xlpm.fake, MAX(0,25-_xlpm.g), IF(_xlpm.g=0,0,(_xlpm.w + _xlpm.fake*0.25)/(_xlpm.g + _xlpm.fake)))</f>
        <v>0.25</v>
      </c>
      <c r="P49" s="7">
        <f>IF(View_Table[[#This Row],[Games Previous]]=0,
    View_Table[[#This Row],[Rank]],
    _xlfn.RANK.EQ(View_Table[[#This Row],[Weighted Win% Previous]], View_Table[Weighted Win% Previous], 0)
)</f>
        <v>18</v>
      </c>
    </row>
    <row r="50" spans="2:16" hidden="1" x14ac:dyDescent="0.25">
      <c r="B50" s="3" t="s">
        <v>30</v>
      </c>
      <c r="C50" s="6">
        <f>View_Table[[#This Row],[Rank Previous]]-View_Table[[#This Row],[Rank]]</f>
        <v>-2</v>
      </c>
      <c r="D50" s="7">
        <f>_xlfn.RANK.EQ(View_Table[[#This Row],[Weighted Win%]], View_Table[Weighted Win%], 0)</f>
        <v>40</v>
      </c>
      <c r="E50" s="9">
        <f>_xlfn.LET(_xlpm.g,View_Table[[#This Row],[Games]], _xlpm.w,(View_Table[[#This Row],[Wins]] + View_Table[[#This Row],[Draws]] * 0.25), _xlpm.fake, MAX(0,25-_xlpm.g), IF(_xlpm.g=0,0,(_xlpm.w + _xlpm.fake*0.25)/(_xlpm.g + _xlpm.fake)))</f>
        <v>0.22</v>
      </c>
      <c r="F50" s="8">
        <f>IF(View_Table[[#This Row],[Games]]=0,0,(View_Table[[#This Row],[Wins]] + (View_Table[[#This Row],[Draws]] * 0.25))/View_Table[[#This Row],[Games]])</f>
        <v>6.25E-2</v>
      </c>
      <c r="G50" s="5">
        <f>IFERROR(
    GETPIVOTDATA(
        "Result",
        'Pivot Table'!$A$3,
        "Player",View_Table[[#This Row],[Player]],
        "Result","Win"
    ),
    0
)</f>
        <v>0</v>
      </c>
      <c r="H50" s="5">
        <f>IFERROR(
    GETPIVOTDATA(
        "Result",
        'Pivot Table'!$A$3,
        "Player",View_Table[[#This Row],[Player]],
        "Result","Loss"
    ),
    0
)</f>
        <v>3</v>
      </c>
      <c r="I50" s="5">
        <f>IFERROR(
    GETPIVOTDATA(
        "Result",
        'Pivot Table'!$A$3,
        "Player",View_Table[[#This Row],[Player]],
        "Result","Draw"
    ),
    0
)</f>
        <v>1</v>
      </c>
      <c r="J50" s="5">
        <f>View_Table[[#This Row],[Wins]]+View_Table[[#This Row],[Losses]]+View_Table[[#This Row],[Draws]]</f>
        <v>4</v>
      </c>
      <c r="K50" s="7">
        <f>IFERROR(
    GETPIVOTDATA(
        "Result",
        'Pivot Table Previous'!$A$3,
        "Player",View_Table[[#This Row],[Player]],
        "Result","Win"
    ),
    0
)</f>
        <v>0</v>
      </c>
      <c r="L50" s="5">
        <f>IFERROR(
    GETPIVOTDATA(
        "Result",
        'Pivot Table Previous'!$A$3,
        "Player",View_Table[[#This Row],[Player]],
        "Result","Loss"
    ),
    0
)</f>
        <v>3</v>
      </c>
      <c r="M50" s="5">
        <f>IFERROR(
    GETPIVOTDATA(
        "Result",
        'Pivot Table Previous'!$A$3,
        "Player",View_Table[[#This Row],[Player]],
        "Result","Draw"
    ),
    0
)</f>
        <v>1</v>
      </c>
      <c r="N50" s="5">
        <f>View_Table[[#This Row],[Wins Previous]]+View_Table[[#This Row],[Losses Previous]]+View_Table[[#This Row],[Draws Previous]]</f>
        <v>4</v>
      </c>
      <c r="O50" s="9">
        <f>_xlfn.LET(_xlpm.g,View_Table[[#This Row],[Games Previous]], _xlpm.w,(View_Table[[#This Row],[Wins Previous]] + View_Table[[#This Row],[Draws Previous]] * 0.25), _xlpm.fake, MAX(0,25-_xlpm.g), IF(_xlpm.g=0,0,(_xlpm.w + _xlpm.fake*0.25)/(_xlpm.g + _xlpm.fake)))</f>
        <v>0.22</v>
      </c>
      <c r="P50" s="7">
        <f>_xlfn.RANK.EQ(View_Table[[#This Row],[Weighted Win% Previous]], View_Table[Weighted Win% Previous], 0)</f>
        <v>38</v>
      </c>
    </row>
    <row r="51" spans="2:16" hidden="1" x14ac:dyDescent="0.25">
      <c r="B51" s="3" t="s">
        <v>542</v>
      </c>
      <c r="C51" s="6">
        <f>View_Table[[#This Row],[Rank Previous]]-View_Table[[#This Row],[Rank]]</f>
        <v>-3</v>
      </c>
      <c r="D51" s="7">
        <f>_xlfn.RANK.EQ(View_Table[[#This Row],[Weighted Win%]], View_Table[Weighted Win%], 0)</f>
        <v>49</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46</v>
      </c>
    </row>
    <row r="52" spans="2:16" hidden="1" x14ac:dyDescent="0.25">
      <c r="B52" s="3" t="s">
        <v>46</v>
      </c>
      <c r="C52" s="6">
        <f>View_Table[[#This Row],[Rank Previous]]-View_Table[[#This Row],[Rank]]</f>
        <v>-3</v>
      </c>
      <c r="D52" s="7">
        <f>_xlfn.RANK.EQ(View_Table[[#This Row],[Weighted Win%]], View_Table[Weighted Win%], 0)</f>
        <v>49</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46</v>
      </c>
    </row>
    <row r="53" spans="2:16" hidden="1" x14ac:dyDescent="0.25">
      <c r="B53" s="3" t="s">
        <v>543</v>
      </c>
      <c r="C53" s="6">
        <f>View_Table[[#This Row],[Rank Previous]]-View_Table[[#This Row],[Rank]]</f>
        <v>-3</v>
      </c>
      <c r="D53" s="7">
        <f>_xlfn.RANK.EQ(View_Table[[#This Row],[Weighted Win%]], View_Table[Weighted Win%], 0)</f>
        <v>49</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46</v>
      </c>
    </row>
    <row r="54" spans="2:16" hidden="1" x14ac:dyDescent="0.25">
      <c r="B54" s="3" t="s">
        <v>57</v>
      </c>
      <c r="C54" s="6">
        <f>View_Table[[#This Row],[Rank Previous]]-View_Table[[#This Row],[Rank]]</f>
        <v>-3</v>
      </c>
      <c r="D54" s="7">
        <f>_xlfn.RANK.EQ(View_Table[[#This Row],[Weighted Win%]], View_Table[Weighted Win%], 0)</f>
        <v>49</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46</v>
      </c>
    </row>
    <row r="55" spans="2:16" hidden="1" x14ac:dyDescent="0.25">
      <c r="B55" s="3" t="s">
        <v>593</v>
      </c>
      <c r="C55" s="6">
        <f>View_Table[[#This Row],[Rank Previous]]-View_Table[[#This Row],[Rank]]</f>
        <v>21</v>
      </c>
      <c r="D55" s="7">
        <f>_xlfn.RANK.EQ(View_Table[[#This Row],[Weighted Win%]], View_Table[Weighted Win%], 0)</f>
        <v>25</v>
      </c>
      <c r="E55" s="9">
        <f>_xlfn.LET(_xlpm.g,View_Table[[#This Row],[Games]], _xlpm.w,(View_Table[[#This Row],[Wins]] + View_Table[[#This Row],[Draws]] * 0.25), _xlpm.fake, MAX(0,25-_xlpm.g), IF(_xlpm.g=0,0,(_xlpm.w + _xlpm.fake*0.25)/(_xlpm.g + _xlpm.fake)))</f>
        <v>0.24</v>
      </c>
      <c r="F55" s="8">
        <f>IF(View_Table[[#This Row],[Games]]=0,0,(View_Table[[#This Row],[Wins]] + (View_Table[[#This Row],[Draws]] * 0.25))/View_Table[[#This Row],[Games]])</f>
        <v>0.125</v>
      </c>
      <c r="G55" s="5">
        <f>IFERROR(
    GETPIVOTDATA(
        "Result",
        'Pivot Table'!$A$3,
        "Player",View_Table[[#This Row],[Player]],
        "Result","Win"
    ),
    0
)</f>
        <v>0</v>
      </c>
      <c r="H55" s="5">
        <f>IFERROR(
    GETPIVOTDATA(
        "Result",
        'Pivot Table'!$A$3,
        "Player",View_Table[[#This Row],[Player]],
        "Result","Loss"
    ),
    0
)</f>
        <v>1</v>
      </c>
      <c r="I55" s="5">
        <f>IFERROR(
    GETPIVOTDATA(
        "Result",
        'Pivot Table'!$A$3,
        "Player",View_Table[[#This Row],[Player]],
        "Result","Draw"
    ),
    0
)</f>
        <v>1</v>
      </c>
      <c r="J55" s="5">
        <f>View_Table[[#This Row],[Wins]]+View_Table[[#This Row],[Losses]]+View_Table[[#This Row],[Draws]]</f>
        <v>2</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46</v>
      </c>
    </row>
    <row r="56" spans="2:16" hidden="1" x14ac:dyDescent="0.25">
      <c r="B56" s="3" t="s">
        <v>61</v>
      </c>
      <c r="C56" s="6">
        <f>View_Table[[#This Row],[Rank Previous]]-View_Table[[#This Row],[Rank]]</f>
        <v>-3</v>
      </c>
      <c r="D56" s="7">
        <f>_xlfn.RANK.EQ(View_Table[[#This Row],[Weighted Win%]], View_Table[Weighted Win%], 0)</f>
        <v>49</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46</v>
      </c>
    </row>
    <row r="57" spans="2:16" hidden="1" x14ac:dyDescent="0.25">
      <c r="B57" s="3" t="s">
        <v>321</v>
      </c>
      <c r="C57" s="6">
        <f>View_Table[[#This Row],[Rank Previous]]-View_Table[[#This Row],[Rank]]</f>
        <v>-3</v>
      </c>
      <c r="D57" s="7">
        <f>_xlfn.RANK.EQ(View_Table[[#This Row],[Weighted Win%]], View_Table[Weighted Win%], 0)</f>
        <v>49</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46</v>
      </c>
    </row>
    <row r="58" spans="2:16" hidden="1" x14ac:dyDescent="0.25">
      <c r="B58" s="3" t="s">
        <v>38</v>
      </c>
      <c r="C58" s="6">
        <f>View_Table[[#This Row],[Rank Previous]]-View_Table[[#This Row],[Rank]]</f>
        <v>-3</v>
      </c>
      <c r="D58" s="7">
        <f>_xlfn.RANK.EQ(View_Table[[#This Row],[Weighted Win%]], View_Table[Weighted Win%], 0)</f>
        <v>49</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46</v>
      </c>
    </row>
    <row r="59" spans="2:16" hidden="1" x14ac:dyDescent="0.25">
      <c r="B59" s="3" t="s">
        <v>48</v>
      </c>
      <c r="C59" s="6">
        <f>View_Table[[#This Row],[Rank Previous]]-View_Table[[#This Row],[Rank]]</f>
        <v>-3</v>
      </c>
      <c r="D59" s="7">
        <f>_xlfn.RANK.EQ(View_Table[[#This Row],[Weighted Win%]], View_Table[Weighted Win%], 0)</f>
        <v>49</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46</v>
      </c>
    </row>
    <row r="60" spans="2:16" x14ac:dyDescent="0.25">
      <c r="B60" s="3" t="s">
        <v>433</v>
      </c>
      <c r="C60" s="6">
        <f>View_Table[[#This Row],[Rank Previous]]-View_Table[[#This Row],[Rank]]</f>
        <v>-4</v>
      </c>
      <c r="D60" s="7">
        <f>_xlfn.RANK.EQ(View_Table[[#This Row],[Weighted Win%]], View_Table[Weighted Win%], 0)</f>
        <v>46</v>
      </c>
      <c r="E60" s="9">
        <f>_xlfn.LET(_xlpm.g,View_Table[[#This Row],[Games]], _xlpm.w,(View_Table[[#This Row],[Wins]] + View_Table[[#This Row],[Draws]] * 0.25), _xlpm.fake, MAX(0,25-_xlpm.g), IF(_xlpm.g=0,0,(_xlpm.w + _xlpm.fake*0.25)/(_xlpm.g + _xlpm.fake)))</f>
        <v>0.17</v>
      </c>
      <c r="F60" s="8">
        <f>IF(View_Table[[#This Row],[Games]]=0,0,(View_Table[[#This Row],[Wins]] + (View_Table[[#This Row],[Draws]] * 0.25))/View_Table[[#This Row],[Games]])</f>
        <v>0.05</v>
      </c>
      <c r="G60" s="5">
        <f>IFERROR(
    GETPIVOTDATA(
        "Result",
        'Pivot Table'!$A$3,
        "Player",View_Table[[#This Row],[Player]],
        "Result","Win"
    ),
    0
)</f>
        <v>0</v>
      </c>
      <c r="H60" s="5">
        <f>IFERROR(
    GETPIVOTDATA(
        "Result",
        'Pivot Table'!$A$3,
        "Player",View_Table[[#This Row],[Player]],
        "Result","Loss"
    ),
    0
)</f>
        <v>8</v>
      </c>
      <c r="I60" s="5">
        <f>IFERROR(
    GETPIVOTDATA(
        "Result",
        'Pivot Table'!$A$3,
        "Player",View_Table[[#This Row],[Player]],
        "Result","Draw"
    ),
    0
)</f>
        <v>2</v>
      </c>
      <c r="J60" s="5">
        <f>View_Table[[#This Row],[Wins]]+View_Table[[#This Row],[Losses]]+View_Table[[#This Row],[Draws]]</f>
        <v>10</v>
      </c>
      <c r="K60" s="7">
        <f>IFERROR(
    GETPIVOTDATA(
        "Result",
        'Pivot Table Previous'!$A$3,
        "Player",View_Table[[#This Row],[Player]],
        "Result","Win"
    ),
    0
)</f>
        <v>0</v>
      </c>
      <c r="L60" s="5">
        <f>IFERROR(
    GETPIVOTDATA(
        "Result",
        'Pivot Table Previous'!$A$3,
        "Player",View_Table[[#This Row],[Player]],
        "Result","Loss"
    ),
    0
)</f>
        <v>7</v>
      </c>
      <c r="M60" s="5">
        <f>IFERROR(
    GETPIVOTDATA(
        "Result",
        'Pivot Table Previous'!$A$3,
        "Player",View_Table[[#This Row],[Player]],
        "Result","Draw"
    ),
    0
)</f>
        <v>1</v>
      </c>
      <c r="N60" s="5">
        <f>View_Table[[#This Row],[Wins Previous]]+View_Table[[#This Row],[Losses Previous]]+View_Table[[#This Row],[Draws Previous]]</f>
        <v>8</v>
      </c>
      <c r="O60" s="9">
        <f>_xlfn.LET(_xlpm.g,View_Table[[#This Row],[Games Previous]], _xlpm.w,(View_Table[[#This Row],[Wins Previous]] + View_Table[[#This Row],[Draws Previous]] * 0.25), _xlpm.fake, MAX(0,25-_xlpm.g), IF(_xlpm.g=0,0,(_xlpm.w + _xlpm.fake*0.25)/(_xlpm.g + _xlpm.fake)))</f>
        <v>0.18</v>
      </c>
      <c r="P60" s="7">
        <f>_xlfn.RANK.EQ(View_Table[[#This Row],[Weighted Win% Previous]], View_Table[Weighted Win% Previous], 0)</f>
        <v>42</v>
      </c>
    </row>
    <row r="61" spans="2:16" hidden="1" x14ac:dyDescent="0.25">
      <c r="B61" s="3" t="s">
        <v>62</v>
      </c>
      <c r="C61" s="6">
        <f>View_Table[[#This Row],[Rank Previous]]-View_Table[[#This Row],[Rank]]</f>
        <v>-3</v>
      </c>
      <c r="D61" s="7">
        <f>_xlfn.RANK.EQ(View_Table[[#This Row],[Weighted Win%]], View_Table[Weighted Win%], 0)</f>
        <v>49</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46</v>
      </c>
    </row>
    <row r="62" spans="2:16" hidden="1" x14ac:dyDescent="0.25">
      <c r="B62" s="3" t="s">
        <v>54</v>
      </c>
      <c r="C62" s="6">
        <f>View_Table[[#This Row],[Rank Previous]]-View_Table[[#This Row],[Rank]]</f>
        <v>-3</v>
      </c>
      <c r="D62" s="7">
        <f>_xlfn.RANK.EQ(View_Table[[#This Row],[Weighted Win%]], View_Table[Weighted Win%], 0)</f>
        <v>49</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46</v>
      </c>
    </row>
    <row r="63" spans="2:16" hidden="1" x14ac:dyDescent="0.25">
      <c r="B63" s="3" t="s">
        <v>60</v>
      </c>
      <c r="C63" s="6">
        <f>View_Table[[#This Row],[Rank Previous]]-View_Table[[#This Row],[Rank]]</f>
        <v>-3</v>
      </c>
      <c r="D63" s="7">
        <f>_xlfn.RANK.EQ(View_Table[[#This Row],[Weighted Win%]], View_Table[Weighted Win%], 0)</f>
        <v>49</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46</v>
      </c>
    </row>
    <row r="64" spans="2:16" hidden="1" x14ac:dyDescent="0.25">
      <c r="B64" s="3" t="s">
        <v>85</v>
      </c>
      <c r="C64" s="6">
        <f>View_Table[[#This Row],[Rank Previous]]-View_Table[[#This Row],[Rank]]</f>
        <v>-3</v>
      </c>
      <c r="D64" s="7">
        <f>_xlfn.RANK.EQ(View_Table[[#This Row],[Weighted Win%]], View_Table[Weighted Win%], 0)</f>
        <v>49</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46</v>
      </c>
    </row>
    <row r="65" spans="2:16" hidden="1" x14ac:dyDescent="0.25">
      <c r="B65" s="3" t="s">
        <v>47</v>
      </c>
      <c r="C65" s="6">
        <f>View_Table[[#This Row],[Rank Previous]]-View_Table[[#This Row],[Rank]]</f>
        <v>-3</v>
      </c>
      <c r="D65" s="7">
        <f>_xlfn.RANK.EQ(View_Table[[#This Row],[Weighted Win%]], View_Table[Weighted Win%], 0)</f>
        <v>49</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46</v>
      </c>
    </row>
    <row r="66" spans="2:16" hidden="1" x14ac:dyDescent="0.25">
      <c r="B66" s="3" t="s">
        <v>50</v>
      </c>
      <c r="C66" s="6">
        <f>View_Table[[#This Row],[Rank Previous]]-View_Table[[#This Row],[Rank]]</f>
        <v>-3</v>
      </c>
      <c r="D66" s="7">
        <f>_xlfn.RANK.EQ(View_Table[[#This Row],[Weighted Win%]], View_Table[Weighted Win%], 0)</f>
        <v>49</v>
      </c>
      <c r="E66" s="9">
        <f>_xlfn.LET(_xlpm.g,View_Table[[#This Row],[Games]], _xlpm.w,(View_Table[[#This Row],[Wins]] + View_Table[[#This Row],[Draws]] * 0.25), _xlpm.fake, MAX(0,25-_xlpm.g), IF(_xlpm.g=0,0,(_xlpm.w + _xlpm.fake*0.25)/(_xlpm.g + _xlpm.fake)))</f>
        <v>0</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0</v>
      </c>
      <c r="I66" s="5">
        <f>IFERROR(
    GETPIVOTDATA(
        "Result",
        'Pivot Table'!$A$3,
        "Player",View_Table[[#This Row],[Player]],
        "Result","Draw"
    ),
    0
)</f>
        <v>0</v>
      </c>
      <c r="J66" s="5">
        <f>View_Table[[#This Row],[Wins]]+View_Table[[#This Row],[Losses]]+View_Table[[#This Row],[Draws]]</f>
        <v>0</v>
      </c>
      <c r="K66" s="7">
        <f>IFERROR(
    GETPIVOTDATA(
        "Result",
        'Pivot Table Previous'!$A$3,
        "Player",View_Table[[#This Row],[Player]],
        "Result","Win"
    ),
    0
)</f>
        <v>0</v>
      </c>
      <c r="L66" s="5">
        <f>IFERROR(
    GETPIVOTDATA(
        "Result",
        'Pivot Table Previous'!$A$3,
        "Player",View_Table[[#This Row],[Player]],
        "Result","Loss"
    ),
    0
)</f>
        <v>0</v>
      </c>
      <c r="M66" s="5">
        <f>IFERROR(
    GETPIVOTDATA(
        "Result",
        'Pivot Table Previous'!$A$3,
        "Player",View_Table[[#This Row],[Player]],
        "Result","Draw"
    ),
    0
)</f>
        <v>0</v>
      </c>
      <c r="N66" s="5">
        <f>View_Table[[#This Row],[Wins Previous]]+View_Table[[#This Row],[Losses Previous]]+View_Table[[#This Row],[Draws Previous]]</f>
        <v>0</v>
      </c>
      <c r="O66" s="9">
        <f>_xlfn.LET(_xlpm.g,View_Table[[#This Row],[Games Previous]], _xlpm.w,(View_Table[[#This Row],[Wins Previous]] + View_Table[[#This Row],[Draws Previous]] * 0.25), _xlpm.fake, MAX(0,25-_xlpm.g), IF(_xlpm.g=0,0,(_xlpm.w + _xlpm.fake*0.25)/(_xlpm.g + _xlpm.fake)))</f>
        <v>0</v>
      </c>
      <c r="P66" s="7">
        <f>_xlfn.RANK.EQ(View_Table[[#This Row],[Weighted Win% Previous]], View_Table[Weighted Win% Previous], 0)</f>
        <v>46</v>
      </c>
    </row>
    <row r="67" spans="2:16" hidden="1" x14ac:dyDescent="0.25">
      <c r="B67" s="3" t="s">
        <v>53</v>
      </c>
      <c r="C67" s="6">
        <f>View_Table[[#This Row],[Rank Previous]]-View_Table[[#This Row],[Rank]]</f>
        <v>-3</v>
      </c>
      <c r="D67" s="7">
        <f>_xlfn.RANK.EQ(View_Table[[#This Row],[Weighted Win%]], View_Table[Weighted Win%], 0)</f>
        <v>49</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46</v>
      </c>
    </row>
    <row r="68" spans="2:16" hidden="1" x14ac:dyDescent="0.25">
      <c r="B68" s="3" t="s">
        <v>56</v>
      </c>
      <c r="C68" s="6">
        <f>View_Table[[#This Row],[Rank Previous]]-View_Table[[#This Row],[Rank]]</f>
        <v>-3</v>
      </c>
      <c r="D68" s="7">
        <f>_xlfn.RANK.EQ(View_Table[[#This Row],[Weighted Win%]], View_Table[Weighted Win%], 0)</f>
        <v>49</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46</v>
      </c>
    </row>
    <row r="69" spans="2:16" hidden="1" x14ac:dyDescent="0.25">
      <c r="B69" s="3" t="s">
        <v>58</v>
      </c>
      <c r="C69" s="6">
        <f>View_Table[[#This Row],[Rank Previous]]-View_Table[[#This Row],[Rank]]</f>
        <v>-3</v>
      </c>
      <c r="D69" s="7">
        <f>_xlfn.RANK.EQ(View_Table[[#This Row],[Weighted Win%]], View_Table[Weighted Win%], 0)</f>
        <v>49</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46</v>
      </c>
    </row>
    <row r="70" spans="2:16" hidden="1" x14ac:dyDescent="0.25">
      <c r="B70" s="3" t="s">
        <v>15</v>
      </c>
      <c r="C70" s="6">
        <f>View_Table[[#This Row],[Rank Previous]]-View_Table[[#This Row],[Rank]]</f>
        <v>7</v>
      </c>
      <c r="D70" s="7">
        <f>_xlfn.RANK.EQ(View_Table[[#This Row],[Weighted Win%]], View_Table[Weighted Win%], 0)</f>
        <v>17</v>
      </c>
      <c r="E70" s="9">
        <f>_xlfn.LET(_xlpm.g,View_Table[[#This Row],[Games]], _xlpm.w,(View_Table[[#This Row],[Wins]] + View_Table[[#This Row],[Draws]] * 0.25), _xlpm.fake, MAX(0,25-_xlpm.g), IF(_xlpm.g=0,0,(_xlpm.w + _xlpm.fake*0.25)/(_xlpm.g + _xlpm.fake)))</f>
        <v>0.26</v>
      </c>
      <c r="F70" s="8">
        <f>IF(View_Table[[#This Row],[Games]]=0,0,(View_Table[[#This Row],[Wins]] + (View_Table[[#This Row],[Draws]] * 0.25))/View_Table[[#This Row],[Games]])</f>
        <v>0.3125</v>
      </c>
      <c r="G70" s="5">
        <f>IFERROR(
    GETPIVOTDATA(
        "Result",
        'Pivot Table'!$A$3,
        "Player",View_Table[[#This Row],[Player]],
        "Result","Win"
    ),
    0
)</f>
        <v>1</v>
      </c>
      <c r="H70" s="5">
        <f>IFERROR(
    GETPIVOTDATA(
        "Result",
        'Pivot Table'!$A$3,
        "Player",View_Table[[#This Row],[Player]],
        "Result","Loss"
    ),
    0
)</f>
        <v>2</v>
      </c>
      <c r="I70" s="5">
        <f>IFERROR(
    GETPIVOTDATA(
        "Result",
        'Pivot Table'!$A$3,
        "Player",View_Table[[#This Row],[Player]],
        "Result","Draw"
    ),
    0
)</f>
        <v>1</v>
      </c>
      <c r="J70" s="5">
        <f>View_Table[[#This Row],[Wins]]+View_Table[[#This Row],[Losses]]+View_Table[[#This Row],[Draws]]</f>
        <v>4</v>
      </c>
      <c r="K70" s="7">
        <f>IFERROR(
    GETPIVOTDATA(
        "Result",
        'Pivot Table Previous'!$A$3,
        "Player",View_Table[[#This Row],[Player]],
        "Result","Win"
    ),
    0
)</f>
        <v>0</v>
      </c>
      <c r="L70" s="5">
        <f>IFERROR(
    GETPIVOTDATA(
        "Result",
        'Pivot Table Previous'!$A$3,
        "Player",View_Table[[#This Row],[Player]],
        "Result","Loss"
    ),
    0
)</f>
        <v>1</v>
      </c>
      <c r="M70" s="5">
        <f>IFERROR(
    GETPIVOTDATA(
        "Result",
        'Pivot Table Previous'!$A$3,
        "Player",View_Table[[#This Row],[Player]],
        "Result","Draw"
    ),
    0
)</f>
        <v>1</v>
      </c>
      <c r="N70" s="5">
        <f>View_Table[[#This Row],[Wins Previous]]+View_Table[[#This Row],[Losses Previous]]+View_Table[[#This Row],[Draws Previous]]</f>
        <v>2</v>
      </c>
      <c r="O70" s="9">
        <f>_xlfn.LET(_xlpm.g,View_Table[[#This Row],[Games Previous]], _xlpm.w,(View_Table[[#This Row],[Wins Previous]] + View_Table[[#This Row],[Draws Previous]] * 0.25), _xlpm.fake, MAX(0,25-_xlpm.g), IF(_xlpm.g=0,0,(_xlpm.w + _xlpm.fake*0.25)/(_xlpm.g + _xlpm.fake)))</f>
        <v>0.24</v>
      </c>
      <c r="P70" s="7">
        <f>_xlfn.RANK.EQ(View_Table[[#This Row],[Weighted Win% Previous]], View_Table[Weighted Win% Previous], 0)</f>
        <v>24</v>
      </c>
    </row>
    <row r="71" spans="2:16" hidden="1" x14ac:dyDescent="0.25">
      <c r="B71" s="3" t="s">
        <v>45</v>
      </c>
      <c r="C71" s="6">
        <f>View_Table[[#This Row],[Rank Previous]]-View_Table[[#This Row],[Rank]]</f>
        <v>-3</v>
      </c>
      <c r="D71" s="7">
        <f>_xlfn.RANK.EQ(View_Table[[#This Row],[Weighted Win%]], View_Table[Weighted Win%], 0)</f>
        <v>49</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46</v>
      </c>
    </row>
    <row r="72" spans="2:16" hidden="1" x14ac:dyDescent="0.25">
      <c r="B72" s="3" t="s">
        <v>40</v>
      </c>
      <c r="C72" s="6">
        <f>View_Table[[#This Row],[Rank Previous]]-View_Table[[#This Row],[Rank]]</f>
        <v>-3</v>
      </c>
      <c r="D72" s="7">
        <f>_xlfn.RANK.EQ(View_Table[[#This Row],[Weighted Win%]], View_Table[Weighted Win%], 0)</f>
        <v>49</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46</v>
      </c>
    </row>
    <row r="73" spans="2:16" hidden="1" x14ac:dyDescent="0.25">
      <c r="B73" s="3" t="s">
        <v>55</v>
      </c>
      <c r="C73" s="6">
        <f>View_Table[[#This Row],[Rank Previous]]-View_Table[[#This Row],[Rank]]</f>
        <v>-3</v>
      </c>
      <c r="D73" s="7">
        <f>_xlfn.RANK.EQ(View_Table[[#This Row],[Weighted Win%]], View_Table[Weighted Win%], 0)</f>
        <v>49</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46</v>
      </c>
    </row>
    <row r="74" spans="2:16" hidden="1" x14ac:dyDescent="0.25">
      <c r="B74" s="3" t="s">
        <v>16</v>
      </c>
      <c r="C74" s="6">
        <f>View_Table[[#This Row],[Rank Previous]]-View_Table[[#This Row],[Rank]]</f>
        <v>-3</v>
      </c>
      <c r="D74" s="7">
        <f>_xlfn.RANK.EQ(View_Table[[#This Row],[Weighted Win%]], View_Table[Weighted Win%], 0)</f>
        <v>49</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46</v>
      </c>
    </row>
    <row r="75" spans="2:16" hidden="1" x14ac:dyDescent="0.25">
      <c r="B75" s="3" t="s">
        <v>21</v>
      </c>
      <c r="C75" s="6">
        <f>View_Table[[#This Row],[Rank Previous]]-View_Table[[#This Row],[Rank]]</f>
        <v>-3</v>
      </c>
      <c r="D75" s="7">
        <f>_xlfn.RANK.EQ(View_Table[[#This Row],[Weighted Win%]], View_Table[Weighted Win%], 0)</f>
        <v>49</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46</v>
      </c>
    </row>
    <row r="76" spans="2:16" hidden="1" x14ac:dyDescent="0.25">
      <c r="B76" s="3" t="s">
        <v>49</v>
      </c>
      <c r="C76" s="6">
        <f>View_Table[[#This Row],[Rank Previous]]-View_Table[[#This Row],[Rank]]</f>
        <v>-3</v>
      </c>
      <c r="D76" s="7">
        <f>_xlfn.RANK.EQ(View_Table[[#This Row],[Weighted Win%]], View_Table[Weighted Win%], 0)</f>
        <v>49</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46</v>
      </c>
    </row>
    <row r="77" spans="2:16" hidden="1" x14ac:dyDescent="0.25">
      <c r="B77" s="3" t="s">
        <v>12</v>
      </c>
      <c r="C77" s="6">
        <f>View_Table[[#This Row],[Rank Previous]]-View_Table[[#This Row],[Rank]]</f>
        <v>-3</v>
      </c>
      <c r="D77" s="7">
        <f>_xlfn.RANK.EQ(View_Table[[#This Row],[Weighted Win%]], View_Table[Weighted Win%], 0)</f>
        <v>49</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46</v>
      </c>
    </row>
    <row r="78" spans="2:16" hidden="1" x14ac:dyDescent="0.25">
      <c r="B78" s="3" t="s">
        <v>44</v>
      </c>
      <c r="C78" s="6">
        <f>View_Table[[#This Row],[Rank Previous]]-View_Table[[#This Row],[Rank]]</f>
        <v>-3</v>
      </c>
      <c r="D78" s="7">
        <f>_xlfn.RANK.EQ(View_Table[[#This Row],[Weighted Win%]], View_Table[Weighted Win%], 0)</f>
        <v>49</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46</v>
      </c>
    </row>
    <row r="79" spans="2:16" hidden="1" x14ac:dyDescent="0.25">
      <c r="B79" s="3" t="s">
        <v>29</v>
      </c>
      <c r="C79" s="6">
        <f>View_Table[[#This Row],[Rank Previous]]-View_Table[[#This Row],[Rank]]</f>
        <v>-3</v>
      </c>
      <c r="D79" s="7">
        <f>_xlfn.RANK.EQ(View_Table[[#This Row],[Weighted Win%]], View_Table[Weighted Win%], 0)</f>
        <v>49</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46</v>
      </c>
    </row>
    <row r="80" spans="2:16" hidden="1" x14ac:dyDescent="0.25">
      <c r="B80" s="3" t="s">
        <v>65</v>
      </c>
      <c r="C80" s="6">
        <f>View_Table[[#This Row],[Rank Previous]]-View_Table[[#This Row],[Rank]]</f>
        <v>-3</v>
      </c>
      <c r="D80" s="7">
        <f>_xlfn.RANK.EQ(View_Table[[#This Row],[Weighted Win%]], View_Table[Weighted Win%], 0)</f>
        <v>49</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46</v>
      </c>
    </row>
    <row r="81" spans="2:16" hidden="1" x14ac:dyDescent="0.25">
      <c r="B81" s="3" t="s">
        <v>76</v>
      </c>
      <c r="C81" s="6">
        <f>View_Table[[#This Row],[Rank Previous]]-View_Table[[#This Row],[Rank]]</f>
        <v>-3</v>
      </c>
      <c r="D81" s="7">
        <f>_xlfn.RANK.EQ(View_Table[[#This Row],[Weighted Win%]], View_Table[Weighted Win%], 0)</f>
        <v>49</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46</v>
      </c>
    </row>
    <row r="82" spans="2:16" hidden="1" x14ac:dyDescent="0.25">
      <c r="B82" s="3" t="s">
        <v>39</v>
      </c>
      <c r="C82" s="6">
        <f>View_Table[[#This Row],[Rank Previous]]-View_Table[[#This Row],[Rank]]</f>
        <v>-3</v>
      </c>
      <c r="D82" s="7">
        <f>_xlfn.RANK.EQ(View_Table[[#This Row],[Weighted Win%]], View_Table[Weighted Win%], 0)</f>
        <v>49</v>
      </c>
      <c r="E82" s="9">
        <f>_xlfn.LET(_xlpm.g,View_Table[[#This Row],[Games]], _xlpm.w,(View_Table[[#This Row],[Wins]] + View_Table[[#This Row],[Draws]] * 0.25), _xlpm.fake, MAX(0,25-_xlpm.g), IF(_xlpm.g=0,0,(_xlpm.w + _xlpm.fake*0.25)/(_xlpm.g + _xlpm.fake)))</f>
        <v>0</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0</v>
      </c>
      <c r="I82" s="5">
        <f>IFERROR(
    GETPIVOTDATA(
        "Result",
        'Pivot Table'!$A$3,
        "Player",View_Table[[#This Row],[Player]],
        "Result","Draw"
    ),
    0
)</f>
        <v>0</v>
      </c>
      <c r="J82" s="5">
        <f>View_Table[[#This Row],[Wins]]+View_Table[[#This Row],[Losses]]+View_Table[[#This Row],[Draws]]</f>
        <v>0</v>
      </c>
      <c r="K82" s="7">
        <f>IFERROR(
    GETPIVOTDATA(
        "Result",
        'Pivot Table Previous'!$A$3,
        "Player",View_Table[[#This Row],[Player]],
        "Result","Win"
    ),
    0
)</f>
        <v>0</v>
      </c>
      <c r="L82" s="5">
        <f>IFERROR(
    GETPIVOTDATA(
        "Result",
        'Pivot Table Previous'!$A$3,
        "Player",View_Table[[#This Row],[Player]],
        "Result","Loss"
    ),
    0
)</f>
        <v>0</v>
      </c>
      <c r="M82" s="5">
        <f>IFERROR(
    GETPIVOTDATA(
        "Result",
        'Pivot Table Previous'!$A$3,
        "Player",View_Table[[#This Row],[Player]],
        "Result","Draw"
    ),
    0
)</f>
        <v>0</v>
      </c>
      <c r="N82" s="5">
        <f>View_Table[[#This Row],[Wins Previous]]+View_Table[[#This Row],[Losses Previous]]+View_Table[[#This Row],[Draws Previous]]</f>
        <v>0</v>
      </c>
      <c r="O82" s="9">
        <f>_xlfn.LET(_xlpm.g,View_Table[[#This Row],[Games Previous]], _xlpm.w,(View_Table[[#This Row],[Wins Previous]] + View_Table[[#This Row],[Draws Previous]] * 0.25), _xlpm.fake, MAX(0,25-_xlpm.g), IF(_xlpm.g=0,0,(_xlpm.w + _xlpm.fake*0.25)/(_xlpm.g + _xlpm.fake)))</f>
        <v>0</v>
      </c>
      <c r="P82" s="7">
        <f>_xlfn.RANK.EQ(View_Table[[#This Row],[Weighted Win% Previous]], View_Table[Weighted Win% Previous], 0)</f>
        <v>46</v>
      </c>
    </row>
    <row r="83" spans="2:16" hidden="1" x14ac:dyDescent="0.25">
      <c r="B83" s="3" t="s">
        <v>18</v>
      </c>
      <c r="C83" s="6">
        <f>View_Table[[#This Row],[Rank Previous]]-View_Table[[#This Row],[Rank]]</f>
        <v>-3</v>
      </c>
      <c r="D83" s="7">
        <f>_xlfn.RANK.EQ(View_Table[[#This Row],[Weighted Win%]], View_Table[Weighted Win%], 0)</f>
        <v>49</v>
      </c>
      <c r="E83" s="9">
        <f>_xlfn.LET(_xlpm.g,View_Table[[#This Row],[Games]], _xlpm.w,(View_Table[[#This Row],[Wins]] + View_Table[[#This Row],[Draws]] * 0.25), _xlpm.fake, MAX(0,25-_xlpm.g), IF(_xlpm.g=0,0,(_xlpm.w + _xlpm.fake*0.25)/(_xlpm.g + _xlpm.fake)))</f>
        <v>0</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0</v>
      </c>
      <c r="I83" s="5">
        <f>IFERROR(
    GETPIVOTDATA(
        "Result",
        'Pivot Table'!$A$3,
        "Player",View_Table[[#This Row],[Player]],
        "Result","Draw"
    ),
    0
)</f>
        <v>0</v>
      </c>
      <c r="J83" s="5">
        <f>View_Table[[#This Row],[Wins]]+View_Table[[#This Row],[Losses]]+View_Table[[#This Row],[Draws]]</f>
        <v>0</v>
      </c>
      <c r="K83" s="7">
        <f>IFERROR(
    GETPIVOTDATA(
        "Result",
        'Pivot Table Previous'!$A$3,
        "Player",View_Table[[#This Row],[Player]],
        "Result","Win"
    ),
    0
)</f>
        <v>0</v>
      </c>
      <c r="L83" s="5">
        <f>IFERROR(
    GETPIVOTDATA(
        "Result",
        'Pivot Table Previous'!$A$3,
        "Player",View_Table[[#This Row],[Player]],
        "Result","Loss"
    ),
    0
)</f>
        <v>0</v>
      </c>
      <c r="M83" s="5">
        <f>IFERROR(
    GETPIVOTDATA(
        "Result",
        'Pivot Table Previous'!$A$3,
        "Player",View_Table[[#This Row],[Player]],
        "Result","Draw"
    ),
    0
)</f>
        <v>0</v>
      </c>
      <c r="N83" s="5">
        <f>View_Table[[#This Row],[Wins Previous]]+View_Table[[#This Row],[Losses Previous]]+View_Table[[#This Row],[Draws Previous]]</f>
        <v>0</v>
      </c>
      <c r="O83" s="9">
        <f>_xlfn.LET(_xlpm.g,View_Table[[#This Row],[Games Previous]], _xlpm.w,(View_Table[[#This Row],[Wins Previous]] + View_Table[[#This Row],[Draws Previous]] * 0.25), _xlpm.fake, MAX(0,25-_xlpm.g), IF(_xlpm.g=0,0,(_xlpm.w + _xlpm.fake*0.25)/(_xlpm.g + _xlpm.fake)))</f>
        <v>0</v>
      </c>
      <c r="P83" s="7">
        <f>_xlfn.RANK.EQ(View_Table[[#This Row],[Weighted Win% Previous]], View_Table[Weighted Win% Previous], 0)</f>
        <v>46</v>
      </c>
    </row>
    <row r="84" spans="2:16" hidden="1" x14ac:dyDescent="0.25">
      <c r="B84" s="3" t="s">
        <v>594</v>
      </c>
      <c r="C84" s="6">
        <f>View_Table[[#This Row],[Rank Previous]]-View_Table[[#This Row],[Rank]]</f>
        <v>21</v>
      </c>
      <c r="D84" s="7">
        <f>_xlfn.RANK.EQ(View_Table[[#This Row],[Weighted Win%]], View_Table[Weighted Win%], 0)</f>
        <v>25</v>
      </c>
      <c r="E84" s="9">
        <f>_xlfn.LET(_xlpm.g,View_Table[[#This Row],[Games]], _xlpm.w,(View_Table[[#This Row],[Wins]] + View_Table[[#This Row],[Draws]] * 0.25), _xlpm.fake, MAX(0,25-_xlpm.g), IF(_xlpm.g=0,0,(_xlpm.w + _xlpm.fake*0.25)/(_xlpm.g + _xlpm.fake)))</f>
        <v>0.24</v>
      </c>
      <c r="F84" s="8">
        <f>IF(View_Table[[#This Row],[Games]]=0,0,(View_Table[[#This Row],[Wins]] + (View_Table[[#This Row],[Draws]] * 0.25))/View_Table[[#This Row],[Games]])</f>
        <v>0.125</v>
      </c>
      <c r="G84" s="5">
        <f>IFERROR(
    GETPIVOTDATA(
        "Result",
        'Pivot Table'!$A$3,
        "Player",View_Table[[#This Row],[Player]],
        "Result","Win"
    ),
    0
)</f>
        <v>0</v>
      </c>
      <c r="H84" s="5">
        <f>IFERROR(
    GETPIVOTDATA(
        "Result",
        'Pivot Table'!$A$3,
        "Player",View_Table[[#This Row],[Player]],
        "Result","Loss"
    ),
    0
)</f>
        <v>1</v>
      </c>
      <c r="I84" s="5">
        <f>IFERROR(
    GETPIVOTDATA(
        "Result",
        'Pivot Table'!$A$3,
        "Player",View_Table[[#This Row],[Player]],
        "Result","Draw"
    ),
    0
)</f>
        <v>1</v>
      </c>
      <c r="J84" s="5">
        <f>View_Table[[#This Row],[Wins]]+View_Table[[#This Row],[Losses]]+View_Table[[#This Row],[Draws]]</f>
        <v>2</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46</v>
      </c>
    </row>
    <row r="85" spans="2:16" hidden="1" x14ac:dyDescent="0.25">
      <c r="B85" s="3" t="s">
        <v>540</v>
      </c>
      <c r="C85" s="6">
        <f>View_Table[[#This Row],[Rank Previous]]-View_Table[[#This Row],[Rank]]</f>
        <v>-3</v>
      </c>
      <c r="D85" s="7">
        <f>_xlfn.RANK.EQ(View_Table[[#This Row],[Weighted Win%]], View_Table[Weighted Win%], 0)</f>
        <v>49</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46</v>
      </c>
    </row>
    <row r="86" spans="2:16" hidden="1" x14ac:dyDescent="0.25">
      <c r="B86" s="3" t="s">
        <v>569</v>
      </c>
      <c r="C86" s="6">
        <f>View_Table[[#This Row],[Rank Previous]]-View_Table[[#This Row],[Rank]]</f>
        <v>7</v>
      </c>
      <c r="D86" s="7">
        <f>_xlfn.RANK.EQ(View_Table[[#This Row],[Weighted Win%]], View_Table[Weighted Win%], 0)</f>
        <v>19</v>
      </c>
      <c r="E86" s="9">
        <f>_xlfn.LET(_xlpm.g,View_Table[[#This Row],[Games]], _xlpm.w,(View_Table[[#This Row],[Wins]] + View_Table[[#This Row],[Draws]] * 0.25), _xlpm.fake, MAX(0,25-_xlpm.g), IF(_xlpm.g=0,0,(_xlpm.w + _xlpm.fake*0.25)/(_xlpm.g + _xlpm.fake)))</f>
        <v>0.25</v>
      </c>
      <c r="F86" s="8">
        <f>IF(View_Table[[#This Row],[Games]]=0,0,(View_Table[[#This Row],[Wins]] + (View_Table[[#This Row],[Draws]] * 0.25))/View_Table[[#This Row],[Games]])</f>
        <v>0.25</v>
      </c>
      <c r="G86" s="5">
        <f>IFERROR(
    GETPIVOTDATA(
        "Result",
        'Pivot Table'!$A$3,
        "Player",View_Table[[#This Row],[Player]],
        "Result","Win"
    ),
    0
)</f>
        <v>1</v>
      </c>
      <c r="H86" s="5">
        <f>IFERROR(
    GETPIVOTDATA(
        "Result",
        'Pivot Table'!$A$3,
        "Player",View_Table[[#This Row],[Player]],
        "Result","Loss"
    ),
    0
)</f>
        <v>3</v>
      </c>
      <c r="I86" s="5">
        <f>IFERROR(
    GETPIVOTDATA(
        "Result",
        'Pivot Table'!$A$3,
        "Player",View_Table[[#This Row],[Player]],
        "Result","Draw"
    ),
    0
)</f>
        <v>0</v>
      </c>
      <c r="J86" s="5">
        <f>View_Table[[#This Row],[Wins]]+View_Table[[#This Row],[Losses]]+View_Table[[#This Row],[Draws]]</f>
        <v>4</v>
      </c>
      <c r="K86" s="7">
        <f>IFERROR(
    GETPIVOTDATA(
        "Result",
        'Pivot Table Previous'!$A$3,
        "Player",View_Table[[#This Row],[Player]],
        "Result","Win"
    ),
    0
)</f>
        <v>0</v>
      </c>
      <c r="L86" s="5">
        <f>IFERROR(
    GETPIVOTDATA(
        "Result",
        'Pivot Table Previous'!$A$3,
        "Player",View_Table[[#This Row],[Player]],
        "Result","Loss"
    ),
    0
)</f>
        <v>2</v>
      </c>
      <c r="M86" s="5">
        <f>IFERROR(
    GETPIVOTDATA(
        "Result",
        'Pivot Table Previous'!$A$3,
        "Player",View_Table[[#This Row],[Player]],
        "Result","Draw"
    ),
    0
)</f>
        <v>0</v>
      </c>
      <c r="N86" s="5">
        <f>View_Table[[#This Row],[Wins Previous]]+View_Table[[#This Row],[Losses Previous]]+View_Table[[#This Row],[Draws Previous]]</f>
        <v>2</v>
      </c>
      <c r="O86" s="9">
        <f>_xlfn.LET(_xlpm.g,View_Table[[#This Row],[Games Previous]], _xlpm.w,(View_Table[[#This Row],[Wins Previous]] + View_Table[[#This Row],[Draws Previous]] * 0.25), _xlpm.fake, MAX(0,25-_xlpm.g), IF(_xlpm.g=0,0,(_xlpm.w + _xlpm.fake*0.25)/(_xlpm.g + _xlpm.fake)))</f>
        <v>0.23</v>
      </c>
      <c r="P86" s="7">
        <f>_xlfn.RANK.EQ(View_Table[[#This Row],[Weighted Win% Previous]], View_Table[Weighted Win% Previous], 0)</f>
        <v>26</v>
      </c>
    </row>
    <row r="87" spans="2:16" hidden="1" x14ac:dyDescent="0.25">
      <c r="B87" s="3" t="s">
        <v>580</v>
      </c>
      <c r="C87" s="6">
        <f>View_Table[[#This Row],[Rank Previous]]-View_Table[[#This Row],[Rank]]</f>
        <v>7</v>
      </c>
      <c r="D87" s="7">
        <f>_xlfn.RANK.EQ(View_Table[[#This Row],[Weighted Win%]], View_Table[Weighted Win%], 0)</f>
        <v>19</v>
      </c>
      <c r="E87" s="9">
        <f>_xlfn.LET(_xlpm.g,View_Table[[#This Row],[Games]], _xlpm.w,(View_Table[[#This Row],[Wins]] + View_Table[[#This Row],[Draws]] * 0.25), _xlpm.fake, MAX(0,25-_xlpm.g), IF(_xlpm.g=0,0,(_xlpm.w + _xlpm.fake*0.25)/(_xlpm.g + _xlpm.fake)))</f>
        <v>0.25</v>
      </c>
      <c r="F87" s="8">
        <f>IF(View_Table[[#This Row],[Games]]=0,0,(View_Table[[#This Row],[Wins]] + (View_Table[[#This Row],[Draws]] * 0.25))/View_Table[[#This Row],[Games]])</f>
        <v>0.25</v>
      </c>
      <c r="G87" s="5">
        <f>IFERROR(
    GETPIVOTDATA(
        "Result",
        'Pivot Table'!$A$3,
        "Player",View_Table[[#This Row],[Player]],
        "Result","Win"
    ),
    0
)</f>
        <v>1</v>
      </c>
      <c r="H87" s="5">
        <f>IFERROR(
    GETPIVOTDATA(
        "Result",
        'Pivot Table'!$A$3,
        "Player",View_Table[[#This Row],[Player]],
        "Result","Loss"
    ),
    0
)</f>
        <v>3</v>
      </c>
      <c r="I87" s="5">
        <f>IFERROR(
    GETPIVOTDATA(
        "Result",
        'Pivot Table'!$A$3,
        "Player",View_Table[[#This Row],[Player]],
        "Result","Draw"
    ),
    0
)</f>
        <v>0</v>
      </c>
      <c r="J87" s="5">
        <f>View_Table[[#This Row],[Wins]]+View_Table[[#This Row],[Losses]]+View_Table[[#This Row],[Draws]]</f>
        <v>4</v>
      </c>
      <c r="K87" s="7">
        <f>IFERROR(
    GETPIVOTDATA(
        "Result",
        'Pivot Table Previous'!$A$3,
        "Player",View_Table[[#This Row],[Player]],
        "Result","Win"
    ),
    0
)</f>
        <v>0</v>
      </c>
      <c r="L87" s="5">
        <f>IFERROR(
    GETPIVOTDATA(
        "Result",
        'Pivot Table Previous'!$A$3,
        "Player",View_Table[[#This Row],[Player]],
        "Result","Loss"
    ),
    0
)</f>
        <v>2</v>
      </c>
      <c r="M87" s="5">
        <f>IFERROR(
    GETPIVOTDATA(
        "Result",
        'Pivot Table Previous'!$A$3,
        "Player",View_Table[[#This Row],[Player]],
        "Result","Draw"
    ),
    0
)</f>
        <v>0</v>
      </c>
      <c r="N87" s="5">
        <f>View_Table[[#This Row],[Wins Previous]]+View_Table[[#This Row],[Losses Previous]]+View_Table[[#This Row],[Draws Previous]]</f>
        <v>2</v>
      </c>
      <c r="O87" s="9">
        <f>_xlfn.LET(_xlpm.g,View_Table[[#This Row],[Games Previous]], _xlpm.w,(View_Table[[#This Row],[Wins Previous]] + View_Table[[#This Row],[Draws Previous]] * 0.25), _xlpm.fake, MAX(0,25-_xlpm.g), IF(_xlpm.g=0,0,(_xlpm.w + _xlpm.fake*0.25)/(_xlpm.g + _xlpm.fake)))</f>
        <v>0.23</v>
      </c>
      <c r="P87" s="7">
        <f>_xlfn.RANK.EQ(View_Table[[#This Row],[Weighted Win% Previous]], View_Table[Weighted Win% Previous], 0)</f>
        <v>26</v>
      </c>
    </row>
    <row r="88" spans="2:16" hidden="1" x14ac:dyDescent="0.25">
      <c r="B88" s="3" t="s">
        <v>581</v>
      </c>
      <c r="C88" s="6">
        <f>View_Table[[#This Row],[Rank Previous]]-View_Table[[#This Row],[Rank]]</f>
        <v>-4</v>
      </c>
      <c r="D88" s="7">
        <f>_xlfn.RANK.EQ(View_Table[[#This Row],[Weighted Win%]], View_Table[Weighted Win%], 0)</f>
        <v>30</v>
      </c>
      <c r="E88" s="9">
        <f>_xlfn.LET(_xlpm.g,View_Table[[#This Row],[Games]], _xlpm.w,(View_Table[[#This Row],[Wins]] + View_Table[[#This Row],[Draws]] * 0.25), _xlpm.fake, MAX(0,25-_xlpm.g), IF(_xlpm.g=0,0,(_xlpm.w + _xlpm.fake*0.25)/(_xlpm.g + _xlpm.fake)))</f>
        <v>0.23</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2</v>
      </c>
      <c r="I88" s="5">
        <f>IFERROR(
    GETPIVOTDATA(
        "Result",
        'Pivot Table'!$A$3,
        "Player",View_Table[[#This Row],[Player]],
        "Result","Draw"
    ),
    0
)</f>
        <v>0</v>
      </c>
      <c r="J88" s="5">
        <f>View_Table[[#This Row],[Wins]]+View_Table[[#This Row],[Losses]]+View_Table[[#This Row],[Draws]]</f>
        <v>2</v>
      </c>
      <c r="K88" s="7">
        <f>IFERROR(
    GETPIVOTDATA(
        "Result",
        'Pivot Table Previous'!$A$3,
        "Player",View_Table[[#This Row],[Player]],
        "Result","Win"
    ),
    0
)</f>
        <v>0</v>
      </c>
      <c r="L88" s="5">
        <f>IFERROR(
    GETPIVOTDATA(
        "Result",
        'Pivot Table Previous'!$A$3,
        "Player",View_Table[[#This Row],[Player]],
        "Result","Loss"
    ),
    0
)</f>
        <v>2</v>
      </c>
      <c r="M88" s="5">
        <f>IFERROR(
    GETPIVOTDATA(
        "Result",
        'Pivot Table Previous'!$A$3,
        "Player",View_Table[[#This Row],[Player]],
        "Result","Draw"
    ),
    0
)</f>
        <v>0</v>
      </c>
      <c r="N88" s="5">
        <f>View_Table[[#This Row],[Wins Previous]]+View_Table[[#This Row],[Losses Previous]]+View_Table[[#This Row],[Draws Previous]]</f>
        <v>2</v>
      </c>
      <c r="O88" s="9">
        <f>_xlfn.LET(_xlpm.g,View_Table[[#This Row],[Games Previous]], _xlpm.w,(View_Table[[#This Row],[Wins Previous]] + View_Table[[#This Row],[Draws Previous]] * 0.25), _xlpm.fake, MAX(0,25-_xlpm.g), IF(_xlpm.g=0,0,(_xlpm.w + _xlpm.fake*0.25)/(_xlpm.g + _xlpm.fake)))</f>
        <v>0.23</v>
      </c>
      <c r="P88" s="7">
        <f>_xlfn.RANK.EQ(View_Table[[#This Row],[Weighted Win% Previous]], View_Table[Weighted Win% Previous], 0)</f>
        <v>26</v>
      </c>
    </row>
    <row r="89" spans="2:16" hidden="1" x14ac:dyDescent="0.25">
      <c r="B89" s="3" t="s">
        <v>592</v>
      </c>
      <c r="C89" s="6">
        <f>View_Table[[#This Row],[Rank Previous]]-View_Table[[#This Row],[Rank]]</f>
        <v>16</v>
      </c>
      <c r="D89" s="7">
        <f>_xlfn.RANK.EQ(View_Table[[#This Row],[Weighted Win%]], View_Table[Weighted Win%], 0)</f>
        <v>30</v>
      </c>
      <c r="E89" s="9">
        <f>_xlfn.LET(_xlpm.g,View_Table[[#This Row],[Games]], _xlpm.w,(View_Table[[#This Row],[Wins]] + View_Table[[#This Row],[Draws]] * 0.25), _xlpm.fake, MAX(0,25-_xlpm.g), IF(_xlpm.g=0,0,(_xlpm.w + _xlpm.fake*0.25)/(_xlpm.g + _xlpm.fake)))</f>
        <v>0.23</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2</v>
      </c>
      <c r="I89" s="5">
        <f>IFERROR(
    GETPIVOTDATA(
        "Result",
        'Pivot Table'!$A$3,
        "Player",View_Table[[#This Row],[Player]],
        "Result","Draw"
    ),
    0
)</f>
        <v>0</v>
      </c>
      <c r="J89" s="5">
        <f>View_Table[[#This Row],[Wins]]+View_Table[[#This Row],[Losses]]+View_Table[[#This Row],[Draws]]</f>
        <v>2</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46</v>
      </c>
    </row>
    <row r="90" spans="2:16" hidden="1" x14ac:dyDescent="0.25">
      <c r="B90" s="3" t="s">
        <v>553</v>
      </c>
      <c r="C90" s="6">
        <f>View_Table[[#This Row],[Rank Previous]]-View_Table[[#This Row],[Rank]]</f>
        <v>-1</v>
      </c>
      <c r="D90" s="7">
        <f>_xlfn.RANK.EQ(View_Table[[#This Row],[Weighted Win%]], View_Table[Weighted Win%], 0)</f>
        <v>19</v>
      </c>
      <c r="E90" s="9">
        <f>_xlfn.LET(_xlpm.g,View_Table[[#This Row],[Games]], _xlpm.w,(View_Table[[#This Row],[Wins]] + View_Table[[#This Row],[Draws]] * 0.25), _xlpm.fake, MAX(0,25-_xlpm.g), IF(_xlpm.g=0,0,(_xlpm.w + _xlpm.fake*0.25)/(_xlpm.g + _xlpm.fake)))</f>
        <v>0.25</v>
      </c>
      <c r="F90" s="8">
        <f>IF(View_Table[[#This Row],[Games]]=0,0,(View_Table[[#This Row],[Wins]] + (View_Table[[#This Row],[Draws]] * 0.25))/View_Table[[#This Row],[Games]])</f>
        <v>0.25</v>
      </c>
      <c r="G90" s="5">
        <f>IFERROR(
    GETPIVOTDATA(
        "Result",
        'Pivot Table'!$A$3,
        "Player",View_Table[[#This Row],[Player]],
        "Result","Win"
    ),
    0
)</f>
        <v>0</v>
      </c>
      <c r="H90" s="5">
        <f>IFERROR(
    GETPIVOTDATA(
        "Result",
        'Pivot Table'!$A$3,
        "Player",View_Table[[#This Row],[Player]],
        "Result","Loss"
    ),
    0
)</f>
        <v>0</v>
      </c>
      <c r="I90" s="5">
        <f>IFERROR(
    GETPIVOTDATA(
        "Result",
        'Pivot Table'!$A$3,
        "Player",View_Table[[#This Row],[Player]],
        "Result","Draw"
    ),
    0
)</f>
        <v>1</v>
      </c>
      <c r="J90" s="5">
        <f>View_Table[[#This Row],[Wins]]+View_Table[[#This Row],[Losses]]+View_Table[[#This Row],[Draws]]</f>
        <v>1</v>
      </c>
      <c r="K90" s="7">
        <f>IFERROR(
    GETPIVOTDATA(
        "Result",
        'Pivot Table Previous'!$A$3,
        "Player",View_Table[[#This Row],[Player]],
        "Result","Win"
    ),
    0
)</f>
        <v>0</v>
      </c>
      <c r="L90" s="5">
        <f>IFERROR(
    GETPIVOTDATA(
        "Result",
        'Pivot Table Previous'!$A$3,
        "Player",View_Table[[#This Row],[Player]],
        "Result","Loss"
    ),
    0
)</f>
        <v>0</v>
      </c>
      <c r="M90" s="5">
        <f>IFERROR(
    GETPIVOTDATA(
        "Result",
        'Pivot Table Previous'!$A$3,
        "Player",View_Table[[#This Row],[Player]],
        "Result","Draw"
    ),
    0
)</f>
        <v>1</v>
      </c>
      <c r="N90" s="5">
        <f>View_Table[[#This Row],[Wins Previous]]+View_Table[[#This Row],[Losses Previous]]+View_Table[[#This Row],[Draws Previous]]</f>
        <v>1</v>
      </c>
      <c r="O90" s="9">
        <f>_xlfn.LET(_xlpm.g,View_Table[[#This Row],[Games Previous]], _xlpm.w,(View_Table[[#This Row],[Wins Previous]] + View_Table[[#This Row],[Draws Previous]] * 0.25), _xlpm.fake, MAX(0,25-_xlpm.g), IF(_xlpm.g=0,0,(_xlpm.w + _xlpm.fake*0.25)/(_xlpm.g + _xlpm.fake)))</f>
        <v>0.25</v>
      </c>
      <c r="P90" s="7">
        <f>_xlfn.RANK.EQ(View_Table[[#This Row],[Weighted Win% Previous]], View_Table[Weighted Win% Previous], 0)</f>
        <v>18</v>
      </c>
    </row>
    <row r="91" spans="2:16" hidden="1" x14ac:dyDescent="0.25">
      <c r="B91" s="3" t="s">
        <v>554</v>
      </c>
      <c r="C91" s="6">
        <f>View_Table[[#This Row],[Rank Previous]]-View_Table[[#This Row],[Rank]]</f>
        <v>-4</v>
      </c>
      <c r="D91" s="7">
        <f>_xlfn.RANK.EQ(View_Table[[#This Row],[Weighted Win%]], View_Table[Weighted Win%], 0)</f>
        <v>30</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0</v>
      </c>
      <c r="J91" s="5">
        <f>View_Table[[#This Row],[Wins]]+View_Table[[#This Row],[Losses]]+View_Table[[#This Row],[Draws]]</f>
        <v>2</v>
      </c>
      <c r="K91" s="7">
        <f>IFERROR(
    GETPIVOTDATA(
        "Result",
        'Pivot Table Previous'!$A$3,
        "Player",View_Table[[#This Row],[Player]],
        "Result","Win"
    ),
    0
)</f>
        <v>0</v>
      </c>
      <c r="L91" s="5">
        <f>IFERROR(
    GETPIVOTDATA(
        "Result",
        'Pivot Table Previous'!$A$3,
        "Player",View_Table[[#This Row],[Player]],
        "Result","Loss"
    ),
    0
)</f>
        <v>2</v>
      </c>
      <c r="M91" s="5">
        <f>IFERROR(
    GETPIVOTDATA(
        "Result",
        'Pivot Table Previous'!$A$3,
        "Player",View_Table[[#This Row],[Player]],
        "Result","Draw"
    ),
    0
)</f>
        <v>0</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0.23</v>
      </c>
      <c r="P91" s="7">
        <f>_xlfn.RANK.EQ(View_Table[[#This Row],[Weighted Win% Previous]], View_Table[Weighted Win% Previous], 0)</f>
        <v>26</v>
      </c>
    </row>
    <row r="92" spans="2:16" hidden="1" x14ac:dyDescent="0.25">
      <c r="B92" s="3" t="s">
        <v>555</v>
      </c>
      <c r="C92" s="6">
        <f>View_Table[[#This Row],[Rank Previous]]-View_Table[[#This Row],[Rank]]</f>
        <v>-4</v>
      </c>
      <c r="D92" s="7">
        <f>_xlfn.RANK.EQ(View_Table[[#This Row],[Weighted Win%]], View_Table[Weighted Win%], 0)</f>
        <v>30</v>
      </c>
      <c r="E92" s="9">
        <f>_xlfn.LET(_xlpm.g,View_Table[[#This Row],[Games]], _xlpm.w,(View_Table[[#This Row],[Wins]] + View_Table[[#This Row],[Draws]] * 0.25), _xlpm.fake, MAX(0,25-_xlpm.g), IF(_xlpm.g=0,0,(_xlpm.w + _xlpm.fake*0.25)/(_xlpm.g + _xlpm.fake)))</f>
        <v>0.23</v>
      </c>
      <c r="F92" s="8">
        <f>IF(View_Table[[#This Row],[Games]]=0,0,(View_Table[[#This Row],[Wins]] + (View_Table[[#This Row],[Draws]] * 0.25))/View_Table[[#This Row],[Games]])</f>
        <v>0</v>
      </c>
      <c r="G92" s="5">
        <f>IFERROR(
    GETPIVOTDATA(
        "Result",
        'Pivot Table'!$A$3,
        "Player",View_Table[[#This Row],[Player]],
        "Result","Win"
    ),
    0
)</f>
        <v>0</v>
      </c>
      <c r="H92" s="5">
        <f>IFERROR(
    GETPIVOTDATA(
        "Result",
        'Pivot Table'!$A$3,
        "Player",View_Table[[#This Row],[Player]],
        "Result","Loss"
    ),
    0
)</f>
        <v>2</v>
      </c>
      <c r="I92" s="5">
        <f>IFERROR(
    GETPIVOTDATA(
        "Result",
        'Pivot Table'!$A$3,
        "Player",View_Table[[#This Row],[Player]],
        "Result","Draw"
    ),
    0
)</f>
        <v>0</v>
      </c>
      <c r="J92" s="5">
        <f>View_Table[[#This Row],[Wins]]+View_Table[[#This Row],[Losses]]+View_Table[[#This Row],[Draws]]</f>
        <v>2</v>
      </c>
      <c r="K92" s="7">
        <f>IFERROR(
    GETPIVOTDATA(
        "Result",
        'Pivot Table Previous'!$A$3,
        "Player",View_Table[[#This Row],[Player]],
        "Result","Win"
    ),
    0
)</f>
        <v>0</v>
      </c>
      <c r="L92" s="5">
        <f>IFERROR(
    GETPIVOTDATA(
        "Result",
        'Pivot Table Previous'!$A$3,
        "Player",View_Table[[#This Row],[Player]],
        "Result","Loss"
    ),
    0
)</f>
        <v>2</v>
      </c>
      <c r="M92" s="5">
        <f>IFERROR(
    GETPIVOTDATA(
        "Result",
        'Pivot Table Previous'!$A$3,
        "Player",View_Table[[#This Row],[Player]],
        "Result","Draw"
    ),
    0
)</f>
        <v>0</v>
      </c>
      <c r="N92" s="5">
        <f>View_Table[[#This Row],[Wins Previous]]+View_Table[[#This Row],[Losses Previous]]+View_Table[[#This Row],[Draws Previous]]</f>
        <v>2</v>
      </c>
      <c r="O92" s="9">
        <f>_xlfn.LET(_xlpm.g,View_Table[[#This Row],[Games Previous]], _xlpm.w,(View_Table[[#This Row],[Wins Previous]] + View_Table[[#This Row],[Draws Previous]] * 0.25), _xlpm.fake, MAX(0,25-_xlpm.g), IF(_xlpm.g=0,0,(_xlpm.w + _xlpm.fake*0.25)/(_xlpm.g + _xlpm.fake)))</f>
        <v>0.23</v>
      </c>
      <c r="P92" s="7">
        <f>_xlfn.RANK.EQ(View_Table[[#This Row],[Weighted Win% Previous]], View_Table[Weighted Win% Previous], 0)</f>
        <v>26</v>
      </c>
    </row>
    <row r="93" spans="2:16" hidden="1" x14ac:dyDescent="0.25">
      <c r="B93" s="3" t="s">
        <v>556</v>
      </c>
      <c r="C93" s="6">
        <f>View_Table[[#This Row],[Rank Previous]]-View_Table[[#This Row],[Rank]]</f>
        <v>-1</v>
      </c>
      <c r="D93" s="7">
        <f>_xlfn.RANK.EQ(View_Table[[#This Row],[Weighted Win%]], View_Table[Weighted Win%], 0)</f>
        <v>14</v>
      </c>
      <c r="E93" s="9">
        <f>_xlfn.LET(_xlpm.g,View_Table[[#This Row],[Games]], _xlpm.w,(View_Table[[#This Row],[Wins]] + View_Table[[#This Row],[Draws]] * 0.25), _xlpm.fake, MAX(0,25-_xlpm.g), IF(_xlpm.g=0,0,(_xlpm.w + _xlpm.fake*0.25)/(_xlpm.g + _xlpm.fake)))</f>
        <v>0.27</v>
      </c>
      <c r="F93" s="8">
        <f>IF(View_Table[[#This Row],[Games]]=0,0,(View_Table[[#This Row],[Wins]] + (View_Table[[#This Row],[Draws]] * 0.25))/View_Table[[#This Row],[Games]])</f>
        <v>0.5</v>
      </c>
      <c r="G93" s="5">
        <f>IFERROR(
    GETPIVOTDATA(
        "Result",
        'Pivot Table'!$A$3,
        "Player",View_Table[[#This Row],[Player]],
        "Result","Win"
    ),
    0
)</f>
        <v>1</v>
      </c>
      <c r="H93" s="5">
        <f>IFERROR(
    GETPIVOTDATA(
        "Result",
        'Pivot Table'!$A$3,
        "Player",View_Table[[#This Row],[Player]],
        "Result","Loss"
    ),
    0
)</f>
        <v>1</v>
      </c>
      <c r="I93" s="5">
        <f>IFERROR(
    GETPIVOTDATA(
        "Result",
        'Pivot Table'!$A$3,
        "Player",View_Table[[#This Row],[Player]],
        "Result","Draw"
    ),
    0
)</f>
        <v>0</v>
      </c>
      <c r="J93" s="5">
        <f>View_Table[[#This Row],[Wins]]+View_Table[[#This Row],[Losses]]+View_Table[[#This Row],[Draws]]</f>
        <v>2</v>
      </c>
      <c r="K93" s="7">
        <f>IFERROR(
    GETPIVOTDATA(
        "Result",
        'Pivot Table Previous'!$A$3,
        "Player",View_Table[[#This Row],[Player]],
        "Result","Win"
    ),
    0
)</f>
        <v>1</v>
      </c>
      <c r="L93" s="5">
        <f>IFERROR(
    GETPIVOTDATA(
        "Result",
        'Pivot Table Previous'!$A$3,
        "Player",View_Table[[#This Row],[Player]],
        "Result","Loss"
    ),
    0
)</f>
        <v>1</v>
      </c>
      <c r="M93" s="5">
        <f>IFERROR(
    GETPIVOTDATA(
        "Result",
        'Pivot Table Previous'!$A$3,
        "Player",View_Table[[#This Row],[Player]],
        "Result","Draw"
    ),
    0
)</f>
        <v>0</v>
      </c>
      <c r="N93" s="5">
        <f>View_Table[[#This Row],[Wins Previous]]+View_Table[[#This Row],[Losses Previous]]+View_Table[[#This Row],[Draws Previous]]</f>
        <v>2</v>
      </c>
      <c r="O93" s="9">
        <f>_xlfn.LET(_xlpm.g,View_Table[[#This Row],[Games Previous]], _xlpm.w,(View_Table[[#This Row],[Wins Previous]] + View_Table[[#This Row],[Draws Previous]] * 0.25), _xlpm.fake, MAX(0,25-_xlpm.g), IF(_xlpm.g=0,0,(_xlpm.w + _xlpm.fake*0.25)/(_xlpm.g + _xlpm.fake)))</f>
        <v>0.27</v>
      </c>
      <c r="P93" s="7">
        <f>_xlfn.RANK.EQ(View_Table[[#This Row],[Weighted Win% Previous]], View_Table[Weighted Win% Previous], 0)</f>
        <v>13</v>
      </c>
    </row>
    <row r="94" spans="2:16" x14ac:dyDescent="0.25">
      <c r="B94" s="3" t="s">
        <v>51</v>
      </c>
      <c r="C94" s="6">
        <f>View_Table[[#This Row],[Rank Previous]]-View_Table[[#This Row],[Rank]]</f>
        <v>-2</v>
      </c>
      <c r="D94" s="7">
        <f>_xlfn.RANK.EQ(View_Table[[#This Row],[Weighted Win%]], View_Table[Weighted Win%], 0)</f>
        <v>40</v>
      </c>
      <c r="E94" s="9">
        <f>_xlfn.LET(_xlpm.g,View_Table[[#This Row],[Games]], _xlpm.w,(View_Table[[#This Row],[Wins]] + View_Table[[#This Row],[Draws]] * 0.25), _xlpm.fake, MAX(0,25-_xlpm.g), IF(_xlpm.g=0,0,(_xlpm.w + _xlpm.fake*0.25)/(_xlpm.g + _xlpm.fake)))</f>
        <v>0.22</v>
      </c>
      <c r="F94" s="8">
        <f>IF(View_Table[[#This Row],[Games]]=0,0,(View_Table[[#This Row],[Wins]] + (View_Table[[#This Row],[Draws]] * 0.25))/View_Table[[#This Row],[Games]])</f>
        <v>0.203125</v>
      </c>
      <c r="G94" s="5">
        <f>IFERROR(
    GETPIVOTDATA(
        "Result",
        'Pivot Table'!$A$3,
        "Player",View_Table[[#This Row],[Player]],
        "Result","Win"
    ),
    0
)</f>
        <v>2</v>
      </c>
      <c r="H94" s="5">
        <f>IFERROR(
    GETPIVOTDATA(
        "Result",
        'Pivot Table'!$A$3,
        "Player",View_Table[[#This Row],[Player]],
        "Result","Loss"
    ),
    0
)</f>
        <v>9</v>
      </c>
      <c r="I94" s="5">
        <f>IFERROR(
    GETPIVOTDATA(
        "Result",
        'Pivot Table'!$A$3,
        "Player",View_Table[[#This Row],[Player]],
        "Result","Draw"
    ),
    0
)</f>
        <v>5</v>
      </c>
      <c r="J94" s="5">
        <f>View_Table[[#This Row],[Wins]]+View_Table[[#This Row],[Losses]]+View_Table[[#This Row],[Draws]]</f>
        <v>16</v>
      </c>
      <c r="K94" s="7">
        <f>IFERROR(
    GETPIVOTDATA(
        "Result",
        'Pivot Table Previous'!$A$3,
        "Player",View_Table[[#This Row],[Player]],
        "Result","Win"
    ),
    0
)</f>
        <v>2</v>
      </c>
      <c r="L94" s="5">
        <f>IFERROR(
    GETPIVOTDATA(
        "Result",
        'Pivot Table Previous'!$A$3,
        "Player",View_Table[[#This Row],[Player]],
        "Result","Loss"
    ),
    0
)</f>
        <v>9</v>
      </c>
      <c r="M94" s="5">
        <f>IFERROR(
    GETPIVOTDATA(
        "Result",
        'Pivot Table Previous'!$A$3,
        "Player",View_Table[[#This Row],[Player]],
        "Result","Draw"
    ),
    0
)</f>
        <v>5</v>
      </c>
      <c r="N94" s="5">
        <f>View_Table[[#This Row],[Wins Previous]]+View_Table[[#This Row],[Losses Previous]]+View_Table[[#This Row],[Draws Previous]]</f>
        <v>16</v>
      </c>
      <c r="O94" s="9">
        <f>_xlfn.LET(_xlpm.g,View_Table[[#This Row],[Games Previous]], _xlpm.w,(View_Table[[#This Row],[Wins Previous]] + View_Table[[#This Row],[Draws Previous]] * 0.25), _xlpm.fake, MAX(0,25-_xlpm.g), IF(_xlpm.g=0,0,(_xlpm.w + _xlpm.fake*0.25)/(_xlpm.g + _xlpm.fake)))</f>
        <v>0.22</v>
      </c>
      <c r="P94" s="7">
        <f>_xlfn.RANK.EQ(View_Table[[#This Row],[Weighted Win% Previous]], View_Table[Weighted Win% Previous], 0)</f>
        <v>38</v>
      </c>
    </row>
    <row r="95" spans="2:16" x14ac:dyDescent="0.25">
      <c r="B95" s="3" t="s">
        <v>20</v>
      </c>
      <c r="C95" s="6">
        <f>View_Table[[#This Row],[Rank Previous]]-View_Table[[#This Row],[Rank]]</f>
        <v>-17</v>
      </c>
      <c r="D95" s="7">
        <f>_xlfn.RANK.EQ(View_Table[[#This Row],[Weighted Win%]], View_Table[Weighted Win%], 0)</f>
        <v>43</v>
      </c>
      <c r="E95" s="9">
        <f>_xlfn.LET(_xlpm.g,View_Table[[#This Row],[Games]], _xlpm.w,(View_Table[[#This Row],[Wins]] + View_Table[[#This Row],[Draws]] * 0.25), _xlpm.fake, MAX(0,25-_xlpm.g), IF(_xlpm.g=0,0,(_xlpm.w + _xlpm.fake*0.25)/(_xlpm.g + _xlpm.fake)))</f>
        <v>0.21</v>
      </c>
      <c r="F95" s="8">
        <f>IF(View_Table[[#This Row],[Games]]=0,0,(View_Table[[#This Row],[Wins]] + (View_Table[[#This Row],[Draws]] * 0.25))/View_Table[[#This Row],[Games]])</f>
        <v>0.17857142857142858</v>
      </c>
      <c r="G95" s="5">
        <f>IFERROR(
    GETPIVOTDATA(
        "Result",
        'Pivot Table'!$A$3,
        "Player",View_Table[[#This Row],[Player]],
        "Result","Win"
    ),
    0
)</f>
        <v>1</v>
      </c>
      <c r="H95" s="5">
        <f>IFERROR(
    GETPIVOTDATA(
        "Result",
        'Pivot Table'!$A$3,
        "Player",View_Table[[#This Row],[Player]],
        "Result","Loss"
    ),
    0
)</f>
        <v>7</v>
      </c>
      <c r="I95" s="5">
        <f>IFERROR(
    GETPIVOTDATA(
        "Result",
        'Pivot Table'!$A$3,
        "Player",View_Table[[#This Row],[Player]],
        "Result","Draw"
    ),
    0
)</f>
        <v>6</v>
      </c>
      <c r="J95" s="5">
        <f>View_Table[[#This Row],[Wins]]+View_Table[[#This Row],[Losses]]+View_Table[[#This Row],[Draws]]</f>
        <v>14</v>
      </c>
      <c r="K95" s="7">
        <f>IFERROR(
    GETPIVOTDATA(
        "Result",
        'Pivot Table Previous'!$A$3,
        "Player",View_Table[[#This Row],[Player]],
        "Result","Win"
    ),
    0
)</f>
        <v>1</v>
      </c>
      <c r="L95" s="5">
        <f>IFERROR(
    GETPIVOTDATA(
        "Result",
        'Pivot Table Previous'!$A$3,
        "Player",View_Table[[#This Row],[Player]],
        "Result","Loss"
    ),
    0
)</f>
        <v>5</v>
      </c>
      <c r="M95" s="5">
        <f>IFERROR(
    GETPIVOTDATA(
        "Result",
        'Pivot Table Previous'!$A$3,
        "Player",View_Table[[#This Row],[Player]],
        "Result","Draw"
    ),
    0
)</f>
        <v>6</v>
      </c>
      <c r="N95" s="5">
        <f>View_Table[[#This Row],[Wins Previous]]+View_Table[[#This Row],[Losses Previous]]+View_Table[[#This Row],[Draws Previous]]</f>
        <v>12</v>
      </c>
      <c r="O95" s="9">
        <f>_xlfn.LET(_xlpm.g,View_Table[[#This Row],[Games Previous]], _xlpm.w,(View_Table[[#This Row],[Wins Previous]] + View_Table[[#This Row],[Draws Previous]] * 0.25), _xlpm.fake, MAX(0,25-_xlpm.g), IF(_xlpm.g=0,0,(_xlpm.w + _xlpm.fake*0.25)/(_xlpm.g + _xlpm.fake)))</f>
        <v>0.23</v>
      </c>
      <c r="P95" s="7">
        <f>_xlfn.RANK.EQ(View_Table[[#This Row],[Weighted Win% Previous]], View_Table[Weighted Win% Previous], 0)</f>
        <v>26</v>
      </c>
    </row>
    <row r="96" spans="2:16" x14ac:dyDescent="0.25">
      <c r="B96" s="3" t="s">
        <v>28</v>
      </c>
      <c r="C96" s="6">
        <f>View_Table[[#This Row],[Rank Previous]]-View_Table[[#This Row],[Rank]]</f>
        <v>-3</v>
      </c>
      <c r="D96" s="7">
        <f>_xlfn.RANK.EQ(View_Table[[#This Row],[Weighted Win%]], View_Table[Weighted Win%], 0)</f>
        <v>44</v>
      </c>
      <c r="E96" s="9">
        <f>_xlfn.LET(_xlpm.g,View_Table[[#This Row],[Games]], _xlpm.w,(View_Table[[#This Row],[Wins]] + View_Table[[#This Row],[Draws]] * 0.25), _xlpm.fake, MAX(0,25-_xlpm.g), IF(_xlpm.g=0,0,(_xlpm.w + _xlpm.fake*0.25)/(_xlpm.g + _xlpm.fake)))</f>
        <v>0.19</v>
      </c>
      <c r="F96" s="8">
        <f>IF(View_Table[[#This Row],[Games]]=0,0,(View_Table[[#This Row],[Wins]] + (View_Table[[#This Row],[Draws]] * 0.25))/View_Table[[#This Row],[Games]])</f>
        <v>0.125</v>
      </c>
      <c r="G96" s="5">
        <f>IFERROR(
    GETPIVOTDATA(
        "Result",
        'Pivot Table'!$A$3,
        "Player",View_Table[[#This Row],[Player]],
        "Result","Win"
    ),
    0
)</f>
        <v>1</v>
      </c>
      <c r="H96" s="5">
        <f>IFERROR(
    GETPIVOTDATA(
        "Result",
        'Pivot Table'!$A$3,
        "Player",View_Table[[#This Row],[Player]],
        "Result","Loss"
    ),
    0
)</f>
        <v>9</v>
      </c>
      <c r="I96" s="5">
        <f>IFERROR(
    GETPIVOTDATA(
        "Result",
        'Pivot Table'!$A$3,
        "Player",View_Table[[#This Row],[Player]],
        "Result","Draw"
    ),
    0
)</f>
        <v>2</v>
      </c>
      <c r="J96" s="5">
        <f>View_Table[[#This Row],[Wins]]+View_Table[[#This Row],[Losses]]+View_Table[[#This Row],[Draws]]</f>
        <v>12</v>
      </c>
      <c r="K96" s="7">
        <f>IFERROR(
    GETPIVOTDATA(
        "Result",
        'Pivot Table Previous'!$A$3,
        "Player",View_Table[[#This Row],[Player]],
        "Result","Win"
    ),
    0
)</f>
        <v>1</v>
      </c>
      <c r="L96" s="5">
        <f>IFERROR(
    GETPIVOTDATA(
        "Result",
        'Pivot Table Previous'!$A$3,
        "Player",View_Table[[#This Row],[Player]],
        "Result","Loss"
    ),
    0
)</f>
        <v>7</v>
      </c>
      <c r="M96" s="5">
        <f>IFERROR(
    GETPIVOTDATA(
        "Result",
        'Pivot Table Previous'!$A$3,
        "Player",View_Table[[#This Row],[Player]],
        "Result","Draw"
    ),
    0
)</f>
        <v>2</v>
      </c>
      <c r="N96" s="5">
        <f>View_Table[[#This Row],[Wins Previous]]+View_Table[[#This Row],[Losses Previous]]+View_Table[[#This Row],[Draws Previous]]</f>
        <v>10</v>
      </c>
      <c r="O96" s="9">
        <f>_xlfn.LET(_xlpm.g,View_Table[[#This Row],[Games Previous]], _xlpm.w,(View_Table[[#This Row],[Wins Previous]] + View_Table[[#This Row],[Draws Previous]] * 0.25), _xlpm.fake, MAX(0,25-_xlpm.g), IF(_xlpm.g=0,0,(_xlpm.w + _xlpm.fake*0.25)/(_xlpm.g + _xlpm.fake)))</f>
        <v>0.21</v>
      </c>
      <c r="P96" s="7">
        <f>_xlfn.RANK.EQ(View_Table[[#This Row],[Weighted Win% Previous]], View_Table[Weighted Win% Previous], 0)</f>
        <v>41</v>
      </c>
    </row>
    <row r="97" spans="2:16" x14ac:dyDescent="0.25">
      <c r="B97" s="3" t="s">
        <v>52</v>
      </c>
      <c r="C97" s="6">
        <f>View_Table[[#This Row],[Rank Previous]]-View_Table[[#This Row],[Rank]]</f>
        <v>-3</v>
      </c>
      <c r="D97" s="7">
        <f>_xlfn.RANK.EQ(View_Table[[#This Row],[Weighted Win%]], View_Table[Weighted Win%], 0)</f>
        <v>45</v>
      </c>
      <c r="E97" s="9">
        <f>_xlfn.LET(_xlpm.g,View_Table[[#This Row],[Games]], _xlpm.w,(View_Table[[#This Row],[Wins]] + View_Table[[#This Row],[Draws]] * 0.25), _xlpm.fake, MAX(0,25-_xlpm.g), IF(_xlpm.g=0,0,(_xlpm.w + _xlpm.fake*0.25)/(_xlpm.g + _xlpm.fake)))</f>
        <v>0.18</v>
      </c>
      <c r="F97" s="8">
        <f>IF(View_Table[[#This Row],[Games]]=0,0,(View_Table[[#This Row],[Wins]] + (View_Table[[#This Row],[Draws]] * 0.25))/View_Table[[#This Row],[Games]])</f>
        <v>0.140625</v>
      </c>
      <c r="G97" s="5">
        <f>IFERROR(
    GETPIVOTDATA(
        "Result",
        'Pivot Table'!$A$3,
        "Player",View_Table[[#This Row],[Player]],
        "Result","Win"
    ),
    0
)</f>
        <v>2</v>
      </c>
      <c r="H97" s="5">
        <f>IFERROR(
    GETPIVOTDATA(
        "Result",
        'Pivot Table'!$A$3,
        "Player",View_Table[[#This Row],[Player]],
        "Result","Loss"
    ),
    0
)</f>
        <v>13</v>
      </c>
      <c r="I97" s="5">
        <f>IFERROR(
    GETPIVOTDATA(
        "Result",
        'Pivot Table'!$A$3,
        "Player",View_Table[[#This Row],[Player]],
        "Result","Draw"
    ),
    0
)</f>
        <v>1</v>
      </c>
      <c r="J97" s="5">
        <f>View_Table[[#This Row],[Wins]]+View_Table[[#This Row],[Losses]]+View_Table[[#This Row],[Draws]]</f>
        <v>16</v>
      </c>
      <c r="K97" s="5">
        <f>IFERROR(
    GETPIVOTDATA(
        "Result",
        'Pivot Table Previous'!$A$3,
        "Player",View_Table[[#This Row],[Player]],
        "Result","Win"
    ),
    0
)</f>
        <v>2</v>
      </c>
      <c r="L97" s="5">
        <f>IFERROR(
    GETPIVOTDATA(
        "Result",
        'Pivot Table Previous'!$A$3,
        "Player",View_Table[[#This Row],[Player]],
        "Result","Loss"
    ),
    0
)</f>
        <v>13</v>
      </c>
      <c r="M97" s="5">
        <f>IFERROR(
    GETPIVOTDATA(
        "Result",
        'Pivot Table Previous'!$A$3,
        "Player",View_Table[[#This Row],[Player]],
        "Result","Draw"
    ),
    0
)</f>
        <v>1</v>
      </c>
      <c r="N97" s="5">
        <f>View_Table[[#This Row],[Wins Previous]]+View_Table[[#This Row],[Losses Previous]]+View_Table[[#This Row],[Draws Previous]]</f>
        <v>16</v>
      </c>
      <c r="O97" s="9">
        <f>_xlfn.LET(_xlpm.g,View_Table[[#This Row],[Games Previous]], _xlpm.w,(View_Table[[#This Row],[Wins Previous]] + View_Table[[#This Row],[Draws Previous]] * 0.25), _xlpm.fake, MAX(0,25-_xlpm.g), IF(_xlpm.g=0,0,(_xlpm.w + _xlpm.fake*0.25)/(_xlpm.g + _xlpm.fake)))</f>
        <v>0.18</v>
      </c>
      <c r="P97" s="7">
        <f>IF(View_Table[[#This Row],[Games Previous]]=0,
    View_Table[[#This Row],[Rank]],
    _xlfn.RANK.EQ(View_Table[[#This Row],[Weighted Win% Previous]], View_Table[Weighted Win% Previous], 0)
)</f>
        <v>42</v>
      </c>
    </row>
    <row r="98" spans="2:16" x14ac:dyDescent="0.25">
      <c r="B98" s="3" t="s">
        <v>10</v>
      </c>
      <c r="C98" s="6">
        <f>View_Table[[#This Row],[Rank Previous]]-View_Table[[#This Row],[Rank]]</f>
        <v>-4</v>
      </c>
      <c r="D98" s="7">
        <f>_xlfn.RANK.EQ(View_Table[[#This Row],[Weighted Win%]], View_Table[Weighted Win%], 0)</f>
        <v>46</v>
      </c>
      <c r="E98" s="9">
        <f>_xlfn.LET(_xlpm.g,View_Table[[#This Row],[Games]], _xlpm.w,(View_Table[[#This Row],[Wins]] + View_Table[[#This Row],[Draws]] * 0.25), _xlpm.fake, MAX(0,25-_xlpm.g), IF(_xlpm.g=0,0,(_xlpm.w + _xlpm.fake*0.25)/(_xlpm.g + _xlpm.fake)))</f>
        <v>0.17</v>
      </c>
      <c r="F98" s="8">
        <f>IF(View_Table[[#This Row],[Games]]=0,0,(View_Table[[#This Row],[Wins]] + (View_Table[[#This Row],[Draws]] * 0.25))/View_Table[[#This Row],[Games]])</f>
        <v>0.15909090909090909</v>
      </c>
      <c r="G98" s="5">
        <f>IFERROR(
    GETPIVOTDATA(
        "Result",
        'Pivot Table'!$A$3,
        "Player",View_Table[[#This Row],[Player]],
        "Result","Win"
    ),
    0
)</f>
        <v>2</v>
      </c>
      <c r="H98" s="5">
        <f>IFERROR(
    GETPIVOTDATA(
        "Result",
        'Pivot Table'!$A$3,
        "Player",View_Table[[#This Row],[Player]],
        "Result","Loss"
    ),
    0
)</f>
        <v>14</v>
      </c>
      <c r="I98" s="5">
        <f>IFERROR(
    GETPIVOTDATA(
        "Result",
        'Pivot Table'!$A$3,
        "Player",View_Table[[#This Row],[Player]],
        "Result","Draw"
    ),
    0
)</f>
        <v>6</v>
      </c>
      <c r="J98" s="5">
        <f>View_Table[[#This Row],[Wins]]+View_Table[[#This Row],[Losses]]+View_Table[[#This Row],[Draws]]</f>
        <v>22</v>
      </c>
      <c r="K98" s="5">
        <f>IFERROR(
    GETPIVOTDATA(
        "Result",
        'Pivot Table Previous'!$A$3,
        "Player",View_Table[[#This Row],[Player]],
        "Result","Win"
    ),
    0
)</f>
        <v>2</v>
      </c>
      <c r="L98" s="5">
        <f>IFERROR(
    GETPIVOTDATA(
        "Result",
        'Pivot Table Previous'!$A$3,
        "Player",View_Table[[#This Row],[Player]],
        "Result","Loss"
    ),
    0
)</f>
        <v>13</v>
      </c>
      <c r="M98" s="5">
        <f>IFERROR(
    GETPIVOTDATA(
        "Result",
        'Pivot Table Previous'!$A$3,
        "Player",View_Table[[#This Row],[Player]],
        "Result","Draw"
    ),
    0
)</f>
        <v>5</v>
      </c>
      <c r="N98" s="5">
        <f>View_Table[[#This Row],[Wins Previous]]+View_Table[[#This Row],[Losses Previous]]+View_Table[[#This Row],[Draws Previous]]</f>
        <v>20</v>
      </c>
      <c r="O98" s="9">
        <f>_xlfn.LET(_xlpm.g,View_Table[[#This Row],[Games Previous]], _xlpm.w,(View_Table[[#This Row],[Wins Previous]] + View_Table[[#This Row],[Draws Previous]] * 0.25), _xlpm.fake, MAX(0,25-_xlpm.g), IF(_xlpm.g=0,0,(_xlpm.w + _xlpm.fake*0.25)/(_xlpm.g + _xlpm.fake)))</f>
        <v>0.18</v>
      </c>
      <c r="P98" s="7">
        <f>IF(View_Table[[#This Row],[Games Previous]]=0,
    View_Table[[#This Row],[Rank]],
    _xlfn.RANK.EQ(View_Table[[#This Row],[Weighted Win% Previous]], View_Table[Weighted Win% Previous], 0)
)</f>
        <v>42</v>
      </c>
    </row>
    <row r="99" spans="2:16" x14ac:dyDescent="0.25">
      <c r="B99" s="3" t="s">
        <v>363</v>
      </c>
      <c r="C99" s="6">
        <f>View_Table[[#This Row],[Rank Previous]]-View_Table[[#This Row],[Rank]]</f>
        <v>-1</v>
      </c>
      <c r="D99" s="7">
        <f>_xlfn.RANK.EQ(View_Table[[#This Row],[Weighted Win%]], View_Table[Weighted Win%], 0)</f>
        <v>46</v>
      </c>
      <c r="E99" s="9">
        <f>_xlfn.LET(_xlpm.g,View_Table[[#This Row],[Games]], _xlpm.w,(View_Table[[#This Row],[Wins]] + View_Table[[#This Row],[Draws]] * 0.25), _xlpm.fake, MAX(0,25-_xlpm.g), IF(_xlpm.g=0,0,(_xlpm.w + _xlpm.fake*0.25)/(_xlpm.g + _xlpm.fake)))</f>
        <v>0.17</v>
      </c>
      <c r="F99" s="8">
        <f>IF(View_Table[[#This Row],[Games]]=0,0,(View_Table[[#This Row],[Wins]] + (View_Table[[#This Row],[Draws]] * 0.25))/View_Table[[#This Row],[Games]])</f>
        <v>0.15</v>
      </c>
      <c r="G99" s="5">
        <f>IFERROR(
    GETPIVOTDATA(
        "Result",
        'Pivot Table'!$A$3,
        "Player",View_Table[[#This Row],[Player]],
        "Result","Win"
    ),
    0
)</f>
        <v>1</v>
      </c>
      <c r="H99" s="5">
        <f>IFERROR(
    GETPIVOTDATA(
        "Result",
        'Pivot Table'!$A$3,
        "Player",View_Table[[#This Row],[Player]],
        "Result","Loss"
    ),
    0
)</f>
        <v>11</v>
      </c>
      <c r="I99" s="5">
        <f>IFERROR(
    GETPIVOTDATA(
        "Result",
        'Pivot Table'!$A$3,
        "Player",View_Table[[#This Row],[Player]],
        "Result","Draw"
    ),
    0
)</f>
        <v>8</v>
      </c>
      <c r="J99" s="5">
        <f>View_Table[[#This Row],[Wins]]+View_Table[[#This Row],[Losses]]+View_Table[[#This Row],[Draws]]</f>
        <v>20</v>
      </c>
      <c r="K99" s="7">
        <f>IFERROR(
    GETPIVOTDATA(
        "Result",
        'Pivot Table Previous'!$A$3,
        "Player",View_Table[[#This Row],[Player]],
        "Result","Win"
    ),
    0
)</f>
        <v>0</v>
      </c>
      <c r="L99" s="5">
        <f>IFERROR(
    GETPIVOTDATA(
        "Result",
        'Pivot Table Previous'!$A$3,
        "Player",View_Table[[#This Row],[Player]],
        "Result","Loss"
    ),
    0
)</f>
        <v>11</v>
      </c>
      <c r="M99" s="5">
        <f>IFERROR(
    GETPIVOTDATA(
        "Result",
        'Pivot Table Previous'!$A$3,
        "Player",View_Table[[#This Row],[Player]],
        "Result","Draw"
    ),
    0
)</f>
        <v>7</v>
      </c>
      <c r="N99" s="5">
        <f>View_Table[[#This Row],[Wins Previous]]+View_Table[[#This Row],[Losses Previous]]+View_Table[[#This Row],[Draws Previous]]</f>
        <v>18</v>
      </c>
      <c r="O99" s="9">
        <f>_xlfn.LET(_xlpm.g,View_Table[[#This Row],[Games Previous]], _xlpm.w,(View_Table[[#This Row],[Wins Previous]] + View_Table[[#This Row],[Draws Previous]] * 0.25), _xlpm.fake, MAX(0,25-_xlpm.g), IF(_xlpm.g=0,0,(_xlpm.w + _xlpm.fake*0.25)/(_xlpm.g + _xlpm.fake)))</f>
        <v>0.14000000000000001</v>
      </c>
      <c r="P99" s="7">
        <f>_xlfn.RANK.EQ(View_Table[[#This Row],[Weighted Win% Previous]], View_Table[Weighted Win% Previous], 0)</f>
        <v>45</v>
      </c>
    </row>
  </sheetData>
  <phoneticPr fontId="4" type="noConversion"/>
  <conditionalFormatting sqref="J5:J99">
    <cfRule type="colorScale" priority="1620">
      <colorScale>
        <cfvo type="min"/>
        <cfvo type="percentile" val="50"/>
        <cfvo type="num" val="25"/>
        <color rgb="FFF8696B"/>
        <color rgb="FFFFEB84"/>
        <color rgb="FF63BE7B"/>
      </colorScale>
    </cfRule>
  </conditionalFormatting>
  <conditionalFormatting sqref="D5:D99">
    <cfRule type="top10" dxfId="4" priority="1621" bottom="1" rank="5"/>
    <cfRule type="cellIs" dxfId="3" priority="1622" operator="between">
      <formula>1</formula>
      <formula>16</formula>
    </cfRule>
    <cfRule type="top10" dxfId="2" priority="1623" bottom="1" rank="1"/>
  </conditionalFormatting>
  <conditionalFormatting sqref="G5:G99">
    <cfRule type="colorScale" priority="1624">
      <colorScale>
        <cfvo type="min"/>
        <cfvo type="percentile" val="70"/>
        <cfvo type="max"/>
        <color rgb="FFFF6600"/>
        <color theme="9" tint="0.59999389629810485"/>
        <color theme="9" tint="0.39997558519241921"/>
      </colorScale>
    </cfRule>
  </conditionalFormatting>
  <conditionalFormatting sqref="H5:H99">
    <cfRule type="colorScale" priority="1625">
      <colorScale>
        <cfvo type="min"/>
        <cfvo type="percentile" val="90"/>
        <cfvo type="max"/>
        <color theme="9" tint="0.59999389629810485"/>
        <color theme="9" tint="0.79998168889431442"/>
        <color rgb="FFFF6600"/>
      </colorScale>
    </cfRule>
  </conditionalFormatting>
  <conditionalFormatting sqref="F5:F99">
    <cfRule type="colorScale" priority="1626">
      <colorScale>
        <cfvo type="min"/>
        <cfvo type="num" val="0.25"/>
        <cfvo type="max"/>
        <color rgb="FFF8696B"/>
        <color theme="9" tint="0.59999389629810485"/>
        <color rgb="FF00B050"/>
      </colorScale>
    </cfRule>
  </conditionalFormatting>
  <conditionalFormatting sqref="I5:I99">
    <cfRule type="colorScale" priority="1627">
      <colorScale>
        <cfvo type="min"/>
        <cfvo type="max"/>
        <color theme="9" tint="0.79998168889431442"/>
        <color rgb="FFBF95DF"/>
      </colorScale>
    </cfRule>
  </conditionalFormatting>
  <conditionalFormatting sqref="N5:N99">
    <cfRule type="colorScale" priority="1628">
      <colorScale>
        <cfvo type="min"/>
        <cfvo type="percentile" val="50"/>
        <cfvo type="num" val="25"/>
        <color rgb="FFF8696B"/>
        <color rgb="FFFFEB84"/>
        <color rgb="FF63BE7B"/>
      </colorScale>
    </cfRule>
  </conditionalFormatting>
  <conditionalFormatting sqref="L5:L99">
    <cfRule type="colorScale" priority="1629">
      <colorScale>
        <cfvo type="min"/>
        <cfvo type="percentile" val="90"/>
        <cfvo type="max"/>
        <color theme="9" tint="0.59999389629810485"/>
        <color theme="9" tint="0.79998168889431442"/>
        <color rgb="FFFF6600"/>
      </colorScale>
    </cfRule>
  </conditionalFormatting>
  <conditionalFormatting sqref="M5:M99">
    <cfRule type="colorScale" priority="1630">
      <colorScale>
        <cfvo type="min"/>
        <cfvo type="max"/>
        <color theme="9" tint="0.79998168889431442"/>
        <color rgb="FFBF95DF"/>
      </colorScale>
    </cfRule>
  </conditionalFormatting>
  <conditionalFormatting sqref="K5:K99">
    <cfRule type="colorScale" priority="1631">
      <colorScale>
        <cfvo type="min"/>
        <cfvo type="percentile" val="70"/>
        <cfvo type="max"/>
        <color rgb="FFFF6600"/>
        <color theme="9" tint="0.59999389629810485"/>
        <color theme="9" tint="0.39997558519241921"/>
      </colorScale>
    </cfRule>
  </conditionalFormatting>
  <conditionalFormatting sqref="P5:P99">
    <cfRule type="top10" dxfId="1" priority="1632" bottom="1" rank="5"/>
    <cfRule type="top10" dxfId="0" priority="1633"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634" id="{00000000-000E-0000-0000-00007B020000}">
            <x14:colorScale>
              <x14:cfvo type="min"/>
              <x14:cfvo type="num">
                <xm:f>'View Seat Breakdown'!$C$3</xm:f>
              </x14:cfvo>
              <x14:cfvo type="max"/>
              <x14:color rgb="FFF8696B"/>
              <x14:color theme="9" tint="0.59999389629810485"/>
              <x14:color rgb="FF00B050"/>
            </x14:colorScale>
          </x14:cfRule>
          <xm:sqref>E5:E99</xm:sqref>
        </x14:conditionalFormatting>
        <x14:conditionalFormatting xmlns:xm="http://schemas.microsoft.com/office/excel/2006/main">
          <x14:cfRule type="iconSet" priority="1635" id="{16A40A27-C7F5-4E84-A0E6-22C4B34B531E}">
            <x14:iconSet iconSet="3Triangles">
              <x14:cfvo type="percent">
                <xm:f>0</xm:f>
              </x14:cfvo>
              <x14:cfvo type="num">
                <xm:f>0</xm:f>
              </x14:cfvo>
              <x14:cfvo type="num" gte="0">
                <xm:f>0</xm:f>
              </x14:cfvo>
            </x14:iconSet>
          </x14:cfRule>
          <xm:sqref>C5:C99</xm:sqref>
        </x14:conditionalFormatting>
        <x14:conditionalFormatting xmlns:xm="http://schemas.microsoft.com/office/excel/2006/main">
          <x14:cfRule type="colorScale" priority="1636" id="{46B5CD88-04B4-4451-8ECD-6B50FDADDCF8}">
            <x14:colorScale>
              <x14:cfvo type="min"/>
              <x14:cfvo type="num">
                <xm:f>'View Seat Breakdown'!$C$3</xm:f>
              </x14:cfvo>
              <x14:cfvo type="max"/>
              <x14:color rgb="FFF8696B"/>
              <x14:color theme="9" tint="0.59999389629810485"/>
              <x14:color rgb="FF00B050"/>
            </x14:colorScale>
          </x14:cfRule>
          <xm:sqref>O5:O99</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v>49</v>
      </c>
      <c r="C6">
        <v>78</v>
      </c>
      <c r="D6">
        <v>5</v>
      </c>
      <c r="E6">
        <v>132</v>
      </c>
    </row>
    <row r="7" spans="1:5" x14ac:dyDescent="0.25">
      <c r="A7" s="3">
        <v>2</v>
      </c>
      <c r="B7">
        <v>30</v>
      </c>
      <c r="C7">
        <v>72</v>
      </c>
      <c r="D7">
        <v>6</v>
      </c>
      <c r="E7">
        <v>108</v>
      </c>
    </row>
    <row r="8" spans="1:5" x14ac:dyDescent="0.25">
      <c r="A8" s="3">
        <v>3</v>
      </c>
      <c r="B8">
        <v>29</v>
      </c>
      <c r="C8">
        <v>53</v>
      </c>
      <c r="D8">
        <v>6</v>
      </c>
      <c r="E8">
        <v>88</v>
      </c>
    </row>
    <row r="9" spans="1:5" x14ac:dyDescent="0.25">
      <c r="A9" s="3">
        <v>4</v>
      </c>
      <c r="C9">
        <v>47</v>
      </c>
      <c r="D9">
        <v>6</v>
      </c>
      <c r="E9">
        <v>53</v>
      </c>
    </row>
    <row r="10" spans="1:5" x14ac:dyDescent="0.25">
      <c r="A10" s="3">
        <v>5</v>
      </c>
      <c r="D10">
        <v>6</v>
      </c>
      <c r="E10">
        <v>6</v>
      </c>
    </row>
    <row r="11" spans="1:5" x14ac:dyDescent="0.25">
      <c r="A11" s="3" t="s">
        <v>66</v>
      </c>
      <c r="C11">
        <v>6</v>
      </c>
      <c r="E11">
        <v>6</v>
      </c>
    </row>
    <row r="12" spans="1:5" x14ac:dyDescent="0.25">
      <c r="A12" s="3" t="s">
        <v>24</v>
      </c>
      <c r="B12">
        <v>108</v>
      </c>
      <c r="C12">
        <v>256</v>
      </c>
      <c r="D12">
        <v>29</v>
      </c>
      <c r="E12">
        <v>393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I16" sqref="I16"/>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0.26704954954954957</v>
      </c>
    </row>
    <row r="4" spans="2:7" x14ac:dyDescent="0.25">
      <c r="B4" t="s">
        <v>2</v>
      </c>
      <c r="C4" t="s">
        <v>75</v>
      </c>
      <c r="D4" t="s">
        <v>70</v>
      </c>
      <c r="F4" t="s">
        <v>77</v>
      </c>
      <c r="G4" t="s">
        <v>34</v>
      </c>
    </row>
    <row r="5" spans="2:7" x14ac:dyDescent="0.25">
      <c r="B5">
        <v>1</v>
      </c>
      <c r="C5">
        <f>GETPIVOTDATA("Result",Seat_Order_Pivot!$A$3,"Seat",Table3[[#This Row],[Seat]],"Result","Win")</f>
        <v>132</v>
      </c>
      <c r="D5" s="4">
        <f>Table3[[#This Row],[Count Result]]/C13</f>
        <v>0.29729729729729731</v>
      </c>
      <c r="F5">
        <v>1</v>
      </c>
      <c r="G5" s="4">
        <f>GETPIVOTDATA("Result",pivot_seat_New!$A$5,"Seat",Table411[[#This Row],[3 pods]],"Pod Size",3)/C14</f>
        <v>0.42982456140350878</v>
      </c>
    </row>
    <row r="6" spans="2:7" x14ac:dyDescent="0.25">
      <c r="B6">
        <v>2</v>
      </c>
      <c r="C6">
        <f>GETPIVOTDATA("Result",Seat_Order_Pivot!$A$3,"Seat",Table3[[#This Row],[Seat]],"Result","Win")</f>
        <v>108</v>
      </c>
      <c r="D6" s="4">
        <f>Table3[[#This Row],[Count Result]]/C13</f>
        <v>0.24324324324324326</v>
      </c>
      <c r="F6">
        <v>2</v>
      </c>
      <c r="G6" s="4">
        <f>GETPIVOTDATA("Result",pivot_seat_New!$A$5,"Seat",Table411[[#This Row],[3 pods]],"Pod Size",3)/C14</f>
        <v>0.26315789473684209</v>
      </c>
    </row>
    <row r="7" spans="2:7" x14ac:dyDescent="0.25">
      <c r="B7">
        <v>3</v>
      </c>
      <c r="C7">
        <f>GETPIVOTDATA("Result",Seat_Order_Pivot!$A$3,"Seat",Table3[[#This Row],[Seat]],"Result","Win")</f>
        <v>88</v>
      </c>
      <c r="D7" s="4">
        <f>Table3[[#This Row],[Count Result]]/C13</f>
        <v>0.1981981981981982</v>
      </c>
      <c r="F7">
        <v>3</v>
      </c>
      <c r="G7" s="4">
        <f>GETPIVOTDATA("Result",pivot_seat_New!$A$5,"Seat",Table411[[#This Row],[3 pods]],"Pod Size",3)/C14</f>
        <v>0.25438596491228072</v>
      </c>
    </row>
    <row r="8" spans="2:7" x14ac:dyDescent="0.25">
      <c r="B8">
        <v>4</v>
      </c>
      <c r="C8">
        <f>GETPIVOTDATA("Result",Seat_Order_Pivot!$A$3,"Seat",Table3[[#This Row],[Seat]],"Result","Win")</f>
        <v>53</v>
      </c>
      <c r="D8" s="4">
        <f>Table3[[#This Row],[Count Result]]/(C15+C16)</f>
        <v>0.16060606060606061</v>
      </c>
      <c r="F8" t="s">
        <v>63</v>
      </c>
      <c r="G8" s="4">
        <f>1-G5-G6-G7</f>
        <v>5.2631578947368418E-2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57</v>
      </c>
      <c r="D10" s="4">
        <f>Table3[[#This Row],[Count Result]]/C13</f>
        <v>0.12837837837837837</v>
      </c>
      <c r="F10">
        <v>1</v>
      </c>
      <c r="G10" s="4">
        <f>GETPIVOTDATA("Result",pivot_seat_New!$A$5,"Seat",Table41112[[#This Row],[4 pods]],"Pod Size",4)/C15</f>
        <v>0.2608695652173913</v>
      </c>
    </row>
    <row r="11" spans="2:7" x14ac:dyDescent="0.25">
      <c r="F11">
        <v>2</v>
      </c>
      <c r="G11" s="4">
        <f>GETPIVOTDATA("Result",pivot_seat_New!$A$5,"Seat",Table41112[[#This Row],[4 pods]],"Pod Size",4)/C15</f>
        <v>0.24080267558528429</v>
      </c>
    </row>
    <row r="12" spans="2:7" x14ac:dyDescent="0.25">
      <c r="B12" t="s">
        <v>71</v>
      </c>
      <c r="C12" t="s">
        <v>69</v>
      </c>
      <c r="F12">
        <v>3</v>
      </c>
      <c r="G12" s="4">
        <f>GETPIVOTDATA("Result",pivot_seat_New!$A$5,"Seat",Table41112[[#This Row],[4 pods]],"Pod Size",4)/C15</f>
        <v>0.17725752508361203</v>
      </c>
    </row>
    <row r="13" spans="2:7" x14ac:dyDescent="0.25">
      <c r="B13" t="s">
        <v>68</v>
      </c>
      <c r="C13">
        <f>SUM(Table3[Count Result])</f>
        <v>444</v>
      </c>
      <c r="F13">
        <v>4</v>
      </c>
      <c r="G13" s="4">
        <f>GETPIVOTDATA("Result",pivot_seat_New!$A$5,"Seat",Table41112[[#This Row],[4 pods]],"Pod Size",4)/C15</f>
        <v>0.15719063545150502</v>
      </c>
    </row>
    <row r="14" spans="2:7" x14ac:dyDescent="0.25">
      <c r="B14" t="s">
        <v>72</v>
      </c>
      <c r="C14">
        <f>(C13)-((GETPIVOTDATA("Result",Seat_Order_Pivot!$A$3,"Seat",4,"Result","Win")) + (GETPIVOTDATA("Result",Seat_Order_Pivot!$A$3,"Seat",4,"Result","Loss")) + (GETPIVOTDATA("Result",Seat_Order_Pivot!$A$3,"Seat",4,"Result","Draw")))</f>
        <v>114</v>
      </c>
      <c r="F14" t="s">
        <v>63</v>
      </c>
      <c r="G14" s="4">
        <f>1-G11-G12-G13-G10</f>
        <v>0.1638795986622073</v>
      </c>
    </row>
    <row r="15" spans="2:7" x14ac:dyDescent="0.25">
      <c r="B15" t="s">
        <v>73</v>
      </c>
      <c r="C15">
        <f>C13-C14-C16</f>
        <v>299</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v>57</v>
      </c>
      <c r="C3">
        <v>255</v>
      </c>
      <c r="D3">
        <v>132</v>
      </c>
      <c r="E3">
        <v>444</v>
      </c>
    </row>
    <row r="4" spans="1:5" x14ac:dyDescent="0.25">
      <c r="A4" s="3">
        <v>2</v>
      </c>
      <c r="B4">
        <v>57</v>
      </c>
      <c r="C4">
        <v>279</v>
      </c>
      <c r="D4">
        <v>108</v>
      </c>
      <c r="E4">
        <v>444</v>
      </c>
    </row>
    <row r="5" spans="1:5" x14ac:dyDescent="0.25">
      <c r="A5" s="3">
        <v>3</v>
      </c>
      <c r="B5">
        <v>57</v>
      </c>
      <c r="C5">
        <v>299</v>
      </c>
      <c r="D5">
        <v>88</v>
      </c>
      <c r="E5">
        <v>444</v>
      </c>
    </row>
    <row r="6" spans="1:5" x14ac:dyDescent="0.25">
      <c r="A6" s="3">
        <v>4</v>
      </c>
      <c r="B6">
        <v>51</v>
      </c>
      <c r="C6">
        <v>226</v>
      </c>
      <c r="D6">
        <v>53</v>
      </c>
      <c r="E6">
        <v>330</v>
      </c>
    </row>
    <row r="7" spans="1:5" x14ac:dyDescent="0.25">
      <c r="A7" s="3">
        <v>5</v>
      </c>
      <c r="B7">
        <v>2</v>
      </c>
      <c r="C7">
        <v>23</v>
      </c>
      <c r="D7">
        <v>6</v>
      </c>
      <c r="E7">
        <v>31</v>
      </c>
    </row>
    <row r="8" spans="1:5" x14ac:dyDescent="0.25">
      <c r="A8" s="3" t="s">
        <v>66</v>
      </c>
      <c r="C8">
        <v>18</v>
      </c>
      <c r="D8">
        <v>6</v>
      </c>
      <c r="E8">
        <v>24</v>
      </c>
    </row>
    <row r="9" spans="1:5" x14ac:dyDescent="0.25">
      <c r="A9" s="3" t="s">
        <v>24</v>
      </c>
      <c r="B9">
        <v>224</v>
      </c>
      <c r="C9">
        <v>1100</v>
      </c>
      <c r="D9">
        <v>393</v>
      </c>
      <c r="E9">
        <v>1717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53"/>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v>12</v>
      </c>
      <c r="C7">
        <v>4</v>
      </c>
      <c r="D7">
        <v>6</v>
      </c>
    </row>
    <row r="8" spans="1:4" x14ac:dyDescent="0.25">
      <c r="A8" s="3" t="s">
        <v>19</v>
      </c>
      <c r="B8">
        <v>8</v>
      </c>
      <c r="C8">
        <v>7</v>
      </c>
      <c r="D8">
        <v>3</v>
      </c>
    </row>
    <row r="9" spans="1:4" x14ac:dyDescent="0.25">
      <c r="A9" s="3" t="s">
        <v>13</v>
      </c>
      <c r="B9">
        <v>8</v>
      </c>
      <c r="C9">
        <v>6</v>
      </c>
      <c r="D9">
        <v>4</v>
      </c>
    </row>
    <row r="10" spans="1:4" x14ac:dyDescent="0.25">
      <c r="A10" s="3" t="s">
        <v>10</v>
      </c>
      <c r="B10">
        <v>13</v>
      </c>
      <c r="C10">
        <v>2</v>
      </c>
      <c r="D10">
        <v>5</v>
      </c>
    </row>
    <row r="11" spans="1:4" x14ac:dyDescent="0.25">
      <c r="A11" s="3" t="s">
        <v>7</v>
      </c>
      <c r="B11">
        <v>8</v>
      </c>
      <c r="C11">
        <v>7</v>
      </c>
      <c r="D11">
        <v>7</v>
      </c>
    </row>
    <row r="12" spans="1:4" x14ac:dyDescent="0.25">
      <c r="A12" s="3" t="s">
        <v>20</v>
      </c>
      <c r="B12">
        <v>5</v>
      </c>
      <c r="C12">
        <v>1</v>
      </c>
      <c r="D12">
        <v>6</v>
      </c>
    </row>
    <row r="13" spans="1:4" x14ac:dyDescent="0.25">
      <c r="A13" s="3" t="s">
        <v>15</v>
      </c>
      <c r="B13">
        <v>1</v>
      </c>
      <c r="D13">
        <v>1</v>
      </c>
    </row>
    <row r="14" spans="1:4" x14ac:dyDescent="0.25">
      <c r="A14" s="3" t="s">
        <v>11</v>
      </c>
      <c r="B14">
        <v>4</v>
      </c>
      <c r="C14">
        <v>7</v>
      </c>
      <c r="D14">
        <v>3</v>
      </c>
    </row>
    <row r="15" spans="1:4" x14ac:dyDescent="0.25">
      <c r="A15" s="3" t="s">
        <v>9</v>
      </c>
      <c r="B15">
        <v>7</v>
      </c>
      <c r="C15">
        <v>3</v>
      </c>
      <c r="D15">
        <v>4</v>
      </c>
    </row>
    <row r="16" spans="1:4" x14ac:dyDescent="0.25">
      <c r="A16" s="3" t="s">
        <v>17</v>
      </c>
      <c r="B16">
        <v>9</v>
      </c>
      <c r="C16">
        <v>3</v>
      </c>
      <c r="D16">
        <v>6</v>
      </c>
    </row>
    <row r="17" spans="1:4" x14ac:dyDescent="0.25">
      <c r="A17" s="3" t="s">
        <v>30</v>
      </c>
      <c r="B17">
        <v>3</v>
      </c>
      <c r="D17">
        <v>1</v>
      </c>
    </row>
    <row r="18" spans="1:4" x14ac:dyDescent="0.25">
      <c r="A18" s="3" t="s">
        <v>28</v>
      </c>
      <c r="B18">
        <v>7</v>
      </c>
      <c r="C18">
        <v>1</v>
      </c>
      <c r="D18">
        <v>2</v>
      </c>
    </row>
    <row r="19" spans="1:4" x14ac:dyDescent="0.25">
      <c r="A19" s="3" t="s">
        <v>27</v>
      </c>
      <c r="B19">
        <v>2</v>
      </c>
      <c r="D19">
        <v>2</v>
      </c>
    </row>
    <row r="20" spans="1:4" x14ac:dyDescent="0.25">
      <c r="A20" s="3" t="s">
        <v>41</v>
      </c>
      <c r="B20">
        <v>12</v>
      </c>
      <c r="C20">
        <v>4</v>
      </c>
      <c r="D20">
        <v>2</v>
      </c>
    </row>
    <row r="21" spans="1:4" x14ac:dyDescent="0.25">
      <c r="A21" s="3" t="s">
        <v>51</v>
      </c>
      <c r="B21">
        <v>9</v>
      </c>
      <c r="C21">
        <v>2</v>
      </c>
      <c r="D21">
        <v>5</v>
      </c>
    </row>
    <row r="22" spans="1:4" x14ac:dyDescent="0.25">
      <c r="A22" s="3" t="s">
        <v>52</v>
      </c>
      <c r="B22">
        <v>13</v>
      </c>
      <c r="C22">
        <v>2</v>
      </c>
      <c r="D22">
        <v>1</v>
      </c>
    </row>
    <row r="23" spans="1:4" x14ac:dyDescent="0.25">
      <c r="A23" s="3" t="s">
        <v>352</v>
      </c>
      <c r="B23">
        <v>11</v>
      </c>
      <c r="C23">
        <v>6</v>
      </c>
      <c r="D23">
        <v>5</v>
      </c>
    </row>
    <row r="24" spans="1:4" x14ac:dyDescent="0.25">
      <c r="A24" s="3" t="s">
        <v>59</v>
      </c>
      <c r="B24">
        <v>2</v>
      </c>
    </row>
    <row r="25" spans="1:4" x14ac:dyDescent="0.25">
      <c r="A25" s="3" t="s">
        <v>436</v>
      </c>
      <c r="B25">
        <v>4</v>
      </c>
      <c r="C25">
        <v>4</v>
      </c>
      <c r="D25">
        <v>2</v>
      </c>
    </row>
    <row r="26" spans="1:4" x14ac:dyDescent="0.25">
      <c r="A26" s="3" t="s">
        <v>322</v>
      </c>
      <c r="B26">
        <v>1</v>
      </c>
      <c r="C26">
        <v>1</v>
      </c>
    </row>
    <row r="27" spans="1:4" x14ac:dyDescent="0.25">
      <c r="A27" s="3" t="s">
        <v>325</v>
      </c>
      <c r="B27">
        <v>4</v>
      </c>
      <c r="C27">
        <v>3</v>
      </c>
      <c r="D27">
        <v>1</v>
      </c>
    </row>
    <row r="28" spans="1:4" x14ac:dyDescent="0.25">
      <c r="A28" s="3" t="s">
        <v>326</v>
      </c>
      <c r="B28">
        <v>2</v>
      </c>
      <c r="C28">
        <v>3</v>
      </c>
      <c r="D28">
        <v>1</v>
      </c>
    </row>
    <row r="29" spans="1:4" x14ac:dyDescent="0.25">
      <c r="A29" s="3" t="s">
        <v>351</v>
      </c>
      <c r="B29">
        <v>9</v>
      </c>
      <c r="C29">
        <v>3</v>
      </c>
      <c r="D29">
        <v>4</v>
      </c>
    </row>
    <row r="30" spans="1:4" x14ac:dyDescent="0.25">
      <c r="A30" s="3" t="s">
        <v>364</v>
      </c>
      <c r="B30">
        <v>3</v>
      </c>
      <c r="C30">
        <v>1</v>
      </c>
      <c r="D30">
        <v>2</v>
      </c>
    </row>
    <row r="31" spans="1:4" x14ac:dyDescent="0.25">
      <c r="A31" s="3" t="s">
        <v>363</v>
      </c>
      <c r="B31">
        <v>11</v>
      </c>
      <c r="D31">
        <v>7</v>
      </c>
    </row>
    <row r="32" spans="1:4" x14ac:dyDescent="0.25">
      <c r="A32" s="3" t="s">
        <v>365</v>
      </c>
      <c r="B32">
        <v>2</v>
      </c>
    </row>
    <row r="33" spans="1:4" x14ac:dyDescent="0.25">
      <c r="A33" s="3" t="s">
        <v>402</v>
      </c>
      <c r="B33">
        <v>2</v>
      </c>
      <c r="C33">
        <v>1</v>
      </c>
      <c r="D33">
        <v>3</v>
      </c>
    </row>
    <row r="34" spans="1:4" x14ac:dyDescent="0.25">
      <c r="A34" s="3" t="s">
        <v>405</v>
      </c>
      <c r="B34">
        <v>9</v>
      </c>
      <c r="C34">
        <v>5</v>
      </c>
      <c r="D34">
        <v>4</v>
      </c>
    </row>
    <row r="35" spans="1:4" x14ac:dyDescent="0.25">
      <c r="A35" s="3" t="s">
        <v>435</v>
      </c>
      <c r="B35">
        <v>3</v>
      </c>
      <c r="D35">
        <v>1</v>
      </c>
    </row>
    <row r="36" spans="1:4" x14ac:dyDescent="0.25">
      <c r="A36" s="3" t="s">
        <v>434</v>
      </c>
      <c r="C36">
        <v>2</v>
      </c>
    </row>
    <row r="37" spans="1:4" x14ac:dyDescent="0.25">
      <c r="A37" s="3" t="s">
        <v>433</v>
      </c>
      <c r="B37">
        <v>7</v>
      </c>
      <c r="D37">
        <v>1</v>
      </c>
    </row>
    <row r="38" spans="1:4" x14ac:dyDescent="0.25">
      <c r="A38" s="3" t="s">
        <v>438</v>
      </c>
      <c r="B38">
        <v>2</v>
      </c>
    </row>
    <row r="39" spans="1:4" x14ac:dyDescent="0.25">
      <c r="A39" s="3" t="s">
        <v>463</v>
      </c>
      <c r="B39">
        <v>2</v>
      </c>
    </row>
    <row r="40" spans="1:4" x14ac:dyDescent="0.25">
      <c r="A40" s="3" t="s">
        <v>464</v>
      </c>
      <c r="B40">
        <v>2</v>
      </c>
    </row>
    <row r="41" spans="1:4" x14ac:dyDescent="0.25">
      <c r="A41" s="3" t="s">
        <v>465</v>
      </c>
      <c r="B41">
        <v>5</v>
      </c>
      <c r="C41">
        <v>3</v>
      </c>
      <c r="D41">
        <v>2</v>
      </c>
    </row>
    <row r="42" spans="1:4" x14ac:dyDescent="0.25">
      <c r="A42" s="3" t="s">
        <v>478</v>
      </c>
      <c r="B42">
        <v>1</v>
      </c>
      <c r="D42">
        <v>1</v>
      </c>
    </row>
    <row r="43" spans="1:4" x14ac:dyDescent="0.25">
      <c r="A43" s="3" t="s">
        <v>519</v>
      </c>
      <c r="B43">
        <v>4</v>
      </c>
      <c r="C43">
        <v>3</v>
      </c>
      <c r="D43">
        <v>1</v>
      </c>
    </row>
    <row r="44" spans="1:4" x14ac:dyDescent="0.25">
      <c r="A44" s="3" t="s">
        <v>539</v>
      </c>
      <c r="D44">
        <v>1</v>
      </c>
    </row>
    <row r="45" spans="1:4" x14ac:dyDescent="0.25">
      <c r="A45" s="3" t="s">
        <v>541</v>
      </c>
      <c r="B45">
        <v>2</v>
      </c>
      <c r="C45">
        <v>1</v>
      </c>
      <c r="D45">
        <v>1</v>
      </c>
    </row>
    <row r="46" spans="1:4" x14ac:dyDescent="0.25">
      <c r="A46" s="3" t="s">
        <v>553</v>
      </c>
      <c r="D46">
        <v>1</v>
      </c>
    </row>
    <row r="47" spans="1:4" x14ac:dyDescent="0.25">
      <c r="A47" s="3" t="s">
        <v>554</v>
      </c>
      <c r="B47">
        <v>2</v>
      </c>
    </row>
    <row r="48" spans="1:4" x14ac:dyDescent="0.25">
      <c r="A48" s="3" t="s">
        <v>555</v>
      </c>
      <c r="B48">
        <v>2</v>
      </c>
    </row>
    <row r="49" spans="1:4" x14ac:dyDescent="0.25">
      <c r="A49" s="3" t="s">
        <v>556</v>
      </c>
      <c r="B49">
        <v>1</v>
      </c>
      <c r="C49">
        <v>1</v>
      </c>
    </row>
    <row r="50" spans="1:4" x14ac:dyDescent="0.25">
      <c r="A50" s="3" t="s">
        <v>569</v>
      </c>
      <c r="B50">
        <v>2</v>
      </c>
    </row>
    <row r="51" spans="1:4" x14ac:dyDescent="0.25">
      <c r="A51" s="3" t="s">
        <v>580</v>
      </c>
      <c r="B51">
        <v>2</v>
      </c>
    </row>
    <row r="52" spans="1:4" x14ac:dyDescent="0.25">
      <c r="A52" s="3" t="s">
        <v>581</v>
      </c>
      <c r="B52">
        <v>2</v>
      </c>
    </row>
    <row r="53" spans="1:4" x14ac:dyDescent="0.25">
      <c r="A53" s="3" t="s">
        <v>24</v>
      </c>
      <c r="B53">
        <v>220</v>
      </c>
      <c r="C53">
        <v>86</v>
      </c>
      <c r="D53">
        <v>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59"/>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v>19</v>
      </c>
      <c r="C4">
        <v>9</v>
      </c>
      <c r="D4">
        <v>1</v>
      </c>
      <c r="E4" s="4">
        <f t="shared" ref="E4:E41" si="0">IFERROR(C4/B4, "")</f>
        <v>0.47368421052631576</v>
      </c>
      <c r="F4" s="4">
        <f t="shared" ref="F4:F41" si="1">IFERROR(D4/B4, "")</f>
        <v>5.2631578947368418E-2</v>
      </c>
      <c r="G4" s="4">
        <f>IFERROR(1-Table5[[#This Row],[Loss % Against]]-Table5[[#This Row],[Win% Against]],"")</f>
        <v>0.47368421052631587</v>
      </c>
      <c r="H4" s="16">
        <f>IFERROR(IF(B4=0,"",
 IF(Table5[[#This Row],[Win% Against]] &gt; Table5[[#This Row],[Loss % Against]], 1,
 IF(Table5[[#This Row],[Win% Against]] &lt; Table5[[#This Row],[Loss % Against]], -1, 0))), "")</f>
        <v>1</v>
      </c>
    </row>
    <row r="5" spans="1:8" x14ac:dyDescent="0.25">
      <c r="A5" s="3" t="s">
        <v>14</v>
      </c>
      <c r="B5">
        <v>14</v>
      </c>
      <c r="C5">
        <v>6</v>
      </c>
      <c r="D5">
        <v>3</v>
      </c>
      <c r="E5" s="4">
        <f t="shared" si="0"/>
        <v>0.42857142857142855</v>
      </c>
      <c r="F5" s="4">
        <f t="shared" si="1"/>
        <v>0.21428571428571427</v>
      </c>
      <c r="G5" s="4">
        <f>IFERROR(1-Table5[[#This Row],[Loss % Against]]-Table5[[#This Row],[Win% Against]],"")</f>
        <v>0.35714285714285715</v>
      </c>
      <c r="H5" s="16">
        <f>IFERROR(IF(B5=0,"",
 IF(Table5[[#This Row],[Win% Against]] &gt; Table5[[#This Row],[Loss % Against]], 1,
 IF(Table5[[#This Row],[Win% Against]] &lt; Table5[[#This Row],[Loss % Against]], -1, 0))), "")</f>
        <v>1</v>
      </c>
    </row>
    <row r="6" spans="1:8" x14ac:dyDescent="0.25">
      <c r="A6" s="3" t="s">
        <v>28</v>
      </c>
      <c r="B6">
        <v>14</v>
      </c>
      <c r="C6">
        <v>6</v>
      </c>
      <c r="D6">
        <v>2</v>
      </c>
      <c r="E6" s="4">
        <f t="shared" si="0"/>
        <v>0.42857142857142855</v>
      </c>
      <c r="F6" s="4">
        <f t="shared" si="1"/>
        <v>0.14285714285714285</v>
      </c>
      <c r="G6" s="4">
        <f>IFERROR(1-Table5[[#This Row],[Loss % Against]]-Table5[[#This Row],[Win% Against]],"")</f>
        <v>0.42857142857142866</v>
      </c>
      <c r="H6" s="16">
        <f>IFERROR(IF(B6=0,"",
 IF(Table5[[#This Row],[Win% Against]] &gt; Table5[[#This Row],[Loss % Against]], 1,
 IF(Table5[[#This Row],[Win% Against]] &lt; Table5[[#This Row],[Loss % Against]], -1, 0))), "")</f>
        <v>1</v>
      </c>
    </row>
    <row r="7" spans="1:8" x14ac:dyDescent="0.25">
      <c r="A7" s="3" t="s">
        <v>352</v>
      </c>
      <c r="B7">
        <v>13</v>
      </c>
      <c r="C7">
        <v>5</v>
      </c>
      <c r="D7">
        <v>5</v>
      </c>
      <c r="E7" s="4">
        <f t="shared" si="0"/>
        <v>0.38461538461538464</v>
      </c>
      <c r="F7" s="4">
        <f t="shared" si="1"/>
        <v>0.38461538461538464</v>
      </c>
      <c r="G7" s="4">
        <f>IFERROR(1-Table5[[#This Row],[Loss % Against]]-Table5[[#This Row],[Win% Against]],"")</f>
        <v>0.23076923076923078</v>
      </c>
      <c r="H7" s="16">
        <f>IFERROR(IF(B7=0,"",
 IF(Table5[[#This Row],[Win% Against]] &gt; Table5[[#This Row],[Loss % Against]], 1,
 IF(Table5[[#This Row],[Win% Against]] &lt; Table5[[#This Row],[Loss % Against]], -1, 0))), "")</f>
        <v>0</v>
      </c>
    </row>
    <row r="8" spans="1:8" x14ac:dyDescent="0.25">
      <c r="A8" s="3" t="s">
        <v>10</v>
      </c>
      <c r="B8">
        <v>13</v>
      </c>
      <c r="C8">
        <v>5</v>
      </c>
      <c r="D8">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15</v>
      </c>
      <c r="B9">
        <v>12</v>
      </c>
      <c r="C9">
        <v>5</v>
      </c>
      <c r="D9">
        <v>2</v>
      </c>
      <c r="E9" s="4">
        <f t="shared" si="0"/>
        <v>0.41666666666666669</v>
      </c>
      <c r="F9" s="4">
        <f t="shared" si="1"/>
        <v>0.16666666666666666</v>
      </c>
      <c r="G9" s="4">
        <f>IFERROR(1-Table5[[#This Row],[Loss % Against]]-Table5[[#This Row],[Win% Against]],"")</f>
        <v>0.41666666666666669</v>
      </c>
      <c r="H9" s="16">
        <f>IFERROR(IF(B9=0,"",
 IF(Table5[[#This Row],[Win% Against]] &gt; Table5[[#This Row],[Loss % Against]], 1,
 IF(Table5[[#This Row],[Win% Against]] &lt; Table5[[#This Row],[Loss % Against]], -1, 0))), "")</f>
        <v>1</v>
      </c>
    </row>
    <row r="10" spans="1:8" x14ac:dyDescent="0.25">
      <c r="A10" s="3" t="s">
        <v>20</v>
      </c>
      <c r="B10">
        <v>12</v>
      </c>
      <c r="C10">
        <v>5</v>
      </c>
      <c r="D10">
        <v>0</v>
      </c>
      <c r="E10" s="4">
        <f t="shared" si="0"/>
        <v>0.41666666666666669</v>
      </c>
      <c r="F10" s="4">
        <f t="shared" si="1"/>
        <v>0</v>
      </c>
      <c r="G10" s="4">
        <f>IFERROR(1-Table5[[#This Row],[Loss % Against]]-Table5[[#This Row],[Win% Against]],"")</f>
        <v>0.58333333333333326</v>
      </c>
      <c r="H10" s="16">
        <f>IFERROR(IF(B10=0,"",
 IF(Table5[[#This Row],[Win% Against]] &gt; Table5[[#This Row],[Loss % Against]], 1,
 IF(Table5[[#This Row],[Win% Against]] &lt; Table5[[#This Row],[Loss % Against]], -1, 0))), "")</f>
        <v>1</v>
      </c>
    </row>
    <row r="11" spans="1:8" x14ac:dyDescent="0.25">
      <c r="A11" s="3" t="s">
        <v>41</v>
      </c>
      <c r="B11">
        <v>12</v>
      </c>
      <c r="C11">
        <v>8</v>
      </c>
      <c r="D11">
        <v>3</v>
      </c>
      <c r="E11" s="4">
        <f t="shared" si="0"/>
        <v>0.66666666666666663</v>
      </c>
      <c r="F11" s="4">
        <f t="shared" si="1"/>
        <v>0.25</v>
      </c>
      <c r="G11" s="4">
        <f>IFERROR(1-Table5[[#This Row],[Loss % Against]]-Table5[[#This Row],[Win% Against]],"")</f>
        <v>8.333333333333337E-2</v>
      </c>
      <c r="H11" s="16">
        <f>IFERROR(IF(B11=0,"",
 IF(Table5[[#This Row],[Win% Against]] &gt; Table5[[#This Row],[Loss % Against]], 1,
 IF(Table5[[#This Row],[Win% Against]] &lt; Table5[[#This Row],[Loss % Against]], -1, 0))), "")</f>
        <v>1</v>
      </c>
    </row>
    <row r="12" spans="1:8" x14ac:dyDescent="0.25">
      <c r="A12" s="3" t="s">
        <v>17</v>
      </c>
      <c r="B12">
        <v>11</v>
      </c>
      <c r="C12">
        <v>5</v>
      </c>
      <c r="D12">
        <v>2</v>
      </c>
      <c r="E12" s="4">
        <f t="shared" si="0"/>
        <v>0.45454545454545453</v>
      </c>
      <c r="F12" s="4">
        <f t="shared" si="1"/>
        <v>0.18181818181818182</v>
      </c>
      <c r="G12" s="4">
        <f>IFERROR(1-Table5[[#This Row],[Loss % Against]]-Table5[[#This Row],[Win% Against]],"")</f>
        <v>0.36363636363636359</v>
      </c>
      <c r="H12" s="16">
        <f>IFERROR(IF(B12=0,"",
 IF(Table5[[#This Row],[Win% Against]] &gt; Table5[[#This Row],[Loss % Against]], 1,
 IF(Table5[[#This Row],[Win% Against]] &lt; Table5[[#This Row],[Loss % Against]], -1, 0))), "")</f>
        <v>1</v>
      </c>
    </row>
    <row r="13" spans="1:8" x14ac:dyDescent="0.25">
      <c r="A13" s="3" t="s">
        <v>19</v>
      </c>
      <c r="B13">
        <v>11</v>
      </c>
      <c r="C13">
        <v>4</v>
      </c>
      <c r="D13">
        <v>3</v>
      </c>
      <c r="E13" s="4">
        <f t="shared" si="0"/>
        <v>0.36363636363636365</v>
      </c>
      <c r="F13" s="4">
        <f t="shared" si="1"/>
        <v>0.27272727272727271</v>
      </c>
      <c r="G13" s="4">
        <f>IFERROR(1-Table5[[#This Row],[Loss % Against]]-Table5[[#This Row],[Win% Against]],"")</f>
        <v>0.36363636363636365</v>
      </c>
      <c r="H13" s="16">
        <f>IFERROR(IF(B13=0,"",
 IF(Table5[[#This Row],[Win% Against]] &gt; Table5[[#This Row],[Loss % Against]], 1,
 IF(Table5[[#This Row],[Win% Against]] &lt; Table5[[#This Row],[Loss % Against]], -1, 0))), "")</f>
        <v>1</v>
      </c>
    </row>
    <row r="14" spans="1:8" x14ac:dyDescent="0.25">
      <c r="A14" s="3" t="s">
        <v>13</v>
      </c>
      <c r="B14">
        <v>11</v>
      </c>
      <c r="C14">
        <v>3</v>
      </c>
      <c r="D14">
        <v>1</v>
      </c>
      <c r="E14" s="4">
        <f t="shared" si="0"/>
        <v>0.27272727272727271</v>
      </c>
      <c r="F14" s="4">
        <f t="shared" si="1"/>
        <v>9.0909090909090912E-2</v>
      </c>
      <c r="G14" s="4">
        <f>IFERROR(1-Table5[[#This Row],[Loss % Against]]-Table5[[#This Row],[Win% Against]],"")</f>
        <v>0.63636363636363635</v>
      </c>
      <c r="H14" s="16">
        <f>IFERROR(IF(B14=0,"",
 IF(Table5[[#This Row],[Win% Against]] &gt; Table5[[#This Row],[Loss % Against]], 1,
 IF(Table5[[#This Row],[Win% Against]] &lt; Table5[[#This Row],[Loss % Against]], -1, 0))), "")</f>
        <v>1</v>
      </c>
    </row>
    <row r="15" spans="1:8" x14ac:dyDescent="0.25">
      <c r="A15" s="3" t="s">
        <v>52</v>
      </c>
      <c r="B15">
        <v>10</v>
      </c>
      <c r="C15">
        <v>5</v>
      </c>
      <c r="D15">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436</v>
      </c>
      <c r="B16">
        <v>9</v>
      </c>
      <c r="C16">
        <v>2</v>
      </c>
      <c r="D16">
        <v>0</v>
      </c>
      <c r="E16" s="4">
        <f t="shared" si="0"/>
        <v>0.22222222222222221</v>
      </c>
      <c r="F16" s="4">
        <f t="shared" si="1"/>
        <v>0</v>
      </c>
      <c r="G16" s="4">
        <f>IFERROR(1-Table5[[#This Row],[Loss % Against]]-Table5[[#This Row],[Win% Against]],"")</f>
        <v>0.77777777777777779</v>
      </c>
      <c r="H16" s="16">
        <f>IFERROR(IF(B16=0,"",
 IF(Table5[[#This Row],[Win% Against]] &gt; Table5[[#This Row],[Loss % Against]], 1,
 IF(Table5[[#This Row],[Win% Against]] &lt; Table5[[#This Row],[Loss % Against]], -1, 0))), "")</f>
        <v>1</v>
      </c>
    </row>
    <row r="17" spans="1:8" x14ac:dyDescent="0.25">
      <c r="A17" s="3" t="s">
        <v>321</v>
      </c>
      <c r="B17">
        <v>7</v>
      </c>
      <c r="C17">
        <v>2</v>
      </c>
      <c r="D17">
        <v>0</v>
      </c>
      <c r="E17" s="4">
        <f t="shared" si="0"/>
        <v>0.2857142857142857</v>
      </c>
      <c r="F17" s="4">
        <f t="shared" si="1"/>
        <v>0</v>
      </c>
      <c r="G17" s="4">
        <f>IFERROR(1-Table5[[#This Row],[Loss % Against]]-Table5[[#This Row],[Win% Against]],"")</f>
        <v>0.7142857142857143</v>
      </c>
      <c r="H17" s="16">
        <f>IFERROR(IF(B17=0,"",
 IF(Table5[[#This Row],[Win% Against]] &gt; Table5[[#This Row],[Loss % Against]], 1,
 IF(Table5[[#This Row],[Win% Against]] &lt; Table5[[#This Row],[Loss % Against]], -1, 0))), "")</f>
        <v>1</v>
      </c>
    </row>
    <row r="18" spans="1:8" x14ac:dyDescent="0.25">
      <c r="A18" s="3" t="s">
        <v>27</v>
      </c>
      <c r="B18">
        <v>6</v>
      </c>
      <c r="C18">
        <v>2</v>
      </c>
      <c r="D18">
        <v>0</v>
      </c>
      <c r="E18" s="4">
        <f t="shared" si="0"/>
        <v>0.33333333333333331</v>
      </c>
      <c r="F18" s="4">
        <f t="shared" si="1"/>
        <v>0</v>
      </c>
      <c r="G18" s="4">
        <f>IFERROR(1-Table5[[#This Row],[Loss % Against]]-Table5[[#This Row],[Win% Against]],"")</f>
        <v>0.66666666666666674</v>
      </c>
      <c r="H18" s="16">
        <f>IFERROR(IF(B18=0,"",
 IF(Table5[[#This Row],[Win% Against]] &gt; Table5[[#This Row],[Loss % Against]], 1,
 IF(Table5[[#This Row],[Win% Against]] &lt; Table5[[#This Row],[Loss % Against]], -1, 0))), "")</f>
        <v>1</v>
      </c>
    </row>
    <row r="19" spans="1:8" x14ac:dyDescent="0.25">
      <c r="A19" s="3" t="s">
        <v>351</v>
      </c>
      <c r="B19">
        <v>6</v>
      </c>
      <c r="C19">
        <v>3</v>
      </c>
      <c r="D19">
        <v>1</v>
      </c>
      <c r="E19" s="4">
        <f t="shared" si="0"/>
        <v>0.5</v>
      </c>
      <c r="F19" s="4">
        <f t="shared" si="1"/>
        <v>0.16666666666666666</v>
      </c>
      <c r="G19" s="4">
        <f>IFERROR(1-Table5[[#This Row],[Loss % Against]]-Table5[[#This Row],[Win% Against]],"")</f>
        <v>0.33333333333333337</v>
      </c>
      <c r="H19" s="16">
        <f>IFERROR(IF(B19=0,"",
 IF(Table5[[#This Row],[Win% Against]] &gt; Table5[[#This Row],[Loss % Against]], 1,
 IF(Table5[[#This Row],[Win% Against]] &lt; Table5[[#This Row],[Loss % Against]], -1, 0))), "")</f>
        <v>1</v>
      </c>
    </row>
    <row r="20" spans="1:8" x14ac:dyDescent="0.25">
      <c r="A20" s="3" t="s">
        <v>51</v>
      </c>
      <c r="B20">
        <v>6</v>
      </c>
      <c r="C20">
        <v>3</v>
      </c>
      <c r="D20">
        <v>0</v>
      </c>
      <c r="E20" s="4">
        <f t="shared" si="0"/>
        <v>0.5</v>
      </c>
      <c r="F20" s="4">
        <f t="shared" si="1"/>
        <v>0</v>
      </c>
      <c r="G20" s="4">
        <f>IFERROR(1-Table5[[#This Row],[Loss % Against]]-Table5[[#This Row],[Win% Against]],"")</f>
        <v>0.5</v>
      </c>
      <c r="H20" s="16">
        <f>IFERROR(IF(B20=0,"",
 IF(Table5[[#This Row],[Win% Against]] &gt; Table5[[#This Row],[Loss % Against]], 1,
 IF(Table5[[#This Row],[Win% Against]] &lt; Table5[[#This Row],[Loss % Against]], -1, 0))), "")</f>
        <v>1</v>
      </c>
    </row>
    <row r="21" spans="1:8" x14ac:dyDescent="0.25">
      <c r="A21" s="3" t="s">
        <v>11</v>
      </c>
      <c r="B21">
        <v>6</v>
      </c>
      <c r="C21">
        <v>3</v>
      </c>
      <c r="D21">
        <v>2</v>
      </c>
      <c r="E21" s="4">
        <f t="shared" si="0"/>
        <v>0.5</v>
      </c>
      <c r="F21" s="4">
        <f t="shared" si="1"/>
        <v>0.33333333333333331</v>
      </c>
      <c r="G21" s="4">
        <f>IFERROR(1-Table5[[#This Row],[Loss % Against]]-Table5[[#This Row],[Win% Against]],"")</f>
        <v>0.16666666666666674</v>
      </c>
      <c r="H21" s="16">
        <f>IFERROR(IF(B21=0,"",
 IF(Table5[[#This Row],[Win% Against]] &gt; Table5[[#This Row],[Loss % Against]], 1,
 IF(Table5[[#This Row],[Win% Against]] &lt; Table5[[#This Row],[Loss % Against]], -1, 0))), "")</f>
        <v>1</v>
      </c>
    </row>
    <row r="22" spans="1:8" x14ac:dyDescent="0.25">
      <c r="A22" s="3" t="s">
        <v>12</v>
      </c>
      <c r="B22">
        <v>5</v>
      </c>
      <c r="C22">
        <v>2</v>
      </c>
      <c r="D22">
        <v>1</v>
      </c>
      <c r="E22" s="4">
        <f t="shared" si="0"/>
        <v>0.4</v>
      </c>
      <c r="F22" s="4">
        <f t="shared" si="1"/>
        <v>0.2</v>
      </c>
      <c r="G22" s="4">
        <f>IFERROR(1-Table5[[#This Row],[Loss % Against]]-Table5[[#This Row],[Win% Against]],"")</f>
        <v>0.4</v>
      </c>
      <c r="H22" s="16">
        <f>IFERROR(IF(B22=0,"",
 IF(Table5[[#This Row],[Win% Against]] &gt; Table5[[#This Row],[Loss % Against]], 1,
 IF(Table5[[#This Row],[Win% Against]] &lt; Table5[[#This Row],[Loss % Against]], -1, 0))), "")</f>
        <v>1</v>
      </c>
    </row>
    <row r="23" spans="1:8" x14ac:dyDescent="0.25">
      <c r="A23" s="3" t="s">
        <v>363</v>
      </c>
      <c r="B23">
        <v>4</v>
      </c>
      <c r="C23">
        <v>1</v>
      </c>
      <c r="D23">
        <v>0</v>
      </c>
      <c r="E23" s="4">
        <f t="shared" si="0"/>
        <v>0.25</v>
      </c>
      <c r="F23" s="4">
        <f t="shared" si="1"/>
        <v>0</v>
      </c>
      <c r="G23" s="4">
        <f>IFERROR(1-Table5[[#This Row],[Loss % Against]]-Table5[[#This Row],[Win% Against]],"")</f>
        <v>0.75</v>
      </c>
      <c r="H23" s="16">
        <f>IFERROR(IF(B23=0,"",
 IF(Table5[[#This Row],[Win% Against]] &gt; Table5[[#This Row],[Loss % Against]], 1,
 IF(Table5[[#This Row],[Win% Against]] &lt; Table5[[#This Row],[Loss % Against]], -1, 0))), "")</f>
        <v>1</v>
      </c>
    </row>
    <row r="24" spans="1:8" x14ac:dyDescent="0.25">
      <c r="A24" s="3" t="s">
        <v>405</v>
      </c>
      <c r="B24">
        <v>4</v>
      </c>
      <c r="C24">
        <v>1</v>
      </c>
      <c r="D24">
        <v>0</v>
      </c>
      <c r="E24" s="4">
        <f t="shared" si="0"/>
        <v>0.25</v>
      </c>
      <c r="F24" s="4">
        <f t="shared" si="1"/>
        <v>0</v>
      </c>
      <c r="G24" s="4">
        <f>IFERROR(1-Table5[[#This Row],[Loss % Against]]-Table5[[#This Row],[Win% Against]],"")</f>
        <v>0.75</v>
      </c>
      <c r="H24" s="16">
        <f>IFERROR(IF(B24=0,"",
 IF(Table5[[#This Row],[Win% Against]] &gt; Table5[[#This Row],[Loss % Against]], 1,
 IF(Table5[[#This Row],[Win% Against]] &lt; Table5[[#This Row],[Loss % Against]], -1, 0))), "")</f>
        <v>1</v>
      </c>
    </row>
    <row r="25" spans="1:8" x14ac:dyDescent="0.25">
      <c r="A25" s="3" t="s">
        <v>44</v>
      </c>
      <c r="B25">
        <v>4</v>
      </c>
      <c r="C25">
        <v>3</v>
      </c>
      <c r="D25">
        <v>0</v>
      </c>
      <c r="E25" s="4">
        <f t="shared" si="0"/>
        <v>0.75</v>
      </c>
      <c r="F25" s="4">
        <f t="shared" si="1"/>
        <v>0</v>
      </c>
      <c r="G25" s="4">
        <f>IFERROR(1-Table5[[#This Row],[Loss % Against]]-Table5[[#This Row],[Win% Against]],"")</f>
        <v>0.25</v>
      </c>
      <c r="H25" s="16">
        <f>IFERROR(IF(B25=0,"",
 IF(Table5[[#This Row],[Win% Against]] &gt; Table5[[#This Row],[Loss % Against]], 1,
 IF(Table5[[#This Row],[Win% Against]] &lt; Table5[[#This Row],[Loss % Against]], -1, 0))), "")</f>
        <v>1</v>
      </c>
    </row>
    <row r="26" spans="1:8" x14ac:dyDescent="0.25">
      <c r="A26" s="3" t="s">
        <v>22</v>
      </c>
      <c r="B26">
        <v>4</v>
      </c>
      <c r="C26">
        <v>1</v>
      </c>
      <c r="D26">
        <v>1</v>
      </c>
      <c r="E26" s="4">
        <f t="shared" si="0"/>
        <v>0.25</v>
      </c>
      <c r="F26" s="4">
        <f t="shared" si="1"/>
        <v>0.25</v>
      </c>
      <c r="G26" s="4">
        <f>IFERROR(1-Table5[[#This Row],[Loss % Against]]-Table5[[#This Row],[Win% Against]],"")</f>
        <v>0.5</v>
      </c>
      <c r="H26" s="16">
        <f>IFERROR(IF(B26=0,"",
 IF(Table5[[#This Row],[Win% Against]] &gt; Table5[[#This Row],[Loss % Against]], 1,
 IF(Table5[[#This Row],[Win% Against]] &lt; Table5[[#This Row],[Loss % Against]], -1, 0))), "")</f>
        <v>0</v>
      </c>
    </row>
    <row r="27" spans="1:8" x14ac:dyDescent="0.25">
      <c r="A27" s="3" t="s">
        <v>76</v>
      </c>
      <c r="B27">
        <v>4</v>
      </c>
      <c r="C27">
        <v>2</v>
      </c>
      <c r="D27">
        <v>0</v>
      </c>
      <c r="E27" s="4">
        <f t="shared" si="0"/>
        <v>0.5</v>
      </c>
      <c r="F27" s="4">
        <f t="shared" si="1"/>
        <v>0</v>
      </c>
      <c r="G27" s="4">
        <f>IFERROR(1-Table5[[#This Row],[Loss % Against]]-Table5[[#This Row],[Win% Against]],"")</f>
        <v>0.5</v>
      </c>
      <c r="H27" s="16">
        <f>IFERROR(IF(B27=0,"",
 IF(Table5[[#This Row],[Win% Against]] &gt; Table5[[#This Row],[Loss % Against]], 1,
 IF(Table5[[#This Row],[Win% Against]] &lt; Table5[[#This Row],[Loss % Against]], -1, 0))), "")</f>
        <v>1</v>
      </c>
    </row>
    <row r="28" spans="1:8" x14ac:dyDescent="0.25">
      <c r="A28" s="3" t="s">
        <v>364</v>
      </c>
      <c r="B28">
        <v>3</v>
      </c>
      <c r="C28">
        <v>0</v>
      </c>
      <c r="D28">
        <v>0</v>
      </c>
      <c r="E28" s="4">
        <f t="shared" si="0"/>
        <v>0</v>
      </c>
      <c r="F28" s="4">
        <f t="shared" si="1"/>
        <v>0</v>
      </c>
      <c r="G28" s="4">
        <f>IFERROR(1-Table5[[#This Row],[Loss % Against]]-Table5[[#This Row],[Win% Against]],"")</f>
        <v>1</v>
      </c>
      <c r="H28" s="16">
        <f>IFERROR(IF(B28=0,"",
 IF(Table5[[#This Row],[Win% Against]] &gt; Table5[[#This Row],[Loss % Against]], 1,
 IF(Table5[[#This Row],[Win% Against]] &lt; Table5[[#This Row],[Loss % Against]], -1, 0))), "")</f>
        <v>0</v>
      </c>
    </row>
    <row r="29" spans="1:8" x14ac:dyDescent="0.25">
      <c r="A29" s="3" t="s">
        <v>519</v>
      </c>
      <c r="B29">
        <v>3</v>
      </c>
      <c r="C29">
        <v>2</v>
      </c>
      <c r="D29">
        <v>0</v>
      </c>
      <c r="E29" s="4">
        <f t="shared" si="0"/>
        <v>0.66666666666666663</v>
      </c>
      <c r="F29" s="4">
        <f t="shared" si="1"/>
        <v>0</v>
      </c>
      <c r="G29" s="4">
        <f>IFERROR(1-Table5[[#This Row],[Loss % Against]]-Table5[[#This Row],[Win% Against]],"")</f>
        <v>0.33333333333333337</v>
      </c>
      <c r="H29" s="16">
        <f>IFERROR(IF(B29=0,"",
 IF(Table5[[#This Row],[Win% Against]] &gt; Table5[[#This Row],[Loss % Against]], 1,
 IF(Table5[[#This Row],[Win% Against]] &lt; Table5[[#This Row],[Loss % Against]], -1, 0))), "")</f>
        <v>1</v>
      </c>
    </row>
    <row r="30" spans="1:8" x14ac:dyDescent="0.25">
      <c r="A30" s="3" t="s">
        <v>30</v>
      </c>
      <c r="B30">
        <v>3</v>
      </c>
      <c r="C30">
        <v>1</v>
      </c>
      <c r="D30">
        <v>1</v>
      </c>
      <c r="E30" s="4">
        <f t="shared" si="0"/>
        <v>0.33333333333333331</v>
      </c>
      <c r="F30" s="4">
        <f t="shared" si="1"/>
        <v>0.33333333333333331</v>
      </c>
      <c r="G30" s="4">
        <f>IFERROR(1-Table5[[#This Row],[Loss % Against]]-Table5[[#This Row],[Win% Against]],"")</f>
        <v>0.33333333333333343</v>
      </c>
      <c r="H30" s="16">
        <f>IFERROR(IF(B30=0,"",
 IF(Table5[[#This Row],[Win% Against]] &gt; Table5[[#This Row],[Loss % Against]], 1,
 IF(Table5[[#This Row],[Win% Against]] &lt; Table5[[#This Row],[Loss % Against]], -1, 0))), "")</f>
        <v>0</v>
      </c>
    </row>
    <row r="31" spans="1:8" x14ac:dyDescent="0.25">
      <c r="A31" s="3" t="s">
        <v>57</v>
      </c>
      <c r="B31">
        <v>2</v>
      </c>
      <c r="C31">
        <v>0</v>
      </c>
      <c r="D31">
        <v>1</v>
      </c>
      <c r="E31" s="4">
        <f t="shared" si="0"/>
        <v>0</v>
      </c>
      <c r="F31" s="4">
        <f t="shared" si="1"/>
        <v>0.5</v>
      </c>
      <c r="G31" s="4">
        <f>IFERROR(1-Table5[[#This Row],[Loss % Against]]-Table5[[#This Row],[Win% Against]],"")</f>
        <v>0.5</v>
      </c>
      <c r="H31" s="16">
        <f>IFERROR(IF(B31=0,"",
 IF(Table5[[#This Row],[Win% Against]] &gt; Table5[[#This Row],[Loss % Against]], 1,
 IF(Table5[[#This Row],[Win% Against]] &lt; Table5[[#This Row],[Loss % Against]], -1, 0))), "")</f>
        <v>-1</v>
      </c>
    </row>
    <row r="32" spans="1:8" x14ac:dyDescent="0.25">
      <c r="A32" s="3" t="s">
        <v>326</v>
      </c>
      <c r="B32">
        <v>2</v>
      </c>
      <c r="C32">
        <v>2</v>
      </c>
      <c r="D32">
        <v>0</v>
      </c>
      <c r="E32" s="4">
        <f t="shared" si="0"/>
        <v>1</v>
      </c>
      <c r="F32" s="4">
        <f t="shared" si="1"/>
        <v>0</v>
      </c>
      <c r="G32" s="4">
        <f>IFERROR(1-Table5[[#This Row],[Loss % Against]]-Table5[[#This Row],[Win% Against]],"")</f>
        <v>0</v>
      </c>
      <c r="H32" s="16">
        <f>IFERROR(IF(B32=0,"",
 IF(Table5[[#This Row],[Win% Against]] &gt; Table5[[#This Row],[Loss % Against]], 1,
 IF(Table5[[#This Row],[Win% Against]] &lt; Table5[[#This Row],[Loss % Against]], -1, 0))), "")</f>
        <v>1</v>
      </c>
    </row>
    <row r="33" spans="1:8" x14ac:dyDescent="0.25">
      <c r="A33" s="3" t="s">
        <v>569</v>
      </c>
      <c r="B33">
        <v>2</v>
      </c>
      <c r="C33">
        <v>1</v>
      </c>
      <c r="D33">
        <v>1</v>
      </c>
      <c r="E33" s="4">
        <f t="shared" si="0"/>
        <v>0.5</v>
      </c>
      <c r="F33" s="4">
        <f t="shared" si="1"/>
        <v>0.5</v>
      </c>
      <c r="G33" s="4">
        <f>IFERROR(1-Table5[[#This Row],[Loss % Against]]-Table5[[#This Row],[Win% Against]],"")</f>
        <v>0</v>
      </c>
      <c r="H33" s="16">
        <f>IFERROR(IF(B33=0,"",
 IF(Table5[[#This Row],[Win% Against]] &gt; Table5[[#This Row],[Loss % Against]], 1,
 IF(Table5[[#This Row],[Win% Against]] &lt; Table5[[#This Row],[Loss % Against]], -1, 0))), "")</f>
        <v>0</v>
      </c>
    </row>
    <row r="34" spans="1:8" x14ac:dyDescent="0.25">
      <c r="A34" s="3" t="s">
        <v>56</v>
      </c>
      <c r="B34">
        <v>2</v>
      </c>
      <c r="C34">
        <v>2</v>
      </c>
      <c r="D34">
        <v>0</v>
      </c>
      <c r="E34" s="4">
        <f t="shared" si="0"/>
        <v>1</v>
      </c>
      <c r="F34" s="4">
        <f t="shared" si="1"/>
        <v>0</v>
      </c>
      <c r="G34" s="4">
        <f>IFERROR(1-Table5[[#This Row],[Loss % Against]]-Table5[[#This Row],[Win% Against]],"")</f>
        <v>0</v>
      </c>
      <c r="H34" s="16">
        <f>IFERROR(IF(B34=0,"",
 IF(Table5[[#This Row],[Win% Against]] &gt; Table5[[#This Row],[Loss % Against]], 1,
 IF(Table5[[#This Row],[Win% Against]] &lt; Table5[[#This Row],[Loss % Against]], -1, 0))), "")</f>
        <v>1</v>
      </c>
    </row>
    <row r="35" spans="1:8" x14ac:dyDescent="0.25">
      <c r="A35" s="3" t="s">
        <v>16</v>
      </c>
      <c r="B35">
        <v>2</v>
      </c>
      <c r="C35">
        <v>1</v>
      </c>
      <c r="D35">
        <v>0</v>
      </c>
      <c r="E35" s="4">
        <f t="shared" si="0"/>
        <v>0.5</v>
      </c>
      <c r="F35" s="4">
        <f t="shared" si="1"/>
        <v>0</v>
      </c>
      <c r="G35" s="4">
        <f>IFERROR(1-Table5[[#This Row],[Loss % Against]]-Table5[[#This Row],[Win% Against]],"")</f>
        <v>0.5</v>
      </c>
      <c r="H35" s="16">
        <f>IFERROR(IF(B35=0,"",
 IF(Table5[[#This Row],[Win% Against]] &gt; Table5[[#This Row],[Loss % Against]], 1,
 IF(Table5[[#This Row],[Win% Against]] &lt; Table5[[#This Row],[Loss % Against]], -1, 0))), "")</f>
        <v>1</v>
      </c>
    </row>
    <row r="36" spans="1:8" x14ac:dyDescent="0.25">
      <c r="A36" s="3" t="s">
        <v>18</v>
      </c>
      <c r="B36">
        <v>2</v>
      </c>
      <c r="C36">
        <v>0</v>
      </c>
      <c r="D36">
        <v>0</v>
      </c>
      <c r="E36" s="4">
        <f t="shared" si="0"/>
        <v>0</v>
      </c>
      <c r="F36" s="4">
        <f t="shared" si="1"/>
        <v>0</v>
      </c>
      <c r="G36" s="4">
        <f>IFERROR(1-Table5[[#This Row],[Loss % Against]]-Table5[[#This Row],[Win% Against]],"")</f>
        <v>1</v>
      </c>
      <c r="H36" s="16">
        <f>IFERROR(IF(B36=0,"",
 IF(Table5[[#This Row],[Win% Against]] &gt; Table5[[#This Row],[Loss % Against]], 1,
 IF(Table5[[#This Row],[Win% Against]] &lt; Table5[[#This Row],[Loss % Against]], -1, 0))), "")</f>
        <v>0</v>
      </c>
    </row>
    <row r="37" spans="1:8" x14ac:dyDescent="0.25">
      <c r="A37" s="3" t="s">
        <v>433</v>
      </c>
      <c r="B37">
        <v>2</v>
      </c>
      <c r="C37">
        <v>2</v>
      </c>
      <c r="D37">
        <v>0</v>
      </c>
      <c r="E37" s="4">
        <f t="shared" si="0"/>
        <v>1</v>
      </c>
      <c r="F37" s="4">
        <f t="shared" si="1"/>
        <v>0</v>
      </c>
      <c r="G37" s="4">
        <f>IFERROR(1-Table5[[#This Row],[Loss % Against]]-Table5[[#This Row],[Win% Against]],"")</f>
        <v>0</v>
      </c>
      <c r="H37" s="16">
        <f>IFERROR(IF(B37=0,"",
 IF(Table5[[#This Row],[Win% Against]] &gt; Table5[[#This Row],[Loss % Against]], 1,
 IF(Table5[[#This Row],[Win% Against]] &lt; Table5[[#This Row],[Loss % Against]], -1, 0))), "")</f>
        <v>1</v>
      </c>
    </row>
    <row r="38" spans="1:8" x14ac:dyDescent="0.25">
      <c r="A38" s="3" t="s">
        <v>42</v>
      </c>
      <c r="B38">
        <v>2</v>
      </c>
      <c r="C38">
        <v>2</v>
      </c>
      <c r="D38">
        <v>0</v>
      </c>
      <c r="E38" s="4">
        <f t="shared" si="0"/>
        <v>1</v>
      </c>
      <c r="F38" s="4">
        <f t="shared" si="1"/>
        <v>0</v>
      </c>
      <c r="G38" s="4">
        <f>IFERROR(1-Table5[[#This Row],[Loss % Against]]-Table5[[#This Row],[Win% Against]],"")</f>
        <v>0</v>
      </c>
      <c r="H38" s="16">
        <f>IFERROR(IF(B38=0,"",
 IF(Table5[[#This Row],[Win% Against]] &gt; Table5[[#This Row],[Loss % Against]], 1,
 IF(Table5[[#This Row],[Win% Against]] &lt; Table5[[#This Row],[Loss % Against]], -1, 0))), "")</f>
        <v>1</v>
      </c>
    </row>
    <row r="39" spans="1:8" x14ac:dyDescent="0.25">
      <c r="A39" s="3" t="s">
        <v>325</v>
      </c>
      <c r="B39">
        <v>2</v>
      </c>
      <c r="C39">
        <v>0</v>
      </c>
      <c r="D39">
        <v>1</v>
      </c>
      <c r="E39" s="4">
        <f t="shared" si="0"/>
        <v>0</v>
      </c>
      <c r="F39" s="4">
        <f t="shared" si="1"/>
        <v>0.5</v>
      </c>
      <c r="G39" s="4">
        <f>IFERROR(1-Table5[[#This Row],[Loss % Against]]-Table5[[#This Row],[Win% Against]],"")</f>
        <v>0.5</v>
      </c>
      <c r="H39" s="16">
        <f>IFERROR(IF(B39=0,"",
 IF(Table5[[#This Row],[Win% Against]] &gt; Table5[[#This Row],[Loss % Against]], 1,
 IF(Table5[[#This Row],[Win% Against]] &lt; Table5[[#This Row],[Loss % Against]], -1, 0))), "")</f>
        <v>-1</v>
      </c>
    </row>
    <row r="40" spans="1:8" x14ac:dyDescent="0.25">
      <c r="A40" s="3" t="s">
        <v>21</v>
      </c>
      <c r="B40">
        <v>2</v>
      </c>
      <c r="C40">
        <v>0</v>
      </c>
      <c r="D40">
        <v>1</v>
      </c>
      <c r="E40" s="4">
        <f t="shared" si="0"/>
        <v>0</v>
      </c>
      <c r="F40" s="4">
        <f t="shared" si="1"/>
        <v>0.5</v>
      </c>
      <c r="G40" s="4">
        <f>IFERROR(1-Table5[[#This Row],[Loss % Against]]-Table5[[#This Row],[Win% Against]],"")</f>
        <v>0.5</v>
      </c>
      <c r="H40" s="16">
        <f>IFERROR(IF(B40=0,"",
 IF(Table5[[#This Row],[Win% Against]] &gt; Table5[[#This Row],[Loss % Against]], 1,
 IF(Table5[[#This Row],[Win% Against]] &lt; Table5[[#This Row],[Loss % Against]], -1, 0))), "")</f>
        <v>-1</v>
      </c>
    </row>
    <row r="41" spans="1:8" x14ac:dyDescent="0.25">
      <c r="A41" s="3" t="s">
        <v>59</v>
      </c>
      <c r="B41">
        <v>1</v>
      </c>
      <c r="C41">
        <v>0</v>
      </c>
      <c r="D41">
        <v>0</v>
      </c>
      <c r="E41" s="4">
        <f t="shared" si="0"/>
        <v>0</v>
      </c>
      <c r="F41" s="4">
        <f t="shared" si="1"/>
        <v>0</v>
      </c>
      <c r="G41" s="4">
        <f>IFERROR(1-Table5[[#This Row],[Loss % Against]]-Table5[[#This Row],[Win% Against]],"")</f>
        <v>1</v>
      </c>
      <c r="H41" s="16">
        <f>IFERROR(IF(B41=0,"",
 IF(Table5[[#This Row],[Win% Against]] &gt; Table5[[#This Row],[Loss % Against]], 1,
 IF(Table5[[#This Row],[Win% Against]] &lt; Table5[[#This Row],[Loss % Against]], -1, 0))), "")</f>
        <v>0</v>
      </c>
    </row>
    <row r="42" spans="1:8" x14ac:dyDescent="0.25">
      <c r="A42" s="3" t="s">
        <v>437</v>
      </c>
      <c r="B42">
        <v>1</v>
      </c>
      <c r="C42">
        <v>0</v>
      </c>
      <c r="D42">
        <v>0</v>
      </c>
      <c r="E42" s="4">
        <f t="shared" ref="E42:E53" si="2">IFERROR(C42/B42, "")</f>
        <v>0</v>
      </c>
      <c r="F42" s="4">
        <f t="shared" ref="F42:F53" si="3">IFERROR(D42/B42, "")</f>
        <v>0</v>
      </c>
      <c r="G42" s="4">
        <f>IFERROR(1-Table5[[#This Row],[Loss % Against]]-Table5[[#This Row],[Win% Against]],"")</f>
        <v>1</v>
      </c>
      <c r="H42" s="16">
        <f>IFERROR(IF(B42=0,"",
 IF(Table5[[#This Row],[Win% Against]] &gt; Table5[[#This Row],[Loss % Against]], 1,
 IF(Table5[[#This Row],[Win% Against]] &lt; Table5[[#This Row],[Loss % Against]], -1, 0))), "")</f>
        <v>0</v>
      </c>
    </row>
    <row r="43" spans="1:8" x14ac:dyDescent="0.25">
      <c r="A43" s="3" t="s">
        <v>322</v>
      </c>
      <c r="B43">
        <v>1</v>
      </c>
      <c r="C43">
        <v>0</v>
      </c>
      <c r="D43">
        <v>1</v>
      </c>
      <c r="E43" s="4">
        <f t="shared" si="2"/>
        <v>0</v>
      </c>
      <c r="F43" s="4">
        <f t="shared" si="3"/>
        <v>1</v>
      </c>
      <c r="G43" s="4">
        <f>IFERROR(1-Table5[[#This Row],[Loss % Against]]-Table5[[#This Row],[Win% Against]],"")</f>
        <v>0</v>
      </c>
      <c r="H43" s="16">
        <f>IFERROR(IF(B43=0,"",
 IF(Table5[[#This Row],[Win% Against]] &gt; Table5[[#This Row],[Loss % Against]], 1,
 IF(Table5[[#This Row],[Win% Against]] &lt; Table5[[#This Row],[Loss % Against]], -1, 0))), "")</f>
        <v>-1</v>
      </c>
    </row>
    <row r="44" spans="1:8" x14ac:dyDescent="0.25">
      <c r="A44" s="3" t="s">
        <v>55</v>
      </c>
      <c r="B44">
        <v>1</v>
      </c>
      <c r="C44">
        <v>1</v>
      </c>
      <c r="D44">
        <v>0</v>
      </c>
      <c r="E44" s="4">
        <f t="shared" si="2"/>
        <v>1</v>
      </c>
      <c r="F44" s="4">
        <f t="shared" si="3"/>
        <v>0</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46</v>
      </c>
      <c r="B45">
        <v>1</v>
      </c>
      <c r="C45">
        <v>1</v>
      </c>
      <c r="D45">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47</v>
      </c>
      <c r="B46">
        <v>1</v>
      </c>
      <c r="C46">
        <v>1</v>
      </c>
      <c r="D46">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25">
      <c r="A47" s="3" t="s">
        <v>581</v>
      </c>
      <c r="B47">
        <v>1</v>
      </c>
      <c r="C47">
        <v>0</v>
      </c>
      <c r="D47">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592</v>
      </c>
      <c r="B48">
        <v>1</v>
      </c>
      <c r="C48">
        <v>0</v>
      </c>
      <c r="D48">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25">
      <c r="A49" s="3" t="s">
        <v>434</v>
      </c>
      <c r="B49">
        <v>1</v>
      </c>
      <c r="C49">
        <v>0</v>
      </c>
      <c r="D49">
        <v>1</v>
      </c>
      <c r="E49" s="4">
        <f t="shared" si="2"/>
        <v>0</v>
      </c>
      <c r="F49" s="4">
        <f t="shared" si="3"/>
        <v>1</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61</v>
      </c>
      <c r="B50">
        <v>1</v>
      </c>
      <c r="C50">
        <v>1</v>
      </c>
      <c r="D50">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25">
      <c r="A51" s="3" t="s">
        <v>478</v>
      </c>
      <c r="B51">
        <v>1</v>
      </c>
      <c r="C51">
        <v>0</v>
      </c>
      <c r="D51">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365</v>
      </c>
      <c r="B52">
        <v>1</v>
      </c>
      <c r="C52">
        <v>0</v>
      </c>
      <c r="D52">
        <v>0</v>
      </c>
      <c r="E52" s="4">
        <f t="shared" si="2"/>
        <v>0</v>
      </c>
      <c r="F52" s="4">
        <f t="shared" si="3"/>
        <v>0</v>
      </c>
      <c r="G52" s="4">
        <f>IFERROR(1-Table5[[#This Row],[Loss % Against]]-Table5[[#This Row],[Win% Against]],"")</f>
        <v>1</v>
      </c>
      <c r="H52" s="16">
        <f>IFERROR(IF(B52=0,"",
 IF(Table5[[#This Row],[Win% Against]] &gt; Table5[[#This Row],[Loss % Against]], 1,
 IF(Table5[[#This Row],[Win% Against]] &lt; Table5[[#This Row],[Loss % Against]], -1, 0))), "")</f>
        <v>0</v>
      </c>
    </row>
    <row r="53" spans="1:8" x14ac:dyDescent="0.25">
      <c r="A53" s="3" t="s">
        <v>541</v>
      </c>
      <c r="B53">
        <v>1</v>
      </c>
      <c r="C53">
        <v>0</v>
      </c>
      <c r="D53">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25">
      <c r="A54" s="3" t="s">
        <v>404</v>
      </c>
      <c r="B54">
        <v>1</v>
      </c>
      <c r="C54">
        <v>0</v>
      </c>
      <c r="D54">
        <v>0</v>
      </c>
      <c r="E54" s="4">
        <f t="shared" ref="E54:E56" si="4">IFERROR(C54/B54, "")</f>
        <v>0</v>
      </c>
      <c r="F54" s="4">
        <f t="shared" ref="F54:F56" si="5">IFERROR(D54/B54, "")</f>
        <v>0</v>
      </c>
      <c r="G54" s="4">
        <f>IFERROR(1-Table5[[#This Row],[Loss % Against]]-Table5[[#This Row],[Win% Against]],"")</f>
        <v>1</v>
      </c>
      <c r="H54" s="16">
        <f>IFERROR(IF(B54=0,"",
 IF(Table5[[#This Row],[Win% Against]] &gt; Table5[[#This Row],[Loss % Against]], 1,
 IF(Table5[[#This Row],[Win% Against]] &lt; Table5[[#This Row],[Loss % Against]], -1, 0))), "")</f>
        <v>0</v>
      </c>
    </row>
    <row r="55" spans="1:8" x14ac:dyDescent="0.25">
      <c r="A55" s="3" t="s">
        <v>580</v>
      </c>
      <c r="B55">
        <v>1</v>
      </c>
      <c r="C55">
        <v>0</v>
      </c>
      <c r="D55">
        <v>1</v>
      </c>
      <c r="E55" s="4">
        <f t="shared" si="4"/>
        <v>0</v>
      </c>
      <c r="F55" s="4">
        <f t="shared" si="5"/>
        <v>1</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40</v>
      </c>
      <c r="B56">
        <v>1</v>
      </c>
      <c r="C56">
        <v>1</v>
      </c>
      <c r="D56">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53</v>
      </c>
      <c r="B57">
        <v>1</v>
      </c>
      <c r="C57">
        <v>1</v>
      </c>
      <c r="D57">
        <v>0</v>
      </c>
    </row>
    <row r="58" spans="1:8" x14ac:dyDescent="0.25">
      <c r="A58" s="3" t="s">
        <v>421</v>
      </c>
      <c r="B58">
        <v>1</v>
      </c>
      <c r="C58">
        <v>1</v>
      </c>
      <c r="D58">
        <v>0</v>
      </c>
    </row>
    <row r="59" spans="1:8" x14ac:dyDescent="0.25">
      <c r="A59" s="3" t="s">
        <v>29</v>
      </c>
      <c r="B59">
        <v>1</v>
      </c>
      <c r="C59">
        <v>1</v>
      </c>
      <c r="D59">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55"/>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v>13</v>
      </c>
      <c r="C6">
        <v>5</v>
      </c>
      <c r="D6">
        <v>6</v>
      </c>
    </row>
    <row r="7" spans="1:4" x14ac:dyDescent="0.25">
      <c r="A7" s="3" t="s">
        <v>19</v>
      </c>
      <c r="B7">
        <v>9</v>
      </c>
      <c r="C7">
        <v>8</v>
      </c>
      <c r="D7">
        <v>3</v>
      </c>
    </row>
    <row r="8" spans="1:4" x14ac:dyDescent="0.25">
      <c r="A8" s="3" t="s">
        <v>13</v>
      </c>
      <c r="B8">
        <v>8</v>
      </c>
      <c r="C8">
        <v>7</v>
      </c>
      <c r="D8">
        <v>4</v>
      </c>
    </row>
    <row r="9" spans="1:4" x14ac:dyDescent="0.25">
      <c r="A9" s="3" t="s">
        <v>10</v>
      </c>
      <c r="B9">
        <v>14</v>
      </c>
      <c r="C9">
        <v>2</v>
      </c>
      <c r="D9">
        <v>6</v>
      </c>
    </row>
    <row r="10" spans="1:4" x14ac:dyDescent="0.25">
      <c r="A10" s="3" t="s">
        <v>7</v>
      </c>
      <c r="B10">
        <v>10</v>
      </c>
      <c r="C10">
        <v>7</v>
      </c>
      <c r="D10">
        <v>7</v>
      </c>
    </row>
    <row r="11" spans="1:4" x14ac:dyDescent="0.25">
      <c r="A11" s="3" t="s">
        <v>20</v>
      </c>
      <c r="B11">
        <v>7</v>
      </c>
      <c r="C11">
        <v>1</v>
      </c>
      <c r="D11">
        <v>6</v>
      </c>
    </row>
    <row r="12" spans="1:4" x14ac:dyDescent="0.25">
      <c r="A12" s="3" t="s">
        <v>15</v>
      </c>
      <c r="B12">
        <v>2</v>
      </c>
      <c r="C12">
        <v>1</v>
      </c>
      <c r="D12">
        <v>1</v>
      </c>
    </row>
    <row r="13" spans="1:4" x14ac:dyDescent="0.25">
      <c r="A13" s="3" t="s">
        <v>11</v>
      </c>
      <c r="B13">
        <v>4</v>
      </c>
      <c r="C13">
        <v>7</v>
      </c>
      <c r="D13">
        <v>3</v>
      </c>
    </row>
    <row r="14" spans="1:4" x14ac:dyDescent="0.25">
      <c r="A14" s="3" t="s">
        <v>9</v>
      </c>
      <c r="B14">
        <v>9</v>
      </c>
      <c r="C14">
        <v>3</v>
      </c>
      <c r="D14">
        <v>4</v>
      </c>
    </row>
    <row r="15" spans="1:4" x14ac:dyDescent="0.25">
      <c r="A15" s="3" t="s">
        <v>17</v>
      </c>
      <c r="B15">
        <v>10</v>
      </c>
      <c r="C15">
        <v>3</v>
      </c>
      <c r="D15">
        <v>7</v>
      </c>
    </row>
    <row r="16" spans="1:4" x14ac:dyDescent="0.25">
      <c r="A16" s="3" t="s">
        <v>30</v>
      </c>
      <c r="B16">
        <v>3</v>
      </c>
      <c r="D16">
        <v>1</v>
      </c>
    </row>
    <row r="17" spans="1:4" x14ac:dyDescent="0.25">
      <c r="A17" s="3" t="s">
        <v>28</v>
      </c>
      <c r="B17">
        <v>9</v>
      </c>
      <c r="C17">
        <v>1</v>
      </c>
      <c r="D17">
        <v>2</v>
      </c>
    </row>
    <row r="18" spans="1:4" x14ac:dyDescent="0.25">
      <c r="A18" s="3" t="s">
        <v>27</v>
      </c>
      <c r="B18">
        <v>2</v>
      </c>
      <c r="D18">
        <v>2</v>
      </c>
    </row>
    <row r="19" spans="1:4" x14ac:dyDescent="0.25">
      <c r="A19" s="3" t="s">
        <v>41</v>
      </c>
      <c r="B19">
        <v>13</v>
      </c>
      <c r="C19">
        <v>4</v>
      </c>
      <c r="D19">
        <v>3</v>
      </c>
    </row>
    <row r="20" spans="1:4" x14ac:dyDescent="0.25">
      <c r="A20" s="3" t="s">
        <v>51</v>
      </c>
      <c r="B20">
        <v>9</v>
      </c>
      <c r="C20">
        <v>2</v>
      </c>
      <c r="D20">
        <v>5</v>
      </c>
    </row>
    <row r="21" spans="1:4" x14ac:dyDescent="0.25">
      <c r="A21" s="3" t="s">
        <v>52</v>
      </c>
      <c r="B21">
        <v>13</v>
      </c>
      <c r="C21">
        <v>2</v>
      </c>
      <c r="D21">
        <v>1</v>
      </c>
    </row>
    <row r="22" spans="1:4" x14ac:dyDescent="0.25">
      <c r="A22" s="3" t="s">
        <v>352</v>
      </c>
      <c r="B22">
        <v>11</v>
      </c>
      <c r="C22">
        <v>7</v>
      </c>
      <c r="D22">
        <v>6</v>
      </c>
    </row>
    <row r="23" spans="1:4" x14ac:dyDescent="0.25">
      <c r="A23" s="3" t="s">
        <v>59</v>
      </c>
      <c r="B23">
        <v>2</v>
      </c>
    </row>
    <row r="24" spans="1:4" x14ac:dyDescent="0.25">
      <c r="A24" s="3" t="s">
        <v>436</v>
      </c>
      <c r="B24">
        <v>4</v>
      </c>
      <c r="C24">
        <v>4</v>
      </c>
      <c r="D24">
        <v>2</v>
      </c>
    </row>
    <row r="25" spans="1:4" x14ac:dyDescent="0.25">
      <c r="A25" s="3" t="s">
        <v>322</v>
      </c>
      <c r="B25">
        <v>1</v>
      </c>
      <c r="C25">
        <v>1</v>
      </c>
    </row>
    <row r="26" spans="1:4" x14ac:dyDescent="0.25">
      <c r="A26" s="3" t="s">
        <v>325</v>
      </c>
      <c r="B26">
        <v>4</v>
      </c>
      <c r="C26">
        <v>3</v>
      </c>
      <c r="D26">
        <v>1</v>
      </c>
    </row>
    <row r="27" spans="1:4" x14ac:dyDescent="0.25">
      <c r="A27" s="3" t="s">
        <v>326</v>
      </c>
      <c r="B27">
        <v>3</v>
      </c>
      <c r="C27">
        <v>3</v>
      </c>
      <c r="D27">
        <v>2</v>
      </c>
    </row>
    <row r="28" spans="1:4" x14ac:dyDescent="0.25">
      <c r="A28" s="3" t="s">
        <v>351</v>
      </c>
      <c r="B28">
        <v>9</v>
      </c>
      <c r="C28">
        <v>4</v>
      </c>
      <c r="D28">
        <v>5</v>
      </c>
    </row>
    <row r="29" spans="1:4" x14ac:dyDescent="0.25">
      <c r="A29" s="3" t="s">
        <v>364</v>
      </c>
      <c r="B29">
        <v>3</v>
      </c>
      <c r="C29">
        <v>1</v>
      </c>
      <c r="D29">
        <v>2</v>
      </c>
    </row>
    <row r="30" spans="1:4" x14ac:dyDescent="0.25">
      <c r="A30" s="3" t="s">
        <v>363</v>
      </c>
      <c r="B30">
        <v>11</v>
      </c>
      <c r="C30">
        <v>1</v>
      </c>
      <c r="D30">
        <v>8</v>
      </c>
    </row>
    <row r="31" spans="1:4" x14ac:dyDescent="0.25">
      <c r="A31" s="3" t="s">
        <v>365</v>
      </c>
      <c r="B31">
        <v>2</v>
      </c>
    </row>
    <row r="32" spans="1:4" x14ac:dyDescent="0.25">
      <c r="A32" s="3" t="s">
        <v>402</v>
      </c>
      <c r="B32">
        <v>2</v>
      </c>
      <c r="C32">
        <v>1</v>
      </c>
      <c r="D32">
        <v>3</v>
      </c>
    </row>
    <row r="33" spans="1:4" x14ac:dyDescent="0.25">
      <c r="A33" s="3" t="s">
        <v>405</v>
      </c>
      <c r="B33">
        <v>10</v>
      </c>
      <c r="C33">
        <v>5</v>
      </c>
      <c r="D33">
        <v>5</v>
      </c>
    </row>
    <row r="34" spans="1:4" x14ac:dyDescent="0.25">
      <c r="A34" s="3" t="s">
        <v>435</v>
      </c>
      <c r="B34">
        <v>3</v>
      </c>
      <c r="D34">
        <v>1</v>
      </c>
    </row>
    <row r="35" spans="1:4" x14ac:dyDescent="0.25">
      <c r="A35" s="3" t="s">
        <v>434</v>
      </c>
      <c r="C35">
        <v>2</v>
      </c>
    </row>
    <row r="36" spans="1:4" x14ac:dyDescent="0.25">
      <c r="A36" s="3" t="s">
        <v>433</v>
      </c>
      <c r="B36">
        <v>8</v>
      </c>
      <c r="D36">
        <v>2</v>
      </c>
    </row>
    <row r="37" spans="1:4" x14ac:dyDescent="0.25">
      <c r="A37" s="3" t="s">
        <v>438</v>
      </c>
      <c r="B37">
        <v>2</v>
      </c>
    </row>
    <row r="38" spans="1:4" x14ac:dyDescent="0.25">
      <c r="A38" s="3" t="s">
        <v>463</v>
      </c>
      <c r="B38">
        <v>2</v>
      </c>
    </row>
    <row r="39" spans="1:4" x14ac:dyDescent="0.25">
      <c r="A39" s="3" t="s">
        <v>464</v>
      </c>
      <c r="B39">
        <v>2</v>
      </c>
    </row>
    <row r="40" spans="1:4" x14ac:dyDescent="0.25">
      <c r="A40" s="3" t="s">
        <v>465</v>
      </c>
      <c r="B40">
        <v>5</v>
      </c>
      <c r="C40">
        <v>3</v>
      </c>
      <c r="D40">
        <v>2</v>
      </c>
    </row>
    <row r="41" spans="1:4" x14ac:dyDescent="0.25">
      <c r="A41" s="3" t="s">
        <v>478</v>
      </c>
      <c r="B41">
        <v>1</v>
      </c>
      <c r="D41">
        <v>1</v>
      </c>
    </row>
    <row r="42" spans="1:4" x14ac:dyDescent="0.25">
      <c r="A42" s="3" t="s">
        <v>519</v>
      </c>
      <c r="B42">
        <v>6</v>
      </c>
      <c r="C42">
        <v>3</v>
      </c>
      <c r="D42">
        <v>1</v>
      </c>
    </row>
    <row r="43" spans="1:4" x14ac:dyDescent="0.25">
      <c r="A43" s="3" t="s">
        <v>539</v>
      </c>
      <c r="D43">
        <v>1</v>
      </c>
    </row>
    <row r="44" spans="1:4" x14ac:dyDescent="0.25">
      <c r="A44" s="3" t="s">
        <v>541</v>
      </c>
      <c r="B44">
        <v>3</v>
      </c>
      <c r="C44">
        <v>1</v>
      </c>
      <c r="D44">
        <v>2</v>
      </c>
    </row>
    <row r="45" spans="1:4" x14ac:dyDescent="0.25">
      <c r="A45" s="3" t="s">
        <v>553</v>
      </c>
      <c r="D45">
        <v>1</v>
      </c>
    </row>
    <row r="46" spans="1:4" x14ac:dyDescent="0.25">
      <c r="A46" s="3" t="s">
        <v>554</v>
      </c>
      <c r="B46">
        <v>2</v>
      </c>
    </row>
    <row r="47" spans="1:4" x14ac:dyDescent="0.25">
      <c r="A47" s="3" t="s">
        <v>555</v>
      </c>
      <c r="B47">
        <v>2</v>
      </c>
    </row>
    <row r="48" spans="1:4" x14ac:dyDescent="0.25">
      <c r="A48" s="3" t="s">
        <v>556</v>
      </c>
      <c r="B48">
        <v>1</v>
      </c>
      <c r="C48">
        <v>1</v>
      </c>
    </row>
    <row r="49" spans="1:4" x14ac:dyDescent="0.25">
      <c r="A49" s="3" t="s">
        <v>569</v>
      </c>
      <c r="B49">
        <v>3</v>
      </c>
      <c r="C49">
        <v>1</v>
      </c>
    </row>
    <row r="50" spans="1:4" x14ac:dyDescent="0.25">
      <c r="A50" s="3" t="s">
        <v>580</v>
      </c>
      <c r="B50">
        <v>3</v>
      </c>
      <c r="C50">
        <v>1</v>
      </c>
    </row>
    <row r="51" spans="1:4" x14ac:dyDescent="0.25">
      <c r="A51" s="3" t="s">
        <v>581</v>
      </c>
      <c r="B51">
        <v>2</v>
      </c>
    </row>
    <row r="52" spans="1:4" x14ac:dyDescent="0.25">
      <c r="A52" s="3" t="s">
        <v>592</v>
      </c>
      <c r="B52">
        <v>2</v>
      </c>
    </row>
    <row r="53" spans="1:4" x14ac:dyDescent="0.25">
      <c r="A53" s="3" t="s">
        <v>593</v>
      </c>
      <c r="B53">
        <v>1</v>
      </c>
      <c r="D53">
        <v>1</v>
      </c>
    </row>
    <row r="54" spans="1:4" x14ac:dyDescent="0.25">
      <c r="A54" s="3" t="s">
        <v>594</v>
      </c>
      <c r="B54">
        <v>1</v>
      </c>
      <c r="D54">
        <v>1</v>
      </c>
    </row>
    <row r="55" spans="1:4" x14ac:dyDescent="0.25">
      <c r="A55" s="3" t="s">
        <v>24</v>
      </c>
      <c r="B55">
        <v>246</v>
      </c>
      <c r="C55">
        <v>95</v>
      </c>
      <c r="D55">
        <v>108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717"/>
  <sheetViews>
    <sheetView workbookViewId="0">
      <selection activeCell="B1722" sqref="B1722"/>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323</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323</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463</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463</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541</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541</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553</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554</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555</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556</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554</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555</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556</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541</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569</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541</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569</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580</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581</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581</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580</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580</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Current</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Current</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Current</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Current</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Current</v>
      </c>
    </row>
    <row r="1676" spans="1:1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Current</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Current</v>
      </c>
    </row>
    <row r="1678" spans="1:11" hidden="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Current</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Current</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Current</v>
      </c>
    </row>
    <row r="1681" spans="1:11" hidden="1" x14ac:dyDescent="0.25">
      <c r="A1681" t="s">
        <v>569</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Current</v>
      </c>
    </row>
    <row r="1682" spans="1:11" hidden="1" x14ac:dyDescent="0.25">
      <c r="A1682" t="s">
        <v>592</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Current</v>
      </c>
    </row>
    <row r="1683" spans="1:11" hidden="1" x14ac:dyDescent="0.25">
      <c r="A1683" t="s">
        <v>541</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Current</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Current</v>
      </c>
    </row>
    <row r="1685" spans="1:11" hidden="1" x14ac:dyDescent="0.25">
      <c r="A1685" t="s">
        <v>593</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Current</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Current</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Current</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Current</v>
      </c>
    </row>
    <row r="1689" spans="1:11" hidden="1" x14ac:dyDescent="0.25">
      <c r="A1689" t="s">
        <v>594</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Current</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Current</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Current</v>
      </c>
    </row>
    <row r="1692" spans="1:11" hidden="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Current</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Current</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Current</v>
      </c>
    </row>
    <row r="1695" spans="1:11" hidden="1" x14ac:dyDescent="0.25">
      <c r="A1695" t="s">
        <v>541</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Current</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Current</v>
      </c>
    </row>
    <row r="1697" spans="1:1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Current</v>
      </c>
    </row>
    <row r="1698" spans="1:11" hidden="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Current</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Current</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Current</v>
      </c>
    </row>
    <row r="1701" spans="1:11" hidden="1" x14ac:dyDescent="0.25">
      <c r="A1701" t="s">
        <v>593</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Current</v>
      </c>
    </row>
    <row r="1702" spans="1:11" hidden="1" x14ac:dyDescent="0.25">
      <c r="A1702" t="s">
        <v>594</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Current</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Current</v>
      </c>
    </row>
    <row r="1704" spans="1:11" hidden="1" x14ac:dyDescent="0.25">
      <c r="A1704" t="s">
        <v>595</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Current</v>
      </c>
    </row>
    <row r="1705" spans="1:11" hidden="1" x14ac:dyDescent="0.25">
      <c r="A1705" t="s">
        <v>569</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Current</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Current</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Current</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Current</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Current</v>
      </c>
    </row>
    <row r="1710" spans="1:11" hidden="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Current</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Current</v>
      </c>
    </row>
    <row r="1712" spans="1:11" hidden="1" x14ac:dyDescent="0.25">
      <c r="A1712" t="s">
        <v>580</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Current</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Current</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Current</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Current</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Current</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4945"/>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2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2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2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2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2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2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2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2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2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2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2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2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2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2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2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2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2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2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2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2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2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2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2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2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2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2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2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2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2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2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2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2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2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2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2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2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2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2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2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2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2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2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2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2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2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2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2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2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2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2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2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2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2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2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2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2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2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2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2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2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2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2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2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2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2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2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2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2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2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2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2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2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2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2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2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2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2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2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2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2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2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2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2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2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2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2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2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2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2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2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2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2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2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2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2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2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2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2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2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2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2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2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2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2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2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2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2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2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2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2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2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2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2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2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2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2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2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2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2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2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2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2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2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2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2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2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2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2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2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2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2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2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2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2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2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2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2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2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2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2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2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2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2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2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2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2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2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2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2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2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2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2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2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2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2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2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2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2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2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2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2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2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2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2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2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2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2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2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2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2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2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2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2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2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2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2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2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2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2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2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2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2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2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2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2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2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2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2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2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2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2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2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2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2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2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2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2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2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2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2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2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2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2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2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2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2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2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2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2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2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2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2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2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2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2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2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2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2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2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2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2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2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2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2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2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2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2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2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2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2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2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2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2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2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2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2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2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2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2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2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2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2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2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2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2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2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2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2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2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2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2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2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2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2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2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2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2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2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2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2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2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2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2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2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2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2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2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2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2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2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2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2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2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2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2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2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2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2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2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2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2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2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2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2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2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2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2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2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2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2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2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2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2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2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2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2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2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2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2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2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2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2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2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2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2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2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2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2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2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2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2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2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2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2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2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2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2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2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2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2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2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2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2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2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2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2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2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2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2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2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2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2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2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2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2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2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2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2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2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2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2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2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2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2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2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2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2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2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2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2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2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2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2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2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2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2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2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2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2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2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2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2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2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2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2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2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2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2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2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2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2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2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2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2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2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2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2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2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2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2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2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2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2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2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2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2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2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2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2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2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2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2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2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2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2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2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2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2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2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2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2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2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2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2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2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2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2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2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2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2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2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2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2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2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2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2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2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2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2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2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2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2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2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2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2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2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2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2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2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2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2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2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2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2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2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2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2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2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2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2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2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2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2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2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2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2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2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2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2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2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2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2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2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2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2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2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2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2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2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2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2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2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2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2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2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2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2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2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2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2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2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2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2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2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2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2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2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2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2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2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2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2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2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2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2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2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2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2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2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2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2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2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2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2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2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2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2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2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2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2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2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2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2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2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2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2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2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2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2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2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2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2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2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2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2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2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2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2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2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2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2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2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2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2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2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2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2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2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2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2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2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2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2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2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2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2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2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2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2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2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2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2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2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2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2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2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2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2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2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2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2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2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2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2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2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2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2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2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2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2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2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2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2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2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2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2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2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2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2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2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2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2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2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2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2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2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2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2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2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2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2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2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2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2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2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2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2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2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2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2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2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2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2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2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2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2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2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2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2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2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2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2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2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2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2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2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2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2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2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2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2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2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2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2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2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2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2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2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2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2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2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2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2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2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2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2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2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2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2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2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2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2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2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2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2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2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2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2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2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2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2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2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2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2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2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2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2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2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2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2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2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2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2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2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2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2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2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2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2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2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2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2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2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2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2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2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2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2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2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2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2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2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2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2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2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2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2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2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2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2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2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2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2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2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2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2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2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2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2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2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2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2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2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2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2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2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2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2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2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2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2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2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2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2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2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2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2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2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2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2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2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2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2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2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2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2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2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2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2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2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2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2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2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2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2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2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2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2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2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2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2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2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2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2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2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2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2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2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2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2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2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2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2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2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2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2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2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2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2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2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2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2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2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25">
      <c r="A756" t="s">
        <v>323</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25">
      <c r="A757" t="s">
        <v>323</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25">
      <c r="A758" t="s">
        <v>324</v>
      </c>
      <c r="B758" t="s">
        <v>6</v>
      </c>
      <c r="C758">
        <v>3</v>
      </c>
      <c r="D758">
        <v>3</v>
      </c>
      <c r="E758">
        <v>1</v>
      </c>
      <c r="F758" s="15">
        <v>46048</v>
      </c>
      <c r="G758" t="s">
        <v>329</v>
      </c>
      <c r="H758">
        <v>3</v>
      </c>
      <c r="I758">
        <v>2026</v>
      </c>
      <c r="J758">
        <v>1</v>
      </c>
      <c r="K758" t="s">
        <v>87</v>
      </c>
      <c r="L758" t="s">
        <v>323</v>
      </c>
      <c r="M758" t="s">
        <v>6</v>
      </c>
      <c r="N758" t="b">
        <v>0</v>
      </c>
      <c r="O758">
        <v>0</v>
      </c>
      <c r="P758">
        <v>1</v>
      </c>
      <c r="Q758">
        <v>0</v>
      </c>
      <c r="R758">
        <v>0</v>
      </c>
    </row>
    <row r="759" spans="1:18" x14ac:dyDescent="0.2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25">
      <c r="A760" t="s">
        <v>9</v>
      </c>
      <c r="B760" t="s">
        <v>8</v>
      </c>
      <c r="C760">
        <v>2</v>
      </c>
      <c r="D760">
        <v>3</v>
      </c>
      <c r="E760">
        <v>1</v>
      </c>
      <c r="F760" s="15">
        <v>46048</v>
      </c>
      <c r="G760" t="s">
        <v>329</v>
      </c>
      <c r="H760">
        <v>3</v>
      </c>
      <c r="I760">
        <v>2026</v>
      </c>
      <c r="J760">
        <v>1</v>
      </c>
      <c r="K760" t="s">
        <v>87</v>
      </c>
      <c r="L760" t="s">
        <v>323</v>
      </c>
      <c r="M760" t="s">
        <v>6</v>
      </c>
      <c r="N760" t="b">
        <v>0</v>
      </c>
      <c r="O760">
        <v>1</v>
      </c>
      <c r="P760">
        <v>0</v>
      </c>
      <c r="Q760">
        <v>0</v>
      </c>
      <c r="R760">
        <v>0</v>
      </c>
    </row>
    <row r="761" spans="1:18" x14ac:dyDescent="0.2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25">
      <c r="A762" t="s">
        <v>323</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25">
      <c r="A763" t="s">
        <v>323</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25">
      <c r="A764" t="s">
        <v>323</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25">
      <c r="A765" t="s">
        <v>19</v>
      </c>
      <c r="B765" t="s">
        <v>6</v>
      </c>
      <c r="C765">
        <v>4</v>
      </c>
      <c r="D765">
        <v>2</v>
      </c>
      <c r="E765">
        <v>2</v>
      </c>
      <c r="F765" s="15">
        <v>46048</v>
      </c>
      <c r="G765" t="s">
        <v>335</v>
      </c>
      <c r="H765">
        <v>4</v>
      </c>
      <c r="I765">
        <v>2026</v>
      </c>
      <c r="J765">
        <v>1</v>
      </c>
      <c r="K765" t="s">
        <v>87</v>
      </c>
      <c r="L765" t="s">
        <v>323</v>
      </c>
      <c r="M765" t="s">
        <v>6</v>
      </c>
      <c r="N765" t="b">
        <v>0</v>
      </c>
      <c r="O765">
        <v>0</v>
      </c>
      <c r="P765">
        <v>1</v>
      </c>
      <c r="Q765">
        <v>0</v>
      </c>
      <c r="R765">
        <v>0</v>
      </c>
    </row>
    <row r="766" spans="1:18" x14ac:dyDescent="0.2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2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25">
      <c r="A768" t="s">
        <v>321</v>
      </c>
      <c r="B768" t="s">
        <v>6</v>
      </c>
      <c r="C768">
        <v>2</v>
      </c>
      <c r="D768">
        <v>2</v>
      </c>
      <c r="E768">
        <v>2</v>
      </c>
      <c r="F768" s="15">
        <v>46048</v>
      </c>
      <c r="G768" t="s">
        <v>335</v>
      </c>
      <c r="H768">
        <v>4</v>
      </c>
      <c r="I768">
        <v>2026</v>
      </c>
      <c r="J768">
        <v>1</v>
      </c>
      <c r="K768" t="s">
        <v>87</v>
      </c>
      <c r="L768" t="s">
        <v>323</v>
      </c>
      <c r="M768" t="s">
        <v>6</v>
      </c>
      <c r="N768" t="b">
        <v>0</v>
      </c>
      <c r="O768">
        <v>0</v>
      </c>
      <c r="P768">
        <v>1</v>
      </c>
      <c r="Q768">
        <v>0</v>
      </c>
      <c r="R768">
        <v>0</v>
      </c>
    </row>
    <row r="769" spans="1:18" x14ac:dyDescent="0.2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2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25">
      <c r="A771" t="s">
        <v>364</v>
      </c>
      <c r="B771" t="s">
        <v>8</v>
      </c>
      <c r="C771">
        <v>1</v>
      </c>
      <c r="D771">
        <v>2</v>
      </c>
      <c r="E771">
        <v>2</v>
      </c>
      <c r="F771" s="15">
        <v>46048</v>
      </c>
      <c r="G771" t="s">
        <v>335</v>
      </c>
      <c r="H771">
        <v>4</v>
      </c>
      <c r="I771">
        <v>2026</v>
      </c>
      <c r="J771">
        <v>1</v>
      </c>
      <c r="K771" t="s">
        <v>87</v>
      </c>
      <c r="L771" t="s">
        <v>323</v>
      </c>
      <c r="M771" t="s">
        <v>6</v>
      </c>
      <c r="N771" t="b">
        <v>0</v>
      </c>
      <c r="O771">
        <v>1</v>
      </c>
      <c r="P771">
        <v>0</v>
      </c>
      <c r="Q771">
        <v>0</v>
      </c>
      <c r="R771">
        <v>0</v>
      </c>
    </row>
    <row r="772" spans="1:18" x14ac:dyDescent="0.2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2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2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2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2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2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2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2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2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2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2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2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2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2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2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2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2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2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2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2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2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2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2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2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2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2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2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2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2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2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2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2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2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2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2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2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2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2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2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2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2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2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2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2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2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2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2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2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2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2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2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2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2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2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2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2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2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2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2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2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2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2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2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2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2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2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2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2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2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2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2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2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2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2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2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2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2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2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2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2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2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2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2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2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2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2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2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2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2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2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2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2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2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2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2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2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2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2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2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2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2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2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2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2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2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2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2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2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2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2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2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2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2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2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2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2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2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2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2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2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2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2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2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2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2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2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2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2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2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2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2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2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2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2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2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2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2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2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2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2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2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2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2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2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2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2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2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2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2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2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2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2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2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2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2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2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2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2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2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2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2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2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2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2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2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2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2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2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2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2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2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2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2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2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2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2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2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2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2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2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2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2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2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2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2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2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2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2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2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2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2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2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2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2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2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2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2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2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2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2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2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2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2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2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2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2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2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2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2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2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2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2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2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2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2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2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2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2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2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2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2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2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2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2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2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2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2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2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2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2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2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2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2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2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2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2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2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2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2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2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2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2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2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2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2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2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2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2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2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2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2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2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2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2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2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2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2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2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2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2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2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2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2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2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2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2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2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2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2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2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2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2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2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2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2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2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2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2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2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2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2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2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2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2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2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2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2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2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2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2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2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2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2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2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2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2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2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2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2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2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2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2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2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2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2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2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2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2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2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2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2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2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2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2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2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2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2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2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2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2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2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2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2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2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2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2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2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2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2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2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2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2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2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2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2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2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2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2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2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2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2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2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2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2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2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2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2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2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2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2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2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2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2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2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2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2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2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2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2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2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2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2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2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2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2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2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2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2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2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2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2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2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2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2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2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2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2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2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2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2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2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2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2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2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2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2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2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2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2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2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2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2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2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2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2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2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2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2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2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2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2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2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2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2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2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2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2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2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2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2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2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2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2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2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2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2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2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2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2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2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2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2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2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2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2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2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2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2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2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2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2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2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2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2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2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2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2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2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2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2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2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2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2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2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2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2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2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2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2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2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2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2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2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2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2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2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2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2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2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2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2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2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2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2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2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2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2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2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2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2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2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2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2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2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2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2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2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2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2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2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2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2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2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2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2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2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2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2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2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2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2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2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2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2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2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2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2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2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2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2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2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2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2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2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2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2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2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2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2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2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2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2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2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2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2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2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2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2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2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2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2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2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2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2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2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2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2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2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2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2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2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2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2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2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2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2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2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2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2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2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2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2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2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2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2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2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2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2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2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2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2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2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2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2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2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2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2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2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2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2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2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2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2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2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2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2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2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2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2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2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2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2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2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2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2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2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2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2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2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2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2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2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2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2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2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2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2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2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2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2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2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2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2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2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2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2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2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2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2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2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2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2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2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2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2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2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2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2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2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2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2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2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2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2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2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2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2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2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2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2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2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2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2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2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2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2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2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2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2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2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2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2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2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2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2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2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2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2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2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2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2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2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2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2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2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2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2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2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2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2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2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2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2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2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2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2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2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2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2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2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2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2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2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2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2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2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2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2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2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2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2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2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2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2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2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2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2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2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2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2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2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2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2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2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2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2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2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2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2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2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2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2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2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2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2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2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2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2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2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2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2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2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2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2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2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2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2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2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2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2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2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2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2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2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2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2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2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2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2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2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2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2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2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2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2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2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2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2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2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2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2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2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2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2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2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2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2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2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2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2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2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2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2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2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2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2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2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2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2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2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2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2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2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2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2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2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2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2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2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2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2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2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2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2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2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2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2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2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2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2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2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2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2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2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2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2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2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2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2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2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2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2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2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2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2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2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2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2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2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2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2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2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2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2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2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2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2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2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2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2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2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2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2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2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2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2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2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2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2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2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2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2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2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2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2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2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2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2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2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2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2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2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2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2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2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2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2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2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2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2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2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2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2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2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2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2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2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2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2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2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2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2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2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2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2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2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2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2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2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2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2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2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2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2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2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2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2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2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2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2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2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2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2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2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2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2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2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2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2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2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2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2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2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2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2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2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2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2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2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2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2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2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2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2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2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2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2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2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2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2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2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2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2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2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2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2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2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2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2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2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2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2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2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2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2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2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2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2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2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2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2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2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2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2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2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2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2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2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2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2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2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2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2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2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2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2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2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2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2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2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2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2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2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2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2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2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2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2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2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2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2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2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2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2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2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2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2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2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2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2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2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2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2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2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2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2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2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2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2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2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2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2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2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2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2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2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2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2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2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2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2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2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2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2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2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2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2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2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2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2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2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2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2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2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2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2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2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2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2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2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2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2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2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2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2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2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2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2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2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2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2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2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2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2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2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2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2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2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2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2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2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2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2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2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2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2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2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2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2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2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2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2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2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2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2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2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2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2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2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2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2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2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2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2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2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2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2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2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2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2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2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2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2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2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2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2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2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2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2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2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2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2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2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2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2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2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2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2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2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2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2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2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2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2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2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2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2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2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2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2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2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2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2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2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2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2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2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2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2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2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2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2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2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2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2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2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2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2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2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2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2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2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2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2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2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2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2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2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2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2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2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2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2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2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2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2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2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2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2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2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2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2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2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2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2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2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2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2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2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2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2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2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2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2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2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2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2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2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2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2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2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2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2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2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2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2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2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2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2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2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2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2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2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2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2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2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2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2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2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2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2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2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2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2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2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2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2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2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2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2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2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2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2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2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2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2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2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2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2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2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2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2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2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2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2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2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2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2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2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2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2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2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2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2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2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2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2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2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2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2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2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2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2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2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2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2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2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2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2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2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2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2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2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2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2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2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2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2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2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2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2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2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2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2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2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2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2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2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2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2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2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2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2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2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2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2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2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2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2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2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2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2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2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2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2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2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2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2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2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2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2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2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2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2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2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2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2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2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2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2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2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2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2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2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2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2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2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2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2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2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2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2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2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2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2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2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2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2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2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2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2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2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2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2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2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2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2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2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2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2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2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2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2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2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2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2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2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2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2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2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2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2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2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2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2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2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2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2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2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2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2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2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2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2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2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2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2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2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2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2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2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2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2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2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2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2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2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2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2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2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2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2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2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2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2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2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2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2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2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2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2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2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2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2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2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2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2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2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2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2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2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2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2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2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2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2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2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2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2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2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2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2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2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2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2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2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2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2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2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2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2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2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2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2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2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2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2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2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2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2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2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2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2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2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2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2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2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2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2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2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2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2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2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2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2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2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2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2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2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2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2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2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2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2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2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2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2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2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2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2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2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2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2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2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2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2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2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2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2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2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2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2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2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2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2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2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2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2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2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2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2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2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2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2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2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2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2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2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2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2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2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2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2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2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2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2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2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2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2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2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2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2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2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2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2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2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2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2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2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2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2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2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2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2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2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2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2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2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2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2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2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2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2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2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2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2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2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2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2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2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2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2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2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2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2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2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2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2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2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2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2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2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2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2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2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2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2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2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2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2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2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2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2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2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2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2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2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2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2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2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2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2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2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2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2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2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2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2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2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2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2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2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2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2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2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2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2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2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2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2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2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2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2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2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2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2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2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2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2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2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2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2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2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2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2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2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2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2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2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2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2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2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2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2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2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2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2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2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2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2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2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2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2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2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2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2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2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2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2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2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2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2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2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2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2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2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2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2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2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2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2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2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2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2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2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2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2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2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2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2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2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2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2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2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2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2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2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2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2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2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2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2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2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2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2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2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2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2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2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2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2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2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2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2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2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2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2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2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2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2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2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2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2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2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2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2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2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2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2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2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2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2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2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2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2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2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2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2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2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2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2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2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2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2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2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2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2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2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2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2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2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2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2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2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2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2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2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2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2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2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2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2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2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2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2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2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2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2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2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2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2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2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2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2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2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2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2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2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2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2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2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2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2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2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2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2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2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2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2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2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2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2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2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2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2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2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2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2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2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2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2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2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2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2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2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2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2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2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2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2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2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2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2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2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2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2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2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2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2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2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2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2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2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2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2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2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2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2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2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2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2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2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2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2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2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2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2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2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2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2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2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2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2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2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2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2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2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2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2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2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2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2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2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2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2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2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2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2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2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2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2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2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2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2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2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2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2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2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2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2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2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2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2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2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2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2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2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2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2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2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2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2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2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2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2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2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2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2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2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2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2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2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2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2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2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2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2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2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2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2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2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2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2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2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2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2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2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2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2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2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2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2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2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2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2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2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2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2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2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2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2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2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2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2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2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2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2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2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2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2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2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2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2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2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2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2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2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2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2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2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2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2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2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2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2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2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2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2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2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2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2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2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2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2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2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2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2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2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2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2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2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2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2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2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2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2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2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2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2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2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2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2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2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2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2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2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2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2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2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2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2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2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2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2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2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2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2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2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2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2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2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2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2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2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2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2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2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2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2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2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2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2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2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2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2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2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2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2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2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2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2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2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2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2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2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2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2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2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2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2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2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2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2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2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2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2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2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2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2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2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2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2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2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2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2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2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2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2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2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2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2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2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2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2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2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2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2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2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2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2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2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2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2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2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2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2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2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2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2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2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2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2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2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2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2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2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2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2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2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2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2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2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2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2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2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2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2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2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2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2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2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2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2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2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2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2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2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2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2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2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2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2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2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2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2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2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2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2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2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2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2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2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2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2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2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2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2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2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2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2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2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2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2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2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2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2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2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2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2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2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2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2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2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2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2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2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2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2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2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2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2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2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2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2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2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2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2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2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2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2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2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2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2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2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2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2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2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2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2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2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2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2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2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2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2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2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2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2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2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2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2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2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2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2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2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2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2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2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2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2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2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2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2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2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2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2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2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2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2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2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2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2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2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2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2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2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2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2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2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2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2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2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2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2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2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2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2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2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2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2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2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2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2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2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2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2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2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2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2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2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2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2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2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2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2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2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2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2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2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2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2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2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2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2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2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2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2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2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2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2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2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2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2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2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2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2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2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2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2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2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2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2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2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2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2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2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2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2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2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2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2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2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2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2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2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2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2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2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2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2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2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2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2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2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2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2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2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2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2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2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2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2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2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2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2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2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2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2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2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2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2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2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2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2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2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2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2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2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2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2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2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2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2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2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2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2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2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2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2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2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2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2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25">
      <c r="A2964" t="s">
        <v>434</v>
      </c>
      <c r="B2964" t="s">
        <v>8</v>
      </c>
      <c r="C2964">
        <v>4</v>
      </c>
      <c r="D2964">
        <v>1</v>
      </c>
      <c r="E2964">
        <v>2</v>
      </c>
      <c r="F2964" s="15">
        <v>46090</v>
      </c>
      <c r="G2964" t="s">
        <v>414</v>
      </c>
      <c r="H2964">
        <v>4</v>
      </c>
      <c r="I2964">
        <v>2026</v>
      </c>
      <c r="J2964">
        <v>3</v>
      </c>
      <c r="K2964" t="s">
        <v>87</v>
      </c>
      <c r="L2964" t="s">
        <v>401</v>
      </c>
      <c r="M2964" t="s">
        <v>6</v>
      </c>
      <c r="N2964" t="b">
        <v>0</v>
      </c>
      <c r="O2964">
        <v>1</v>
      </c>
      <c r="P2964">
        <v>0</v>
      </c>
      <c r="Q2964">
        <v>0</v>
      </c>
      <c r="R2964">
        <v>0</v>
      </c>
    </row>
    <row r="2965" spans="1:18" x14ac:dyDescent="0.2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2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25">
      <c r="A2967" t="s">
        <v>401</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25">
      <c r="A2968" t="s">
        <v>401</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25">
      <c r="A2969" t="s">
        <v>401</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2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25">
      <c r="A2971" t="s">
        <v>51</v>
      </c>
      <c r="B2971" t="s">
        <v>6</v>
      </c>
      <c r="C2971">
        <v>2</v>
      </c>
      <c r="D2971">
        <v>1</v>
      </c>
      <c r="E2971">
        <v>2</v>
      </c>
      <c r="F2971" s="15">
        <v>46090</v>
      </c>
      <c r="G2971" t="s">
        <v>414</v>
      </c>
      <c r="H2971">
        <v>4</v>
      </c>
      <c r="I2971">
        <v>2026</v>
      </c>
      <c r="J2971">
        <v>3</v>
      </c>
      <c r="K2971" t="s">
        <v>87</v>
      </c>
      <c r="L2971" t="s">
        <v>401</v>
      </c>
      <c r="M2971" t="s">
        <v>6</v>
      </c>
      <c r="N2971" t="b">
        <v>0</v>
      </c>
      <c r="O2971">
        <v>0</v>
      </c>
      <c r="P2971">
        <v>1</v>
      </c>
      <c r="Q2971">
        <v>0</v>
      </c>
      <c r="R2971">
        <v>0</v>
      </c>
    </row>
    <row r="2972" spans="1:18" x14ac:dyDescent="0.2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2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25">
      <c r="A2974" t="s">
        <v>16</v>
      </c>
      <c r="B2974" t="s">
        <v>6</v>
      </c>
      <c r="C2974">
        <v>3</v>
      </c>
      <c r="D2974">
        <v>1</v>
      </c>
      <c r="E2974">
        <v>2</v>
      </c>
      <c r="F2974" s="15">
        <v>46090</v>
      </c>
      <c r="G2974" t="s">
        <v>414</v>
      </c>
      <c r="H2974">
        <v>4</v>
      </c>
      <c r="I2974">
        <v>2026</v>
      </c>
      <c r="J2974">
        <v>3</v>
      </c>
      <c r="K2974" t="s">
        <v>87</v>
      </c>
      <c r="L2974" t="s">
        <v>401</v>
      </c>
      <c r="M2974" t="s">
        <v>6</v>
      </c>
      <c r="N2974" t="b">
        <v>0</v>
      </c>
      <c r="O2974">
        <v>0</v>
      </c>
      <c r="P2974">
        <v>1</v>
      </c>
      <c r="Q2974">
        <v>0</v>
      </c>
      <c r="R2974">
        <v>0</v>
      </c>
    </row>
    <row r="2975" spans="1:18" x14ac:dyDescent="0.2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2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2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2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2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2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2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2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2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2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2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2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2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2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2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2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2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2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2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2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2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2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2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2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2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2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2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2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2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2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2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2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2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2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2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2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2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2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2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2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2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2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2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2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2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2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2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2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2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2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2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2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2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2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2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2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2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2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2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2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2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2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2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2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2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2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2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2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2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2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2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2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2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2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2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2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2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2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2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2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2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2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2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2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2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2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2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2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2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2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2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2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2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2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2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2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2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2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2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2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2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2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2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2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2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2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2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2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2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2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2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2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2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2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2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2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2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2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2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2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2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2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2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2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2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2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2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2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2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2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2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2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2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2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2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2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2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2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2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2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2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2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2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2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2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2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2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2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2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2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2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2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2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2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2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2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2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2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2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2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2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2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2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2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2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2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2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2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2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2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2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2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2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2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2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2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2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2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2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2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2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2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2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2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2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2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2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2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2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2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2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2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2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2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2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2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2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2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2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2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2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2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2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2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2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2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2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2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2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2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2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2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2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2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2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2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2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2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2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2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2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2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2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2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2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2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2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2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2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2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2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2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2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2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2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2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2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2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2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2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2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2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2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2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2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2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2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2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2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2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2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2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2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2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2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2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2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2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2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2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2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2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2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2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2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2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2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2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2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2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2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2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2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2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2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2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2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2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2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2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2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2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2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2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2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2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2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2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2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2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2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2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2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2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2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2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2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2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2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2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2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25">
      <c r="A3276" t="s">
        <v>400</v>
      </c>
      <c r="B3276" t="s">
        <v>6</v>
      </c>
      <c r="C3276">
        <v>1</v>
      </c>
      <c r="D3276">
        <v>4</v>
      </c>
      <c r="E3276">
        <v>1</v>
      </c>
      <c r="F3276" s="15">
        <v>46090</v>
      </c>
      <c r="G3276" t="s">
        <v>410</v>
      </c>
      <c r="H3276">
        <v>4</v>
      </c>
      <c r="I3276">
        <v>2026</v>
      </c>
      <c r="J3276">
        <v>3</v>
      </c>
      <c r="K3276" t="s">
        <v>87</v>
      </c>
      <c r="L3276" t="s">
        <v>401</v>
      </c>
      <c r="M3276" t="s">
        <v>6</v>
      </c>
      <c r="N3276" t="b">
        <v>0</v>
      </c>
      <c r="O3276">
        <v>0</v>
      </c>
      <c r="P3276">
        <v>1</v>
      </c>
      <c r="Q3276">
        <v>0</v>
      </c>
      <c r="R3276">
        <v>0</v>
      </c>
    </row>
    <row r="3277" spans="1:18" x14ac:dyDescent="0.2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2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25">
      <c r="A3279" t="s">
        <v>401</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25">
      <c r="A3280" t="s">
        <v>401</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25">
      <c r="A3281" t="s">
        <v>401</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2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25">
      <c r="A3283" t="s">
        <v>402</v>
      </c>
      <c r="B3283" t="s">
        <v>8</v>
      </c>
      <c r="C3283">
        <v>3</v>
      </c>
      <c r="D3283">
        <v>4</v>
      </c>
      <c r="E3283">
        <v>1</v>
      </c>
      <c r="F3283" s="15">
        <v>46090</v>
      </c>
      <c r="G3283" t="s">
        <v>410</v>
      </c>
      <c r="H3283">
        <v>4</v>
      </c>
      <c r="I3283">
        <v>2026</v>
      </c>
      <c r="J3283">
        <v>3</v>
      </c>
      <c r="K3283" t="s">
        <v>87</v>
      </c>
      <c r="L3283" t="s">
        <v>401</v>
      </c>
      <c r="M3283" t="s">
        <v>6</v>
      </c>
      <c r="N3283" t="b">
        <v>0</v>
      </c>
      <c r="O3283">
        <v>1</v>
      </c>
      <c r="P3283">
        <v>0</v>
      </c>
      <c r="Q3283">
        <v>0</v>
      </c>
      <c r="R3283">
        <v>0</v>
      </c>
    </row>
    <row r="3284" spans="1:18" x14ac:dyDescent="0.2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2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25">
      <c r="A3286" t="s">
        <v>403</v>
      </c>
      <c r="B3286" t="s">
        <v>6</v>
      </c>
      <c r="C3286">
        <v>4</v>
      </c>
      <c r="D3286">
        <v>4</v>
      </c>
      <c r="E3286">
        <v>1</v>
      </c>
      <c r="F3286" s="15">
        <v>46090</v>
      </c>
      <c r="G3286" t="s">
        <v>410</v>
      </c>
      <c r="H3286">
        <v>4</v>
      </c>
      <c r="I3286">
        <v>2026</v>
      </c>
      <c r="J3286">
        <v>3</v>
      </c>
      <c r="K3286" t="s">
        <v>87</v>
      </c>
      <c r="L3286" t="s">
        <v>401</v>
      </c>
      <c r="M3286" t="s">
        <v>6</v>
      </c>
      <c r="N3286" t="b">
        <v>0</v>
      </c>
      <c r="O3286">
        <v>0</v>
      </c>
      <c r="P3286">
        <v>1</v>
      </c>
      <c r="Q3286">
        <v>0</v>
      </c>
      <c r="R3286">
        <v>0</v>
      </c>
    </row>
    <row r="3287" spans="1:18" x14ac:dyDescent="0.2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25">
      <c r="A3288" t="s">
        <v>10</v>
      </c>
      <c r="B3288" t="s">
        <v>8</v>
      </c>
      <c r="C3288">
        <v>1</v>
      </c>
      <c r="D3288">
        <v>5</v>
      </c>
      <c r="E3288">
        <v>1</v>
      </c>
      <c r="F3288" s="15">
        <v>46090</v>
      </c>
      <c r="G3288" t="s">
        <v>411</v>
      </c>
      <c r="H3288">
        <v>4</v>
      </c>
      <c r="I3288">
        <v>2026</v>
      </c>
      <c r="J3288">
        <v>3</v>
      </c>
      <c r="K3288" t="s">
        <v>87</v>
      </c>
      <c r="L3288" t="s">
        <v>404</v>
      </c>
      <c r="M3288" t="s">
        <v>6</v>
      </c>
      <c r="N3288" t="b">
        <v>0</v>
      </c>
      <c r="O3288">
        <v>1</v>
      </c>
      <c r="P3288">
        <v>0</v>
      </c>
      <c r="Q3288">
        <v>0</v>
      </c>
      <c r="R3288">
        <v>0</v>
      </c>
    </row>
    <row r="3289" spans="1:18" x14ac:dyDescent="0.2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2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25">
      <c r="A3291" t="s">
        <v>404</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25">
      <c r="A3292" t="s">
        <v>404</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25">
      <c r="A3293" t="s">
        <v>404</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2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25">
      <c r="A3295" t="s">
        <v>405</v>
      </c>
      <c r="B3295" t="s">
        <v>6</v>
      </c>
      <c r="C3295">
        <v>3</v>
      </c>
      <c r="D3295">
        <v>5</v>
      </c>
      <c r="E3295">
        <v>1</v>
      </c>
      <c r="F3295" s="15">
        <v>46090</v>
      </c>
      <c r="G3295" t="s">
        <v>411</v>
      </c>
      <c r="H3295">
        <v>4</v>
      </c>
      <c r="I3295">
        <v>2026</v>
      </c>
      <c r="J3295">
        <v>3</v>
      </c>
      <c r="K3295" t="s">
        <v>87</v>
      </c>
      <c r="L3295" t="s">
        <v>404</v>
      </c>
      <c r="M3295" t="s">
        <v>6</v>
      </c>
      <c r="N3295" t="b">
        <v>0</v>
      </c>
      <c r="O3295">
        <v>0</v>
      </c>
      <c r="P3295">
        <v>1</v>
      </c>
      <c r="Q3295">
        <v>0</v>
      </c>
      <c r="R3295">
        <v>0</v>
      </c>
    </row>
    <row r="3296" spans="1:18" x14ac:dyDescent="0.2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2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25">
      <c r="A3298" t="s">
        <v>7</v>
      </c>
      <c r="B3298" t="s">
        <v>6</v>
      </c>
      <c r="C3298">
        <v>4</v>
      </c>
      <c r="D3298">
        <v>5</v>
      </c>
      <c r="E3298">
        <v>1</v>
      </c>
      <c r="F3298" s="15">
        <v>46090</v>
      </c>
      <c r="G3298" t="s">
        <v>411</v>
      </c>
      <c r="H3298">
        <v>4</v>
      </c>
      <c r="I3298">
        <v>2026</v>
      </c>
      <c r="J3298">
        <v>3</v>
      </c>
      <c r="K3298" t="s">
        <v>87</v>
      </c>
      <c r="L3298" t="s">
        <v>404</v>
      </c>
      <c r="M3298" t="s">
        <v>6</v>
      </c>
      <c r="N3298" t="b">
        <v>0</v>
      </c>
      <c r="O3298">
        <v>0</v>
      </c>
      <c r="P3298">
        <v>1</v>
      </c>
      <c r="Q3298">
        <v>0</v>
      </c>
      <c r="R3298">
        <v>0</v>
      </c>
    </row>
    <row r="3299" spans="1:18" x14ac:dyDescent="0.2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2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2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2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2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2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2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2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2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2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2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2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2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2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2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2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2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2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2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2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2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2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2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2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2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2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2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2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2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2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2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2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2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2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2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2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2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2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2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2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2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2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2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2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2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2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2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2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2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2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2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2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2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2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2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2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2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2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2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2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2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2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2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2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2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2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2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2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2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2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2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25">
      <c r="A3370" t="s">
        <v>363</v>
      </c>
      <c r="B3370" t="s">
        <v>6</v>
      </c>
      <c r="C3370">
        <v>1</v>
      </c>
      <c r="D3370">
        <v>5</v>
      </c>
      <c r="E3370">
        <v>2</v>
      </c>
      <c r="F3370" s="15">
        <v>46090</v>
      </c>
      <c r="G3370" t="s">
        <v>418</v>
      </c>
      <c r="H3370">
        <v>4</v>
      </c>
      <c r="I3370">
        <v>2026</v>
      </c>
      <c r="J3370">
        <v>3</v>
      </c>
      <c r="K3370" t="s">
        <v>87</v>
      </c>
      <c r="L3370" t="s">
        <v>404</v>
      </c>
      <c r="M3370" t="s">
        <v>6</v>
      </c>
      <c r="N3370" t="b">
        <v>0</v>
      </c>
      <c r="O3370">
        <v>0</v>
      </c>
      <c r="P3370">
        <v>1</v>
      </c>
      <c r="Q3370">
        <v>0</v>
      </c>
      <c r="R3370">
        <v>0</v>
      </c>
    </row>
    <row r="3371" spans="1:18" x14ac:dyDescent="0.2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2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25">
      <c r="A3373" t="s">
        <v>406</v>
      </c>
      <c r="B3373" t="s">
        <v>6</v>
      </c>
      <c r="C3373">
        <v>2</v>
      </c>
      <c r="D3373">
        <v>5</v>
      </c>
      <c r="E3373">
        <v>2</v>
      </c>
      <c r="F3373" s="15">
        <v>46090</v>
      </c>
      <c r="G3373" t="s">
        <v>418</v>
      </c>
      <c r="H3373">
        <v>4</v>
      </c>
      <c r="I3373">
        <v>2026</v>
      </c>
      <c r="J3373">
        <v>3</v>
      </c>
      <c r="K3373" t="s">
        <v>87</v>
      </c>
      <c r="L3373" t="s">
        <v>404</v>
      </c>
      <c r="M3373" t="s">
        <v>6</v>
      </c>
      <c r="N3373" t="b">
        <v>0</v>
      </c>
      <c r="O3373">
        <v>0</v>
      </c>
      <c r="P3373">
        <v>1</v>
      </c>
      <c r="Q3373">
        <v>0</v>
      </c>
      <c r="R3373">
        <v>0</v>
      </c>
    </row>
    <row r="3374" spans="1:18" x14ac:dyDescent="0.2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2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25">
      <c r="A3376" t="s">
        <v>402</v>
      </c>
      <c r="B3376" t="s">
        <v>8</v>
      </c>
      <c r="C3376">
        <v>3</v>
      </c>
      <c r="D3376">
        <v>5</v>
      </c>
      <c r="E3376">
        <v>2</v>
      </c>
      <c r="F3376" s="15">
        <v>46090</v>
      </c>
      <c r="G3376" t="s">
        <v>418</v>
      </c>
      <c r="H3376">
        <v>4</v>
      </c>
      <c r="I3376">
        <v>2026</v>
      </c>
      <c r="J3376">
        <v>3</v>
      </c>
      <c r="K3376" t="s">
        <v>87</v>
      </c>
      <c r="L3376" t="s">
        <v>404</v>
      </c>
      <c r="M3376" t="s">
        <v>6</v>
      </c>
      <c r="N3376" t="b">
        <v>0</v>
      </c>
      <c r="O3376">
        <v>1</v>
      </c>
      <c r="P3376">
        <v>0</v>
      </c>
      <c r="Q3376">
        <v>0</v>
      </c>
      <c r="R3376">
        <v>0</v>
      </c>
    </row>
    <row r="3377" spans="1:18" x14ac:dyDescent="0.25">
      <c r="A3377" t="s">
        <v>404</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25">
      <c r="A3378" t="s">
        <v>404</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25">
      <c r="A3379" t="s">
        <v>404</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2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2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2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2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2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2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2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2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2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2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2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2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2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2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2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2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2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2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2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2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2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2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2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2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2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2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2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2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2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2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2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2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2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2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2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2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2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2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2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2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2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2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2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2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2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2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2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2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2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2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2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2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2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2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2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2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2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2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2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2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2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2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2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2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2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2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2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2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2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2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2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2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2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2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2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2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2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2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2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2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2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2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2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2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2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2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2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2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2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2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2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2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2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2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2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2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2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2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2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2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2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2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2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2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2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2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2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2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2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2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2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2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2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2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2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2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2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2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2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2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2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2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2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2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2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2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2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2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2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2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2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2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2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2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2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2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2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2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2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2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2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2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2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2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2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2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2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2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2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2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2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2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2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2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2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2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2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2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2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2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2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2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2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2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2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2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2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2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2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2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2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2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2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2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2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2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2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2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2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2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2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2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2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2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2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2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2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2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2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2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2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2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2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2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2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2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2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2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2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2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2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2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2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2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2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2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2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2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2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2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2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2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2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2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2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2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2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2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2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2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2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2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2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2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2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2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2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2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2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2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2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2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2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2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2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2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2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2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2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2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2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2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2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2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2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2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2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2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2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2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2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2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2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2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2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2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2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2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2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2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2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2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2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2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2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2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2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2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2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2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2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2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2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2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2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2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2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2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2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2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2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2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2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2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2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2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2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2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2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2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2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2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2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2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2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2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2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2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2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2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2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2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2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2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2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2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2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2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2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2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2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2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2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2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2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2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2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2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2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2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2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2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2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2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2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2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2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2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2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2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2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2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2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2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2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2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2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2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2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2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2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2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2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2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2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2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2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2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2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2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2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2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2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2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2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2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2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2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2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2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2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25">
      <c r="A3741" t="s">
        <v>352</v>
      </c>
      <c r="B3741" t="s">
        <v>6</v>
      </c>
      <c r="C3741">
        <v>1</v>
      </c>
      <c r="D3741">
        <v>2</v>
      </c>
      <c r="E3741">
        <v>1</v>
      </c>
      <c r="F3741" s="15">
        <v>46118</v>
      </c>
      <c r="G3741" t="s">
        <v>467</v>
      </c>
      <c r="H3741">
        <v>4</v>
      </c>
      <c r="I3741">
        <v>2026</v>
      </c>
      <c r="J3741">
        <v>4</v>
      </c>
      <c r="K3741" t="s">
        <v>87</v>
      </c>
      <c r="L3741" t="s">
        <v>463</v>
      </c>
      <c r="M3741" t="s">
        <v>6</v>
      </c>
      <c r="N3741" t="b">
        <v>0</v>
      </c>
      <c r="O3741">
        <v>0</v>
      </c>
      <c r="P3741">
        <v>1</v>
      </c>
      <c r="Q3741">
        <v>0</v>
      </c>
      <c r="R3741">
        <v>0</v>
      </c>
    </row>
    <row r="3742" spans="1:18" x14ac:dyDescent="0.2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2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25">
      <c r="A3744" t="s">
        <v>51</v>
      </c>
      <c r="B3744" t="s">
        <v>6</v>
      </c>
      <c r="C3744">
        <v>2</v>
      </c>
      <c r="D3744">
        <v>2</v>
      </c>
      <c r="E3744">
        <v>1</v>
      </c>
      <c r="F3744" s="15">
        <v>46118</v>
      </c>
      <c r="G3744" t="s">
        <v>467</v>
      </c>
      <c r="H3744">
        <v>4</v>
      </c>
      <c r="I3744">
        <v>2026</v>
      </c>
      <c r="J3744">
        <v>4</v>
      </c>
      <c r="K3744" t="s">
        <v>87</v>
      </c>
      <c r="L3744" t="s">
        <v>463</v>
      </c>
      <c r="M3744" t="s">
        <v>6</v>
      </c>
      <c r="N3744" t="b">
        <v>0</v>
      </c>
      <c r="O3744">
        <v>0</v>
      </c>
      <c r="P3744">
        <v>1</v>
      </c>
      <c r="Q3744">
        <v>0</v>
      </c>
      <c r="R3744">
        <v>0</v>
      </c>
    </row>
    <row r="3745" spans="1:18" x14ac:dyDescent="0.2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25">
      <c r="A3746" t="s">
        <v>463</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25">
      <c r="A3747" t="s">
        <v>463</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25">
      <c r="A3748" t="s">
        <v>463</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2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2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25">
      <c r="A3751" t="s">
        <v>19</v>
      </c>
      <c r="B3751" t="s">
        <v>8</v>
      </c>
      <c r="C3751">
        <v>4</v>
      </c>
      <c r="D3751">
        <v>2</v>
      </c>
      <c r="E3751">
        <v>1</v>
      </c>
      <c r="F3751" s="15">
        <v>46118</v>
      </c>
      <c r="G3751" t="s">
        <v>467</v>
      </c>
      <c r="H3751">
        <v>4</v>
      </c>
      <c r="I3751">
        <v>2026</v>
      </c>
      <c r="J3751">
        <v>4</v>
      </c>
      <c r="K3751" t="s">
        <v>87</v>
      </c>
      <c r="L3751" t="s">
        <v>463</v>
      </c>
      <c r="M3751" t="s">
        <v>6</v>
      </c>
      <c r="N3751" t="b">
        <v>0</v>
      </c>
      <c r="O3751">
        <v>1</v>
      </c>
      <c r="P3751">
        <v>0</v>
      </c>
      <c r="Q3751">
        <v>0</v>
      </c>
      <c r="R3751">
        <v>0</v>
      </c>
    </row>
    <row r="3752" spans="1:18" x14ac:dyDescent="0.2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2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2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2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2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2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2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2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2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2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2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2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2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2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2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2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2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2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2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2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2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2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2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2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2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2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2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2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2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2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2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2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2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2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2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2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25">
      <c r="A3788" t="s">
        <v>465</v>
      </c>
      <c r="B3788" t="s">
        <v>6</v>
      </c>
      <c r="C3788">
        <v>1</v>
      </c>
      <c r="D3788">
        <v>1</v>
      </c>
      <c r="E3788">
        <v>2</v>
      </c>
      <c r="F3788" s="15">
        <v>46118</v>
      </c>
      <c r="G3788" t="s">
        <v>472</v>
      </c>
      <c r="H3788">
        <v>4</v>
      </c>
      <c r="I3788">
        <v>2026</v>
      </c>
      <c r="J3788">
        <v>4</v>
      </c>
      <c r="K3788" t="s">
        <v>87</v>
      </c>
      <c r="L3788" t="s">
        <v>463</v>
      </c>
      <c r="M3788" t="s">
        <v>6</v>
      </c>
      <c r="N3788" t="b">
        <v>0</v>
      </c>
      <c r="O3788">
        <v>0</v>
      </c>
      <c r="P3788">
        <v>1</v>
      </c>
      <c r="Q3788">
        <v>0</v>
      </c>
      <c r="R3788">
        <v>0</v>
      </c>
    </row>
    <row r="3789" spans="1:18" x14ac:dyDescent="0.2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2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25">
      <c r="A3791" t="s">
        <v>463</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25">
      <c r="A3792" t="s">
        <v>463</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25">
      <c r="A3793" t="s">
        <v>463</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2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25">
      <c r="A3795" t="s">
        <v>365</v>
      </c>
      <c r="B3795" t="s">
        <v>6</v>
      </c>
      <c r="C3795">
        <v>3</v>
      </c>
      <c r="D3795">
        <v>1</v>
      </c>
      <c r="E3795">
        <v>2</v>
      </c>
      <c r="F3795" s="15">
        <v>46118</v>
      </c>
      <c r="G3795" t="s">
        <v>472</v>
      </c>
      <c r="H3795">
        <v>4</v>
      </c>
      <c r="I3795">
        <v>2026</v>
      </c>
      <c r="J3795">
        <v>4</v>
      </c>
      <c r="K3795" t="s">
        <v>87</v>
      </c>
      <c r="L3795" t="s">
        <v>463</v>
      </c>
      <c r="M3795" t="s">
        <v>6</v>
      </c>
      <c r="N3795" t="b">
        <v>0</v>
      </c>
      <c r="O3795">
        <v>0</v>
      </c>
      <c r="P3795">
        <v>1</v>
      </c>
      <c r="Q3795">
        <v>0</v>
      </c>
      <c r="R3795">
        <v>0</v>
      </c>
    </row>
    <row r="3796" spans="1:18" x14ac:dyDescent="0.2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2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25">
      <c r="A3798" t="s">
        <v>10</v>
      </c>
      <c r="B3798" t="s">
        <v>8</v>
      </c>
      <c r="C3798">
        <v>4</v>
      </c>
      <c r="D3798">
        <v>1</v>
      </c>
      <c r="E3798">
        <v>2</v>
      </c>
      <c r="F3798" s="15">
        <v>46118</v>
      </c>
      <c r="G3798" t="s">
        <v>472</v>
      </c>
      <c r="H3798">
        <v>4</v>
      </c>
      <c r="I3798">
        <v>2026</v>
      </c>
      <c r="J3798">
        <v>4</v>
      </c>
      <c r="K3798" t="s">
        <v>87</v>
      </c>
      <c r="L3798" t="s">
        <v>463</v>
      </c>
      <c r="M3798" t="s">
        <v>6</v>
      </c>
      <c r="N3798" t="b">
        <v>0</v>
      </c>
      <c r="O3798">
        <v>1</v>
      </c>
      <c r="P3798">
        <v>0</v>
      </c>
      <c r="Q3798">
        <v>0</v>
      </c>
      <c r="R3798">
        <v>0</v>
      </c>
    </row>
    <row r="3799" spans="1:18" x14ac:dyDescent="0.2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2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2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2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2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2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2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2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2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2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2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2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2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2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2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2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2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2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2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2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2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2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2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2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2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2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2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2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2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2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2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2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2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2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2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2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2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2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2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2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2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2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2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2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2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2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2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2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2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2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2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2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2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2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2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2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2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2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2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2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2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2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2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2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2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2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2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2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2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2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2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2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2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2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2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2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2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2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2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2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2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2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2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2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2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2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2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2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2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2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2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2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2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2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2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2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2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2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2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2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2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2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2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2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2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2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2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2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2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2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2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2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2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2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2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2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2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2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2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2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2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2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2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2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2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2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2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2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2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2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2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2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2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2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2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2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2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2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2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2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2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2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2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2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2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2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2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2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2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2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2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2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2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2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2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2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2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2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2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2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2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2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2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2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2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2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2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2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2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2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2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2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2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2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2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2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2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2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2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2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2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2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2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2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2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2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2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2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2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2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2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2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2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2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2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2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2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2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2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2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2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2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2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2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2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2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2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2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2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2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2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2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2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2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2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2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2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2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2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2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2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2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2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2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2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2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2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2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2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2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2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2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2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2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2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2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2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2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2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2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2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2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2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2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2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2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2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2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2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2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2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2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2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2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2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2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2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2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2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2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2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2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2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2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2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2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2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2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2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2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2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2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2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2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2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2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2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2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2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2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2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2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2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2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2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2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2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2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2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2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2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2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2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2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2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2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2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2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2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2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2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2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2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2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2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2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2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2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2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2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2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2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2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2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2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2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2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2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2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2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2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2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2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2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2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2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2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2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2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2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2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2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2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2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2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2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2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2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2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2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2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2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2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2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2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2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2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2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2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2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2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2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2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2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2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2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2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2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2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2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2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2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2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2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2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2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2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2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2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2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2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2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2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2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2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2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2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2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2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2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2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2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2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2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2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2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2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2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2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2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2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2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2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2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2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2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2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2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2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2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2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2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2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2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2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2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2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2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2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2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2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2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2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2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2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2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2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2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2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2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2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2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2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2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2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2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2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2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2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2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2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2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2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2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2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2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2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2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2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2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2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2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2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2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2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2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2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2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2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2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2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2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2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2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2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2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2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2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2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2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2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2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2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2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2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2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2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2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2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2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2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2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2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2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2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2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2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2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2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2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2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2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2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2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2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2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2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25">
      <c r="A4286" t="s">
        <v>30</v>
      </c>
      <c r="B4286" t="s">
        <v>63</v>
      </c>
      <c r="C4286">
        <v>1</v>
      </c>
      <c r="D4286">
        <v>2</v>
      </c>
      <c r="E4286">
        <v>1</v>
      </c>
      <c r="F4286" s="15">
        <v>46160</v>
      </c>
      <c r="G4286" t="s">
        <v>530</v>
      </c>
      <c r="H4286">
        <v>4</v>
      </c>
      <c r="I4286">
        <v>2026</v>
      </c>
      <c r="J4286">
        <v>5</v>
      </c>
      <c r="K4286" t="s">
        <v>87</v>
      </c>
      <c r="L4286" t="s">
        <v>539</v>
      </c>
      <c r="M4286" t="s">
        <v>63</v>
      </c>
      <c r="N4286" t="b">
        <v>0</v>
      </c>
      <c r="O4286">
        <v>0</v>
      </c>
      <c r="P4286">
        <v>0</v>
      </c>
      <c r="Q4286">
        <v>1</v>
      </c>
      <c r="R4286">
        <v>0</v>
      </c>
    </row>
    <row r="4287" spans="1:18" x14ac:dyDescent="0.25">
      <c r="A4287" t="s">
        <v>30</v>
      </c>
      <c r="B4287" t="s">
        <v>63</v>
      </c>
      <c r="C4287">
        <v>1</v>
      </c>
      <c r="D4287">
        <v>2</v>
      </c>
      <c r="E4287">
        <v>1</v>
      </c>
      <c r="F4287" s="15">
        <v>46160</v>
      </c>
      <c r="G4287" t="s">
        <v>530</v>
      </c>
      <c r="H4287">
        <v>4</v>
      </c>
      <c r="I4287">
        <v>2026</v>
      </c>
      <c r="J4287">
        <v>5</v>
      </c>
      <c r="K4287" t="s">
        <v>87</v>
      </c>
      <c r="L4287" t="s">
        <v>11</v>
      </c>
      <c r="M4287" t="s">
        <v>63</v>
      </c>
      <c r="N4287" t="b">
        <v>0</v>
      </c>
      <c r="O4287">
        <v>0</v>
      </c>
      <c r="P4287">
        <v>0</v>
      </c>
      <c r="Q4287">
        <v>1</v>
      </c>
      <c r="R4287">
        <v>0</v>
      </c>
    </row>
    <row r="4288" spans="1:18" x14ac:dyDescent="0.25">
      <c r="A4288" t="s">
        <v>30</v>
      </c>
      <c r="B4288" t="s">
        <v>63</v>
      </c>
      <c r="C4288">
        <v>1</v>
      </c>
      <c r="D4288">
        <v>2</v>
      </c>
      <c r="E4288">
        <v>1</v>
      </c>
      <c r="F4288" s="15">
        <v>46160</v>
      </c>
      <c r="G4288" t="s">
        <v>530</v>
      </c>
      <c r="H4288">
        <v>4</v>
      </c>
      <c r="I4288">
        <v>2026</v>
      </c>
      <c r="J4288">
        <v>5</v>
      </c>
      <c r="K4288" t="s">
        <v>87</v>
      </c>
      <c r="L4288" t="s">
        <v>10</v>
      </c>
      <c r="M4288" t="s">
        <v>63</v>
      </c>
      <c r="N4288" t="b">
        <v>0</v>
      </c>
      <c r="O4288">
        <v>0</v>
      </c>
      <c r="P4288">
        <v>0</v>
      </c>
      <c r="Q4288">
        <v>1</v>
      </c>
      <c r="R4288">
        <v>0</v>
      </c>
    </row>
    <row r="4289" spans="1:18" x14ac:dyDescent="0.25">
      <c r="A4289" t="s">
        <v>539</v>
      </c>
      <c r="B4289" t="s">
        <v>63</v>
      </c>
      <c r="C4289">
        <v>2</v>
      </c>
      <c r="D4289">
        <v>2</v>
      </c>
      <c r="E4289">
        <v>1</v>
      </c>
      <c r="F4289" s="15">
        <v>46160</v>
      </c>
      <c r="G4289" t="s">
        <v>530</v>
      </c>
      <c r="H4289">
        <v>4</v>
      </c>
      <c r="I4289">
        <v>2026</v>
      </c>
      <c r="J4289">
        <v>5</v>
      </c>
      <c r="K4289" t="s">
        <v>87</v>
      </c>
      <c r="L4289" t="s">
        <v>30</v>
      </c>
      <c r="M4289" t="s">
        <v>63</v>
      </c>
      <c r="N4289" t="b">
        <v>0</v>
      </c>
      <c r="O4289">
        <v>0</v>
      </c>
      <c r="P4289">
        <v>0</v>
      </c>
      <c r="Q4289">
        <v>1</v>
      </c>
      <c r="R4289">
        <v>0</v>
      </c>
    </row>
    <row r="4290" spans="1:18" x14ac:dyDescent="0.25">
      <c r="A4290" t="s">
        <v>539</v>
      </c>
      <c r="B4290" t="s">
        <v>63</v>
      </c>
      <c r="C4290">
        <v>2</v>
      </c>
      <c r="D4290">
        <v>2</v>
      </c>
      <c r="E4290">
        <v>1</v>
      </c>
      <c r="F4290" s="15">
        <v>46160</v>
      </c>
      <c r="G4290" t="s">
        <v>530</v>
      </c>
      <c r="H4290">
        <v>4</v>
      </c>
      <c r="I4290">
        <v>2026</v>
      </c>
      <c r="J4290">
        <v>5</v>
      </c>
      <c r="K4290" t="s">
        <v>87</v>
      </c>
      <c r="L4290" t="s">
        <v>11</v>
      </c>
      <c r="M4290" t="s">
        <v>63</v>
      </c>
      <c r="N4290" t="b">
        <v>0</v>
      </c>
      <c r="O4290">
        <v>0</v>
      </c>
      <c r="P4290">
        <v>0</v>
      </c>
      <c r="Q4290">
        <v>1</v>
      </c>
      <c r="R4290">
        <v>0</v>
      </c>
    </row>
    <row r="4291" spans="1:18" x14ac:dyDescent="0.25">
      <c r="A4291" t="s">
        <v>539</v>
      </c>
      <c r="B4291" t="s">
        <v>63</v>
      </c>
      <c r="C4291">
        <v>2</v>
      </c>
      <c r="D4291">
        <v>2</v>
      </c>
      <c r="E4291">
        <v>1</v>
      </c>
      <c r="F4291" s="15">
        <v>46160</v>
      </c>
      <c r="G4291" t="s">
        <v>530</v>
      </c>
      <c r="H4291">
        <v>4</v>
      </c>
      <c r="I4291">
        <v>2026</v>
      </c>
      <c r="J4291">
        <v>5</v>
      </c>
      <c r="K4291" t="s">
        <v>87</v>
      </c>
      <c r="L4291" t="s">
        <v>10</v>
      </c>
      <c r="M4291" t="s">
        <v>63</v>
      </c>
      <c r="N4291" t="b">
        <v>0</v>
      </c>
      <c r="O4291">
        <v>0</v>
      </c>
      <c r="P4291">
        <v>0</v>
      </c>
      <c r="Q4291">
        <v>1</v>
      </c>
      <c r="R4291">
        <v>0</v>
      </c>
    </row>
    <row r="4292" spans="1:18" x14ac:dyDescent="0.25">
      <c r="A4292" t="s">
        <v>11</v>
      </c>
      <c r="B4292" t="s">
        <v>63</v>
      </c>
      <c r="C4292">
        <v>3</v>
      </c>
      <c r="D4292">
        <v>2</v>
      </c>
      <c r="E4292">
        <v>1</v>
      </c>
      <c r="F4292" s="15">
        <v>46160</v>
      </c>
      <c r="G4292" t="s">
        <v>530</v>
      </c>
      <c r="H4292">
        <v>4</v>
      </c>
      <c r="I4292">
        <v>2026</v>
      </c>
      <c r="J4292">
        <v>5</v>
      </c>
      <c r="K4292" t="s">
        <v>87</v>
      </c>
      <c r="L4292" t="s">
        <v>30</v>
      </c>
      <c r="M4292" t="s">
        <v>63</v>
      </c>
      <c r="N4292" t="b">
        <v>0</v>
      </c>
      <c r="O4292">
        <v>0</v>
      </c>
      <c r="P4292">
        <v>0</v>
      </c>
      <c r="Q4292">
        <v>1</v>
      </c>
      <c r="R4292">
        <v>0</v>
      </c>
    </row>
    <row r="4293" spans="1:18" x14ac:dyDescent="0.25">
      <c r="A4293" t="s">
        <v>11</v>
      </c>
      <c r="B4293" t="s">
        <v>63</v>
      </c>
      <c r="C4293">
        <v>3</v>
      </c>
      <c r="D4293">
        <v>2</v>
      </c>
      <c r="E4293">
        <v>1</v>
      </c>
      <c r="F4293" s="15">
        <v>46160</v>
      </c>
      <c r="G4293" t="s">
        <v>530</v>
      </c>
      <c r="H4293">
        <v>4</v>
      </c>
      <c r="I4293">
        <v>2026</v>
      </c>
      <c r="J4293">
        <v>5</v>
      </c>
      <c r="K4293" t="s">
        <v>87</v>
      </c>
      <c r="L4293" t="s">
        <v>539</v>
      </c>
      <c r="M4293" t="s">
        <v>63</v>
      </c>
      <c r="N4293" t="b">
        <v>0</v>
      </c>
      <c r="O4293">
        <v>0</v>
      </c>
      <c r="P4293">
        <v>0</v>
      </c>
      <c r="Q4293">
        <v>1</v>
      </c>
      <c r="R4293">
        <v>0</v>
      </c>
    </row>
    <row r="4294" spans="1:18" x14ac:dyDescent="0.25">
      <c r="A4294" t="s">
        <v>11</v>
      </c>
      <c r="B4294" t="s">
        <v>63</v>
      </c>
      <c r="C4294">
        <v>3</v>
      </c>
      <c r="D4294">
        <v>2</v>
      </c>
      <c r="E4294">
        <v>1</v>
      </c>
      <c r="F4294" s="15">
        <v>46160</v>
      </c>
      <c r="G4294" t="s">
        <v>530</v>
      </c>
      <c r="H4294">
        <v>4</v>
      </c>
      <c r="I4294">
        <v>2026</v>
      </c>
      <c r="J4294">
        <v>5</v>
      </c>
      <c r="K4294" t="s">
        <v>87</v>
      </c>
      <c r="L4294" t="s">
        <v>10</v>
      </c>
      <c r="M4294" t="s">
        <v>63</v>
      </c>
      <c r="N4294" t="b">
        <v>0</v>
      </c>
      <c r="O4294">
        <v>0</v>
      </c>
      <c r="P4294">
        <v>0</v>
      </c>
      <c r="Q4294">
        <v>1</v>
      </c>
      <c r="R4294">
        <v>0</v>
      </c>
    </row>
    <row r="4295" spans="1:18" x14ac:dyDescent="0.25">
      <c r="A4295" t="s">
        <v>10</v>
      </c>
      <c r="B4295" t="s">
        <v>63</v>
      </c>
      <c r="C4295">
        <v>4</v>
      </c>
      <c r="D4295">
        <v>2</v>
      </c>
      <c r="E4295">
        <v>1</v>
      </c>
      <c r="F4295" s="15">
        <v>46160</v>
      </c>
      <c r="G4295" t="s">
        <v>530</v>
      </c>
      <c r="H4295">
        <v>4</v>
      </c>
      <c r="I4295">
        <v>2026</v>
      </c>
      <c r="J4295">
        <v>5</v>
      </c>
      <c r="K4295" t="s">
        <v>87</v>
      </c>
      <c r="L4295" t="s">
        <v>30</v>
      </c>
      <c r="M4295" t="s">
        <v>63</v>
      </c>
      <c r="N4295" t="b">
        <v>0</v>
      </c>
      <c r="O4295">
        <v>0</v>
      </c>
      <c r="P4295">
        <v>0</v>
      </c>
      <c r="Q4295">
        <v>1</v>
      </c>
      <c r="R4295">
        <v>0</v>
      </c>
    </row>
    <row r="4296" spans="1:18" x14ac:dyDescent="0.25">
      <c r="A4296" t="s">
        <v>10</v>
      </c>
      <c r="B4296" t="s">
        <v>63</v>
      </c>
      <c r="C4296">
        <v>4</v>
      </c>
      <c r="D4296">
        <v>2</v>
      </c>
      <c r="E4296">
        <v>1</v>
      </c>
      <c r="F4296" s="15">
        <v>46160</v>
      </c>
      <c r="G4296" t="s">
        <v>530</v>
      </c>
      <c r="H4296">
        <v>4</v>
      </c>
      <c r="I4296">
        <v>2026</v>
      </c>
      <c r="J4296">
        <v>5</v>
      </c>
      <c r="K4296" t="s">
        <v>87</v>
      </c>
      <c r="L4296" t="s">
        <v>539</v>
      </c>
      <c r="M4296" t="s">
        <v>63</v>
      </c>
      <c r="N4296" t="b">
        <v>0</v>
      </c>
      <c r="O4296">
        <v>0</v>
      </c>
      <c r="P4296">
        <v>0</v>
      </c>
      <c r="Q4296">
        <v>1</v>
      </c>
      <c r="R4296">
        <v>0</v>
      </c>
    </row>
    <row r="4297" spans="1:18" x14ac:dyDescent="0.25">
      <c r="A4297" t="s">
        <v>10</v>
      </c>
      <c r="B4297" t="s">
        <v>63</v>
      </c>
      <c r="C4297">
        <v>4</v>
      </c>
      <c r="D4297">
        <v>2</v>
      </c>
      <c r="E4297">
        <v>1</v>
      </c>
      <c r="F4297" s="15">
        <v>46160</v>
      </c>
      <c r="G4297" t="s">
        <v>530</v>
      </c>
      <c r="H4297">
        <v>4</v>
      </c>
      <c r="I4297">
        <v>2026</v>
      </c>
      <c r="J4297">
        <v>5</v>
      </c>
      <c r="K4297" t="s">
        <v>87</v>
      </c>
      <c r="L4297" t="s">
        <v>11</v>
      </c>
      <c r="M4297" t="s">
        <v>63</v>
      </c>
      <c r="N4297" t="b">
        <v>0</v>
      </c>
      <c r="O4297">
        <v>0</v>
      </c>
      <c r="P4297">
        <v>0</v>
      </c>
      <c r="Q4297">
        <v>1</v>
      </c>
      <c r="R4297">
        <v>0</v>
      </c>
    </row>
    <row r="4298" spans="1:18" x14ac:dyDescent="0.25">
      <c r="A4298" t="s">
        <v>14</v>
      </c>
      <c r="B4298" t="s">
        <v>63</v>
      </c>
      <c r="C4298">
        <v>1</v>
      </c>
      <c r="D4298">
        <v>3</v>
      </c>
      <c r="E4298">
        <v>1</v>
      </c>
      <c r="F4298" s="15">
        <v>46160</v>
      </c>
      <c r="G4298" t="s">
        <v>531</v>
      </c>
      <c r="H4298">
        <v>4</v>
      </c>
      <c r="I4298">
        <v>2026</v>
      </c>
      <c r="J4298">
        <v>5</v>
      </c>
      <c r="K4298" t="s">
        <v>87</v>
      </c>
      <c r="L4298" t="s">
        <v>364</v>
      </c>
      <c r="M4298" t="s">
        <v>63</v>
      </c>
      <c r="N4298" t="b">
        <v>0</v>
      </c>
      <c r="O4298">
        <v>0</v>
      </c>
      <c r="P4298">
        <v>0</v>
      </c>
      <c r="Q4298">
        <v>1</v>
      </c>
      <c r="R4298">
        <v>0</v>
      </c>
    </row>
    <row r="4299" spans="1:18" x14ac:dyDescent="0.25">
      <c r="A4299" t="s">
        <v>14</v>
      </c>
      <c r="B4299" t="s">
        <v>63</v>
      </c>
      <c r="C4299">
        <v>1</v>
      </c>
      <c r="D4299">
        <v>3</v>
      </c>
      <c r="E4299">
        <v>1</v>
      </c>
      <c r="F4299" s="15">
        <v>46160</v>
      </c>
      <c r="G4299" t="s">
        <v>531</v>
      </c>
      <c r="H4299">
        <v>4</v>
      </c>
      <c r="I4299">
        <v>2026</v>
      </c>
      <c r="J4299">
        <v>5</v>
      </c>
      <c r="K4299" t="s">
        <v>87</v>
      </c>
      <c r="L4299" t="s">
        <v>51</v>
      </c>
      <c r="M4299" t="s">
        <v>63</v>
      </c>
      <c r="N4299" t="b">
        <v>0</v>
      </c>
      <c r="O4299">
        <v>0</v>
      </c>
      <c r="P4299">
        <v>0</v>
      </c>
      <c r="Q4299">
        <v>1</v>
      </c>
      <c r="R4299">
        <v>0</v>
      </c>
    </row>
    <row r="4300" spans="1:18" x14ac:dyDescent="0.25">
      <c r="A4300" t="s">
        <v>14</v>
      </c>
      <c r="B4300" t="s">
        <v>63</v>
      </c>
      <c r="C4300">
        <v>1</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25">
      <c r="A4301" t="s">
        <v>364</v>
      </c>
      <c r="B4301" t="s">
        <v>63</v>
      </c>
      <c r="C4301">
        <v>2</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25">
      <c r="A4302" t="s">
        <v>364</v>
      </c>
      <c r="B4302" t="s">
        <v>63</v>
      </c>
      <c r="C4302">
        <v>2</v>
      </c>
      <c r="D4302">
        <v>3</v>
      </c>
      <c r="E4302">
        <v>1</v>
      </c>
      <c r="F4302" s="15">
        <v>46160</v>
      </c>
      <c r="G4302" t="s">
        <v>531</v>
      </c>
      <c r="H4302">
        <v>4</v>
      </c>
      <c r="I4302">
        <v>2026</v>
      </c>
      <c r="J4302">
        <v>5</v>
      </c>
      <c r="K4302" t="s">
        <v>87</v>
      </c>
      <c r="L4302" t="s">
        <v>51</v>
      </c>
      <c r="M4302" t="s">
        <v>63</v>
      </c>
      <c r="N4302" t="b">
        <v>0</v>
      </c>
      <c r="O4302">
        <v>0</v>
      </c>
      <c r="P4302">
        <v>0</v>
      </c>
      <c r="Q4302">
        <v>1</v>
      </c>
      <c r="R4302">
        <v>0</v>
      </c>
    </row>
    <row r="4303" spans="1:18" x14ac:dyDescent="0.25">
      <c r="A4303" t="s">
        <v>364</v>
      </c>
      <c r="B4303" t="s">
        <v>63</v>
      </c>
      <c r="C4303">
        <v>2</v>
      </c>
      <c r="D4303">
        <v>3</v>
      </c>
      <c r="E4303">
        <v>1</v>
      </c>
      <c r="F4303" s="15">
        <v>46160</v>
      </c>
      <c r="G4303" t="s">
        <v>531</v>
      </c>
      <c r="H4303">
        <v>4</v>
      </c>
      <c r="I4303">
        <v>2026</v>
      </c>
      <c r="J4303">
        <v>5</v>
      </c>
      <c r="K4303" t="s">
        <v>87</v>
      </c>
      <c r="L4303" t="s">
        <v>363</v>
      </c>
      <c r="M4303" t="s">
        <v>63</v>
      </c>
      <c r="N4303" t="b">
        <v>0</v>
      </c>
      <c r="O4303">
        <v>0</v>
      </c>
      <c r="P4303">
        <v>0</v>
      </c>
      <c r="Q4303">
        <v>1</v>
      </c>
      <c r="R4303">
        <v>0</v>
      </c>
    </row>
    <row r="4304" spans="1:18" x14ac:dyDescent="0.25">
      <c r="A4304" t="s">
        <v>51</v>
      </c>
      <c r="B4304" t="s">
        <v>63</v>
      </c>
      <c r="C4304">
        <v>3</v>
      </c>
      <c r="D4304">
        <v>3</v>
      </c>
      <c r="E4304">
        <v>1</v>
      </c>
      <c r="F4304" s="15">
        <v>46160</v>
      </c>
      <c r="G4304" t="s">
        <v>531</v>
      </c>
      <c r="H4304">
        <v>4</v>
      </c>
      <c r="I4304">
        <v>2026</v>
      </c>
      <c r="J4304">
        <v>5</v>
      </c>
      <c r="K4304" t="s">
        <v>87</v>
      </c>
      <c r="L4304" t="s">
        <v>14</v>
      </c>
      <c r="M4304" t="s">
        <v>63</v>
      </c>
      <c r="N4304" t="b">
        <v>0</v>
      </c>
      <c r="O4304">
        <v>0</v>
      </c>
      <c r="P4304">
        <v>0</v>
      </c>
      <c r="Q4304">
        <v>1</v>
      </c>
      <c r="R4304">
        <v>0</v>
      </c>
    </row>
    <row r="4305" spans="1:18" x14ac:dyDescent="0.25">
      <c r="A4305" t="s">
        <v>51</v>
      </c>
      <c r="B4305" t="s">
        <v>63</v>
      </c>
      <c r="C4305">
        <v>3</v>
      </c>
      <c r="D4305">
        <v>3</v>
      </c>
      <c r="E4305">
        <v>1</v>
      </c>
      <c r="F4305" s="15">
        <v>46160</v>
      </c>
      <c r="G4305" t="s">
        <v>531</v>
      </c>
      <c r="H4305">
        <v>4</v>
      </c>
      <c r="I4305">
        <v>2026</v>
      </c>
      <c r="J4305">
        <v>5</v>
      </c>
      <c r="K4305" t="s">
        <v>87</v>
      </c>
      <c r="L4305" t="s">
        <v>364</v>
      </c>
      <c r="M4305" t="s">
        <v>63</v>
      </c>
      <c r="N4305" t="b">
        <v>0</v>
      </c>
      <c r="O4305">
        <v>0</v>
      </c>
      <c r="P4305">
        <v>0</v>
      </c>
      <c r="Q4305">
        <v>1</v>
      </c>
      <c r="R4305">
        <v>0</v>
      </c>
    </row>
    <row r="4306" spans="1:18" x14ac:dyDescent="0.25">
      <c r="A4306" t="s">
        <v>51</v>
      </c>
      <c r="B4306" t="s">
        <v>63</v>
      </c>
      <c r="C4306">
        <v>3</v>
      </c>
      <c r="D4306">
        <v>3</v>
      </c>
      <c r="E4306">
        <v>1</v>
      </c>
      <c r="F4306" s="15">
        <v>46160</v>
      </c>
      <c r="G4306" t="s">
        <v>531</v>
      </c>
      <c r="H4306">
        <v>4</v>
      </c>
      <c r="I4306">
        <v>2026</v>
      </c>
      <c r="J4306">
        <v>5</v>
      </c>
      <c r="K4306" t="s">
        <v>87</v>
      </c>
      <c r="L4306" t="s">
        <v>363</v>
      </c>
      <c r="M4306" t="s">
        <v>63</v>
      </c>
      <c r="N4306" t="b">
        <v>0</v>
      </c>
      <c r="O4306">
        <v>0</v>
      </c>
      <c r="P4306">
        <v>0</v>
      </c>
      <c r="Q4306">
        <v>1</v>
      </c>
      <c r="R4306">
        <v>0</v>
      </c>
    </row>
    <row r="4307" spans="1:18" x14ac:dyDescent="0.25">
      <c r="A4307" t="s">
        <v>363</v>
      </c>
      <c r="B4307" t="s">
        <v>63</v>
      </c>
      <c r="C4307">
        <v>4</v>
      </c>
      <c r="D4307">
        <v>3</v>
      </c>
      <c r="E4307">
        <v>1</v>
      </c>
      <c r="F4307" s="15">
        <v>46160</v>
      </c>
      <c r="G4307" t="s">
        <v>531</v>
      </c>
      <c r="H4307">
        <v>4</v>
      </c>
      <c r="I4307">
        <v>2026</v>
      </c>
      <c r="J4307">
        <v>5</v>
      </c>
      <c r="K4307" t="s">
        <v>87</v>
      </c>
      <c r="L4307" t="s">
        <v>14</v>
      </c>
      <c r="M4307" t="s">
        <v>63</v>
      </c>
      <c r="N4307" t="b">
        <v>0</v>
      </c>
      <c r="O4307">
        <v>0</v>
      </c>
      <c r="P4307">
        <v>0</v>
      </c>
      <c r="Q4307">
        <v>1</v>
      </c>
      <c r="R4307">
        <v>0</v>
      </c>
    </row>
    <row r="4308" spans="1:18" x14ac:dyDescent="0.25">
      <c r="A4308" t="s">
        <v>363</v>
      </c>
      <c r="B4308" t="s">
        <v>63</v>
      </c>
      <c r="C4308">
        <v>4</v>
      </c>
      <c r="D4308">
        <v>3</v>
      </c>
      <c r="E4308">
        <v>1</v>
      </c>
      <c r="F4308" s="15">
        <v>46160</v>
      </c>
      <c r="G4308" t="s">
        <v>531</v>
      </c>
      <c r="H4308">
        <v>4</v>
      </c>
      <c r="I4308">
        <v>2026</v>
      </c>
      <c r="J4308">
        <v>5</v>
      </c>
      <c r="K4308" t="s">
        <v>87</v>
      </c>
      <c r="L4308" t="s">
        <v>364</v>
      </c>
      <c r="M4308" t="s">
        <v>63</v>
      </c>
      <c r="N4308" t="b">
        <v>0</v>
      </c>
      <c r="O4308">
        <v>0</v>
      </c>
      <c r="P4308">
        <v>0</v>
      </c>
      <c r="Q4308">
        <v>1</v>
      </c>
      <c r="R4308">
        <v>0</v>
      </c>
    </row>
    <row r="4309" spans="1:18" x14ac:dyDescent="0.25">
      <c r="A4309" t="s">
        <v>363</v>
      </c>
      <c r="B4309" t="s">
        <v>63</v>
      </c>
      <c r="C4309">
        <v>4</v>
      </c>
      <c r="D4309">
        <v>3</v>
      </c>
      <c r="E4309">
        <v>1</v>
      </c>
      <c r="F4309" s="15">
        <v>46160</v>
      </c>
      <c r="G4309" t="s">
        <v>531</v>
      </c>
      <c r="H4309">
        <v>4</v>
      </c>
      <c r="I4309">
        <v>2026</v>
      </c>
      <c r="J4309">
        <v>5</v>
      </c>
      <c r="K4309" t="s">
        <v>87</v>
      </c>
      <c r="L4309" t="s">
        <v>51</v>
      </c>
      <c r="M4309" t="s">
        <v>63</v>
      </c>
      <c r="N4309" t="b">
        <v>0</v>
      </c>
      <c r="O4309">
        <v>0</v>
      </c>
      <c r="P4309">
        <v>0</v>
      </c>
      <c r="Q4309">
        <v>1</v>
      </c>
      <c r="R4309">
        <v>0</v>
      </c>
    </row>
    <row r="4310" spans="1:18" x14ac:dyDescent="0.25">
      <c r="A4310" t="s">
        <v>41</v>
      </c>
      <c r="B4310" t="s">
        <v>63</v>
      </c>
      <c r="C4310">
        <v>1</v>
      </c>
      <c r="D4310">
        <v>4</v>
      </c>
      <c r="E4310">
        <v>1</v>
      </c>
      <c r="F4310" s="15">
        <v>46160</v>
      </c>
      <c r="G4310" t="s">
        <v>532</v>
      </c>
      <c r="H4310">
        <v>4</v>
      </c>
      <c r="I4310">
        <v>2026</v>
      </c>
      <c r="J4310">
        <v>5</v>
      </c>
      <c r="K4310" t="s">
        <v>87</v>
      </c>
      <c r="L4310" t="s">
        <v>433</v>
      </c>
      <c r="M4310" t="s">
        <v>63</v>
      </c>
      <c r="N4310" t="b">
        <v>0</v>
      </c>
      <c r="O4310">
        <v>0</v>
      </c>
      <c r="P4310">
        <v>0</v>
      </c>
      <c r="Q4310">
        <v>1</v>
      </c>
      <c r="R4310">
        <v>0</v>
      </c>
    </row>
    <row r="4311" spans="1:18" x14ac:dyDescent="0.25">
      <c r="A4311" t="s">
        <v>41</v>
      </c>
      <c r="B4311" t="s">
        <v>63</v>
      </c>
      <c r="C4311">
        <v>1</v>
      </c>
      <c r="D4311">
        <v>4</v>
      </c>
      <c r="E4311">
        <v>1</v>
      </c>
      <c r="F4311" s="15">
        <v>46160</v>
      </c>
      <c r="G4311" t="s">
        <v>532</v>
      </c>
      <c r="H4311">
        <v>4</v>
      </c>
      <c r="I4311">
        <v>2026</v>
      </c>
      <c r="J4311">
        <v>5</v>
      </c>
      <c r="K4311" t="s">
        <v>87</v>
      </c>
      <c r="L4311" t="s">
        <v>9</v>
      </c>
      <c r="M4311" t="s">
        <v>63</v>
      </c>
      <c r="N4311" t="b">
        <v>0</v>
      </c>
      <c r="O4311">
        <v>0</v>
      </c>
      <c r="P4311">
        <v>0</v>
      </c>
      <c r="Q4311">
        <v>1</v>
      </c>
      <c r="R4311">
        <v>0</v>
      </c>
    </row>
    <row r="4312" spans="1:18" x14ac:dyDescent="0.25">
      <c r="A4312" t="s">
        <v>41</v>
      </c>
      <c r="B4312" t="s">
        <v>63</v>
      </c>
      <c r="C4312">
        <v>1</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25">
      <c r="A4313" t="s">
        <v>433</v>
      </c>
      <c r="B4313" t="s">
        <v>63</v>
      </c>
      <c r="C4313">
        <v>2</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25">
      <c r="A4314" t="s">
        <v>433</v>
      </c>
      <c r="B4314" t="s">
        <v>63</v>
      </c>
      <c r="C4314">
        <v>2</v>
      </c>
      <c r="D4314">
        <v>4</v>
      </c>
      <c r="E4314">
        <v>1</v>
      </c>
      <c r="F4314" s="15">
        <v>46160</v>
      </c>
      <c r="G4314" t="s">
        <v>532</v>
      </c>
      <c r="H4314">
        <v>4</v>
      </c>
      <c r="I4314">
        <v>2026</v>
      </c>
      <c r="J4314">
        <v>5</v>
      </c>
      <c r="K4314" t="s">
        <v>87</v>
      </c>
      <c r="L4314" t="s">
        <v>9</v>
      </c>
      <c r="M4314" t="s">
        <v>63</v>
      </c>
      <c r="N4314" t="b">
        <v>0</v>
      </c>
      <c r="O4314">
        <v>0</v>
      </c>
      <c r="P4314">
        <v>0</v>
      </c>
      <c r="Q4314">
        <v>1</v>
      </c>
      <c r="R4314">
        <v>0</v>
      </c>
    </row>
    <row r="4315" spans="1:18" x14ac:dyDescent="0.25">
      <c r="A4315" t="s">
        <v>433</v>
      </c>
      <c r="B4315" t="s">
        <v>63</v>
      </c>
      <c r="C4315">
        <v>2</v>
      </c>
      <c r="D4315">
        <v>4</v>
      </c>
      <c r="E4315">
        <v>1</v>
      </c>
      <c r="F4315" s="15">
        <v>46160</v>
      </c>
      <c r="G4315" t="s">
        <v>532</v>
      </c>
      <c r="H4315">
        <v>4</v>
      </c>
      <c r="I4315">
        <v>2026</v>
      </c>
      <c r="J4315">
        <v>5</v>
      </c>
      <c r="K4315" t="s">
        <v>87</v>
      </c>
      <c r="L4315" t="s">
        <v>402</v>
      </c>
      <c r="M4315" t="s">
        <v>63</v>
      </c>
      <c r="N4315" t="b">
        <v>0</v>
      </c>
      <c r="O4315">
        <v>0</v>
      </c>
      <c r="P4315">
        <v>0</v>
      </c>
      <c r="Q4315">
        <v>1</v>
      </c>
      <c r="R4315">
        <v>0</v>
      </c>
    </row>
    <row r="4316" spans="1:18" x14ac:dyDescent="0.25">
      <c r="A4316" t="s">
        <v>9</v>
      </c>
      <c r="B4316" t="s">
        <v>63</v>
      </c>
      <c r="C4316">
        <v>3</v>
      </c>
      <c r="D4316">
        <v>4</v>
      </c>
      <c r="E4316">
        <v>1</v>
      </c>
      <c r="F4316" s="15">
        <v>46160</v>
      </c>
      <c r="G4316" t="s">
        <v>532</v>
      </c>
      <c r="H4316">
        <v>4</v>
      </c>
      <c r="I4316">
        <v>2026</v>
      </c>
      <c r="J4316">
        <v>5</v>
      </c>
      <c r="K4316" t="s">
        <v>87</v>
      </c>
      <c r="L4316" t="s">
        <v>41</v>
      </c>
      <c r="M4316" t="s">
        <v>63</v>
      </c>
      <c r="N4316" t="b">
        <v>0</v>
      </c>
      <c r="O4316">
        <v>0</v>
      </c>
      <c r="P4316">
        <v>0</v>
      </c>
      <c r="Q4316">
        <v>1</v>
      </c>
      <c r="R4316">
        <v>0</v>
      </c>
    </row>
    <row r="4317" spans="1:18" x14ac:dyDescent="0.25">
      <c r="A4317" t="s">
        <v>9</v>
      </c>
      <c r="B4317" t="s">
        <v>63</v>
      </c>
      <c r="C4317">
        <v>3</v>
      </c>
      <c r="D4317">
        <v>4</v>
      </c>
      <c r="E4317">
        <v>1</v>
      </c>
      <c r="F4317" s="15">
        <v>46160</v>
      </c>
      <c r="G4317" t="s">
        <v>532</v>
      </c>
      <c r="H4317">
        <v>4</v>
      </c>
      <c r="I4317">
        <v>2026</v>
      </c>
      <c r="J4317">
        <v>5</v>
      </c>
      <c r="K4317" t="s">
        <v>87</v>
      </c>
      <c r="L4317" t="s">
        <v>433</v>
      </c>
      <c r="M4317" t="s">
        <v>63</v>
      </c>
      <c r="N4317" t="b">
        <v>0</v>
      </c>
      <c r="O4317">
        <v>0</v>
      </c>
      <c r="P4317">
        <v>0</v>
      </c>
      <c r="Q4317">
        <v>1</v>
      </c>
      <c r="R4317">
        <v>0</v>
      </c>
    </row>
    <row r="4318" spans="1:18" x14ac:dyDescent="0.25">
      <c r="A4318" t="s">
        <v>9</v>
      </c>
      <c r="B4318" t="s">
        <v>63</v>
      </c>
      <c r="C4318">
        <v>3</v>
      </c>
      <c r="D4318">
        <v>4</v>
      </c>
      <c r="E4318">
        <v>1</v>
      </c>
      <c r="F4318" s="15">
        <v>46160</v>
      </c>
      <c r="G4318" t="s">
        <v>532</v>
      </c>
      <c r="H4318">
        <v>4</v>
      </c>
      <c r="I4318">
        <v>2026</v>
      </c>
      <c r="J4318">
        <v>5</v>
      </c>
      <c r="K4318" t="s">
        <v>87</v>
      </c>
      <c r="L4318" t="s">
        <v>402</v>
      </c>
      <c r="M4318" t="s">
        <v>63</v>
      </c>
      <c r="N4318" t="b">
        <v>0</v>
      </c>
      <c r="O4318">
        <v>0</v>
      </c>
      <c r="P4318">
        <v>0</v>
      </c>
      <c r="Q4318">
        <v>1</v>
      </c>
      <c r="R4318">
        <v>0</v>
      </c>
    </row>
    <row r="4319" spans="1:18" x14ac:dyDescent="0.25">
      <c r="A4319" t="s">
        <v>402</v>
      </c>
      <c r="B4319" t="s">
        <v>63</v>
      </c>
      <c r="C4319">
        <v>4</v>
      </c>
      <c r="D4319">
        <v>4</v>
      </c>
      <c r="E4319">
        <v>1</v>
      </c>
      <c r="F4319" s="15">
        <v>46160</v>
      </c>
      <c r="G4319" t="s">
        <v>532</v>
      </c>
      <c r="H4319">
        <v>4</v>
      </c>
      <c r="I4319">
        <v>2026</v>
      </c>
      <c r="J4319">
        <v>5</v>
      </c>
      <c r="K4319" t="s">
        <v>87</v>
      </c>
      <c r="L4319" t="s">
        <v>41</v>
      </c>
      <c r="M4319" t="s">
        <v>63</v>
      </c>
      <c r="N4319" t="b">
        <v>0</v>
      </c>
      <c r="O4319">
        <v>0</v>
      </c>
      <c r="P4319">
        <v>0</v>
      </c>
      <c r="Q4319">
        <v>1</v>
      </c>
      <c r="R4319">
        <v>0</v>
      </c>
    </row>
    <row r="4320" spans="1:18" x14ac:dyDescent="0.25">
      <c r="A4320" t="s">
        <v>402</v>
      </c>
      <c r="B4320" t="s">
        <v>63</v>
      </c>
      <c r="C4320">
        <v>4</v>
      </c>
      <c r="D4320">
        <v>4</v>
      </c>
      <c r="E4320">
        <v>1</v>
      </c>
      <c r="F4320" s="15">
        <v>46160</v>
      </c>
      <c r="G4320" t="s">
        <v>532</v>
      </c>
      <c r="H4320">
        <v>4</v>
      </c>
      <c r="I4320">
        <v>2026</v>
      </c>
      <c r="J4320">
        <v>5</v>
      </c>
      <c r="K4320" t="s">
        <v>87</v>
      </c>
      <c r="L4320" t="s">
        <v>433</v>
      </c>
      <c r="M4320" t="s">
        <v>63</v>
      </c>
      <c r="N4320" t="b">
        <v>0</v>
      </c>
      <c r="O4320">
        <v>0</v>
      </c>
      <c r="P4320">
        <v>0</v>
      </c>
      <c r="Q4320">
        <v>1</v>
      </c>
      <c r="R4320">
        <v>0</v>
      </c>
    </row>
    <row r="4321" spans="1:18" x14ac:dyDescent="0.25">
      <c r="A4321" t="s">
        <v>402</v>
      </c>
      <c r="B4321" t="s">
        <v>63</v>
      </c>
      <c r="C4321">
        <v>4</v>
      </c>
      <c r="D4321">
        <v>4</v>
      </c>
      <c r="E4321">
        <v>1</v>
      </c>
      <c r="F4321" s="15">
        <v>46160</v>
      </c>
      <c r="G4321" t="s">
        <v>532</v>
      </c>
      <c r="H4321">
        <v>4</v>
      </c>
      <c r="I4321">
        <v>2026</v>
      </c>
      <c r="J4321">
        <v>5</v>
      </c>
      <c r="K4321" t="s">
        <v>87</v>
      </c>
      <c r="L4321" t="s">
        <v>9</v>
      </c>
      <c r="M4321" t="s">
        <v>63</v>
      </c>
      <c r="N4321" t="b">
        <v>0</v>
      </c>
      <c r="O4321">
        <v>0</v>
      </c>
      <c r="P4321">
        <v>0</v>
      </c>
      <c r="Q4321">
        <v>1</v>
      </c>
      <c r="R4321">
        <v>0</v>
      </c>
    </row>
    <row r="4322" spans="1:18" x14ac:dyDescent="0.25">
      <c r="A4322" t="s">
        <v>17</v>
      </c>
      <c r="B4322" t="s">
        <v>6</v>
      </c>
      <c r="C4322">
        <v>1</v>
      </c>
      <c r="D4322">
        <v>5</v>
      </c>
      <c r="E4322">
        <v>1</v>
      </c>
      <c r="F4322" s="15">
        <v>46160</v>
      </c>
      <c r="G4322" t="s">
        <v>533</v>
      </c>
      <c r="H4322">
        <v>3</v>
      </c>
      <c r="I4322">
        <v>2026</v>
      </c>
      <c r="J4322">
        <v>5</v>
      </c>
      <c r="K4322" t="s">
        <v>87</v>
      </c>
      <c r="L4322" t="s">
        <v>352</v>
      </c>
      <c r="M4322" t="s">
        <v>6</v>
      </c>
      <c r="N4322" t="b">
        <v>0</v>
      </c>
      <c r="O4322">
        <v>0</v>
      </c>
      <c r="P4322">
        <v>1</v>
      </c>
      <c r="Q4322">
        <v>0</v>
      </c>
      <c r="R4322">
        <v>0</v>
      </c>
    </row>
    <row r="4323" spans="1:18" x14ac:dyDescent="0.25">
      <c r="A4323" t="s">
        <v>17</v>
      </c>
      <c r="B4323" t="s">
        <v>6</v>
      </c>
      <c r="C4323">
        <v>1</v>
      </c>
      <c r="D4323">
        <v>5</v>
      </c>
      <c r="E4323">
        <v>1</v>
      </c>
      <c r="F4323" s="15">
        <v>46160</v>
      </c>
      <c r="G4323" t="s">
        <v>533</v>
      </c>
      <c r="H4323">
        <v>3</v>
      </c>
      <c r="I4323">
        <v>2026</v>
      </c>
      <c r="J4323">
        <v>5</v>
      </c>
      <c r="K4323" t="s">
        <v>87</v>
      </c>
      <c r="L4323" t="s">
        <v>19</v>
      </c>
      <c r="M4323" t="s">
        <v>8</v>
      </c>
      <c r="N4323" t="b">
        <v>0</v>
      </c>
      <c r="O4323">
        <v>0</v>
      </c>
      <c r="P4323">
        <v>1</v>
      </c>
      <c r="Q4323">
        <v>0</v>
      </c>
      <c r="R4323">
        <v>1</v>
      </c>
    </row>
    <row r="4324" spans="1:18" x14ac:dyDescent="0.25">
      <c r="A4324" t="s">
        <v>352</v>
      </c>
      <c r="B4324" t="s">
        <v>6</v>
      </c>
      <c r="C4324">
        <v>2</v>
      </c>
      <c r="D4324">
        <v>5</v>
      </c>
      <c r="E4324">
        <v>1</v>
      </c>
      <c r="F4324" s="15">
        <v>46160</v>
      </c>
      <c r="G4324" t="s">
        <v>533</v>
      </c>
      <c r="H4324">
        <v>3</v>
      </c>
      <c r="I4324">
        <v>2026</v>
      </c>
      <c r="J4324">
        <v>5</v>
      </c>
      <c r="K4324" t="s">
        <v>87</v>
      </c>
      <c r="L4324" t="s">
        <v>17</v>
      </c>
      <c r="M4324" t="s">
        <v>6</v>
      </c>
      <c r="N4324" t="b">
        <v>0</v>
      </c>
      <c r="O4324">
        <v>0</v>
      </c>
      <c r="P4324">
        <v>1</v>
      </c>
      <c r="Q4324">
        <v>0</v>
      </c>
      <c r="R4324">
        <v>0</v>
      </c>
    </row>
    <row r="4325" spans="1:18" x14ac:dyDescent="0.25">
      <c r="A4325" t="s">
        <v>352</v>
      </c>
      <c r="B4325" t="s">
        <v>6</v>
      </c>
      <c r="C4325">
        <v>2</v>
      </c>
      <c r="D4325">
        <v>5</v>
      </c>
      <c r="E4325">
        <v>1</v>
      </c>
      <c r="F4325" s="15">
        <v>46160</v>
      </c>
      <c r="G4325" t="s">
        <v>533</v>
      </c>
      <c r="H4325">
        <v>3</v>
      </c>
      <c r="I4325">
        <v>2026</v>
      </c>
      <c r="J4325">
        <v>5</v>
      </c>
      <c r="K4325" t="s">
        <v>87</v>
      </c>
      <c r="L4325" t="s">
        <v>19</v>
      </c>
      <c r="M4325" t="s">
        <v>8</v>
      </c>
      <c r="N4325" t="b">
        <v>0</v>
      </c>
      <c r="O4325">
        <v>0</v>
      </c>
      <c r="P4325">
        <v>1</v>
      </c>
      <c r="Q4325">
        <v>0</v>
      </c>
      <c r="R4325">
        <v>1</v>
      </c>
    </row>
    <row r="4326" spans="1:18" x14ac:dyDescent="0.25">
      <c r="A4326" t="s">
        <v>19</v>
      </c>
      <c r="B4326" t="s">
        <v>8</v>
      </c>
      <c r="C4326">
        <v>3</v>
      </c>
      <c r="D4326">
        <v>5</v>
      </c>
      <c r="E4326">
        <v>1</v>
      </c>
      <c r="F4326" s="15">
        <v>46160</v>
      </c>
      <c r="G4326" t="s">
        <v>533</v>
      </c>
      <c r="H4326">
        <v>3</v>
      </c>
      <c r="I4326">
        <v>2026</v>
      </c>
      <c r="J4326">
        <v>5</v>
      </c>
      <c r="K4326" t="s">
        <v>87</v>
      </c>
      <c r="L4326" t="s">
        <v>17</v>
      </c>
      <c r="M4326" t="s">
        <v>6</v>
      </c>
      <c r="N4326" t="b">
        <v>0</v>
      </c>
      <c r="O4326">
        <v>1</v>
      </c>
      <c r="P4326">
        <v>0</v>
      </c>
      <c r="Q4326">
        <v>0</v>
      </c>
      <c r="R4326">
        <v>0</v>
      </c>
    </row>
    <row r="4327" spans="1:18" x14ac:dyDescent="0.25">
      <c r="A4327" t="s">
        <v>19</v>
      </c>
      <c r="B4327" t="s">
        <v>8</v>
      </c>
      <c r="C4327">
        <v>3</v>
      </c>
      <c r="D4327">
        <v>5</v>
      </c>
      <c r="E4327">
        <v>1</v>
      </c>
      <c r="F4327" s="15">
        <v>46160</v>
      </c>
      <c r="G4327" t="s">
        <v>533</v>
      </c>
      <c r="H4327">
        <v>3</v>
      </c>
      <c r="I4327">
        <v>2026</v>
      </c>
      <c r="J4327">
        <v>5</v>
      </c>
      <c r="K4327" t="s">
        <v>87</v>
      </c>
      <c r="L4327" t="s">
        <v>352</v>
      </c>
      <c r="M4327" t="s">
        <v>6</v>
      </c>
      <c r="N4327" t="b">
        <v>0</v>
      </c>
      <c r="O4327">
        <v>1</v>
      </c>
      <c r="P4327">
        <v>0</v>
      </c>
      <c r="Q4327">
        <v>0</v>
      </c>
      <c r="R4327">
        <v>0</v>
      </c>
    </row>
    <row r="4328" spans="1:18" x14ac:dyDescent="0.25">
      <c r="A4328" t="s">
        <v>19</v>
      </c>
      <c r="B4328" t="s">
        <v>8</v>
      </c>
      <c r="C4328">
        <v>1</v>
      </c>
      <c r="D4328">
        <v>1</v>
      </c>
      <c r="E4328">
        <v>2</v>
      </c>
      <c r="F4328" s="15">
        <v>46160</v>
      </c>
      <c r="G4328" t="s">
        <v>534</v>
      </c>
      <c r="H4328">
        <v>4</v>
      </c>
      <c r="I4328">
        <v>2026</v>
      </c>
      <c r="J4328">
        <v>5</v>
      </c>
      <c r="K4328" t="s">
        <v>87</v>
      </c>
      <c r="L4328" t="s">
        <v>351</v>
      </c>
      <c r="M4328" t="s">
        <v>6</v>
      </c>
      <c r="N4328" t="b">
        <v>0</v>
      </c>
      <c r="O4328">
        <v>1</v>
      </c>
      <c r="P4328">
        <v>0</v>
      </c>
      <c r="Q4328">
        <v>0</v>
      </c>
      <c r="R4328">
        <v>0</v>
      </c>
    </row>
    <row r="4329" spans="1:18" x14ac:dyDescent="0.25">
      <c r="A4329" t="s">
        <v>19</v>
      </c>
      <c r="B4329" t="s">
        <v>8</v>
      </c>
      <c r="C4329">
        <v>1</v>
      </c>
      <c r="D4329">
        <v>1</v>
      </c>
      <c r="E4329">
        <v>2</v>
      </c>
      <c r="F4329" s="15">
        <v>46160</v>
      </c>
      <c r="G4329" t="s">
        <v>534</v>
      </c>
      <c r="H4329">
        <v>4</v>
      </c>
      <c r="I4329">
        <v>2026</v>
      </c>
      <c r="J4329">
        <v>5</v>
      </c>
      <c r="K4329" t="s">
        <v>87</v>
      </c>
      <c r="L4329" t="s">
        <v>30</v>
      </c>
      <c r="M4329" t="s">
        <v>6</v>
      </c>
      <c r="N4329" t="b">
        <v>0</v>
      </c>
      <c r="O4329">
        <v>1</v>
      </c>
      <c r="P4329">
        <v>0</v>
      </c>
      <c r="Q4329">
        <v>0</v>
      </c>
      <c r="R4329">
        <v>0</v>
      </c>
    </row>
    <row r="4330" spans="1:18" x14ac:dyDescent="0.25">
      <c r="A4330" t="s">
        <v>19</v>
      </c>
      <c r="B4330" t="s">
        <v>8</v>
      </c>
      <c r="C4330">
        <v>1</v>
      </c>
      <c r="D4330">
        <v>1</v>
      </c>
      <c r="E4330">
        <v>2</v>
      </c>
      <c r="F4330" s="15">
        <v>46160</v>
      </c>
      <c r="G4330" t="s">
        <v>534</v>
      </c>
      <c r="H4330">
        <v>4</v>
      </c>
      <c r="I4330">
        <v>2026</v>
      </c>
      <c r="J4330">
        <v>5</v>
      </c>
      <c r="K4330" t="s">
        <v>87</v>
      </c>
      <c r="L4330" t="s">
        <v>14</v>
      </c>
      <c r="M4330" t="s">
        <v>6</v>
      </c>
      <c r="N4330" t="b">
        <v>0</v>
      </c>
      <c r="O4330">
        <v>1</v>
      </c>
      <c r="P4330">
        <v>0</v>
      </c>
      <c r="Q4330">
        <v>0</v>
      </c>
      <c r="R4330">
        <v>0</v>
      </c>
    </row>
    <row r="4331" spans="1:18" x14ac:dyDescent="0.25">
      <c r="A4331" t="s">
        <v>351</v>
      </c>
      <c r="B4331" t="s">
        <v>6</v>
      </c>
      <c r="C4331">
        <v>2</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25">
      <c r="A4332" t="s">
        <v>351</v>
      </c>
      <c r="B4332" t="s">
        <v>6</v>
      </c>
      <c r="C4332">
        <v>2</v>
      </c>
      <c r="D4332">
        <v>1</v>
      </c>
      <c r="E4332">
        <v>2</v>
      </c>
      <c r="F4332" s="15">
        <v>46160</v>
      </c>
      <c r="G4332" t="s">
        <v>534</v>
      </c>
      <c r="H4332">
        <v>4</v>
      </c>
      <c r="I4332">
        <v>2026</v>
      </c>
      <c r="J4332">
        <v>5</v>
      </c>
      <c r="K4332" t="s">
        <v>87</v>
      </c>
      <c r="L4332" t="s">
        <v>30</v>
      </c>
      <c r="M4332" t="s">
        <v>6</v>
      </c>
      <c r="N4332" t="b">
        <v>0</v>
      </c>
      <c r="O4332">
        <v>0</v>
      </c>
      <c r="P4332">
        <v>1</v>
      </c>
      <c r="Q4332">
        <v>0</v>
      </c>
      <c r="R4332">
        <v>0</v>
      </c>
    </row>
    <row r="4333" spans="1:18" x14ac:dyDescent="0.25">
      <c r="A4333" t="s">
        <v>351</v>
      </c>
      <c r="B4333" t="s">
        <v>6</v>
      </c>
      <c r="C4333">
        <v>2</v>
      </c>
      <c r="D4333">
        <v>1</v>
      </c>
      <c r="E4333">
        <v>2</v>
      </c>
      <c r="F4333" s="15">
        <v>46160</v>
      </c>
      <c r="G4333" t="s">
        <v>534</v>
      </c>
      <c r="H4333">
        <v>4</v>
      </c>
      <c r="I4333">
        <v>2026</v>
      </c>
      <c r="J4333">
        <v>5</v>
      </c>
      <c r="K4333" t="s">
        <v>87</v>
      </c>
      <c r="L4333" t="s">
        <v>14</v>
      </c>
      <c r="M4333" t="s">
        <v>6</v>
      </c>
      <c r="N4333" t="b">
        <v>0</v>
      </c>
      <c r="O4333">
        <v>0</v>
      </c>
      <c r="P4333">
        <v>1</v>
      </c>
      <c r="Q4333">
        <v>0</v>
      </c>
      <c r="R4333">
        <v>0</v>
      </c>
    </row>
    <row r="4334" spans="1:18" x14ac:dyDescent="0.25">
      <c r="A4334" t="s">
        <v>30</v>
      </c>
      <c r="B4334" t="s">
        <v>6</v>
      </c>
      <c r="C4334">
        <v>3</v>
      </c>
      <c r="D4334">
        <v>1</v>
      </c>
      <c r="E4334">
        <v>2</v>
      </c>
      <c r="F4334" s="15">
        <v>46160</v>
      </c>
      <c r="G4334" t="s">
        <v>534</v>
      </c>
      <c r="H4334">
        <v>4</v>
      </c>
      <c r="I4334">
        <v>2026</v>
      </c>
      <c r="J4334">
        <v>5</v>
      </c>
      <c r="K4334" t="s">
        <v>87</v>
      </c>
      <c r="L4334" t="s">
        <v>19</v>
      </c>
      <c r="M4334" t="s">
        <v>8</v>
      </c>
      <c r="N4334" t="b">
        <v>0</v>
      </c>
      <c r="O4334">
        <v>0</v>
      </c>
      <c r="P4334">
        <v>1</v>
      </c>
      <c r="Q4334">
        <v>0</v>
      </c>
      <c r="R4334">
        <v>1</v>
      </c>
    </row>
    <row r="4335" spans="1:18" x14ac:dyDescent="0.25">
      <c r="A4335" t="s">
        <v>30</v>
      </c>
      <c r="B4335" t="s">
        <v>6</v>
      </c>
      <c r="C4335">
        <v>3</v>
      </c>
      <c r="D4335">
        <v>1</v>
      </c>
      <c r="E4335">
        <v>2</v>
      </c>
      <c r="F4335" s="15">
        <v>46160</v>
      </c>
      <c r="G4335" t="s">
        <v>534</v>
      </c>
      <c r="H4335">
        <v>4</v>
      </c>
      <c r="I4335">
        <v>2026</v>
      </c>
      <c r="J4335">
        <v>5</v>
      </c>
      <c r="K4335" t="s">
        <v>87</v>
      </c>
      <c r="L4335" t="s">
        <v>351</v>
      </c>
      <c r="M4335" t="s">
        <v>6</v>
      </c>
      <c r="N4335" t="b">
        <v>0</v>
      </c>
      <c r="O4335">
        <v>0</v>
      </c>
      <c r="P4335">
        <v>1</v>
      </c>
      <c r="Q4335">
        <v>0</v>
      </c>
      <c r="R4335">
        <v>0</v>
      </c>
    </row>
    <row r="4336" spans="1:18" x14ac:dyDescent="0.25">
      <c r="A4336" t="s">
        <v>30</v>
      </c>
      <c r="B4336" t="s">
        <v>6</v>
      </c>
      <c r="C4336">
        <v>3</v>
      </c>
      <c r="D4336">
        <v>1</v>
      </c>
      <c r="E4336">
        <v>2</v>
      </c>
      <c r="F4336" s="15">
        <v>46160</v>
      </c>
      <c r="G4336" t="s">
        <v>534</v>
      </c>
      <c r="H4336">
        <v>4</v>
      </c>
      <c r="I4336">
        <v>2026</v>
      </c>
      <c r="J4336">
        <v>5</v>
      </c>
      <c r="K4336" t="s">
        <v>87</v>
      </c>
      <c r="L4336" t="s">
        <v>14</v>
      </c>
      <c r="M4336" t="s">
        <v>6</v>
      </c>
      <c r="N4336" t="b">
        <v>0</v>
      </c>
      <c r="O4336">
        <v>0</v>
      </c>
      <c r="P4336">
        <v>1</v>
      </c>
      <c r="Q4336">
        <v>0</v>
      </c>
      <c r="R4336">
        <v>0</v>
      </c>
    </row>
    <row r="4337" spans="1:18" x14ac:dyDescent="0.25">
      <c r="A4337" t="s">
        <v>14</v>
      </c>
      <c r="B4337" t="s">
        <v>6</v>
      </c>
      <c r="C4337">
        <v>4</v>
      </c>
      <c r="D4337">
        <v>1</v>
      </c>
      <c r="E4337">
        <v>2</v>
      </c>
      <c r="F4337" s="15">
        <v>46160</v>
      </c>
      <c r="G4337" t="s">
        <v>534</v>
      </c>
      <c r="H4337">
        <v>4</v>
      </c>
      <c r="I4337">
        <v>2026</v>
      </c>
      <c r="J4337">
        <v>5</v>
      </c>
      <c r="K4337" t="s">
        <v>87</v>
      </c>
      <c r="L4337" t="s">
        <v>19</v>
      </c>
      <c r="M4337" t="s">
        <v>8</v>
      </c>
      <c r="N4337" t="b">
        <v>0</v>
      </c>
      <c r="O4337">
        <v>0</v>
      </c>
      <c r="P4337">
        <v>1</v>
      </c>
      <c r="Q4337">
        <v>0</v>
      </c>
      <c r="R4337">
        <v>1</v>
      </c>
    </row>
    <row r="4338" spans="1:18" x14ac:dyDescent="0.25">
      <c r="A4338" t="s">
        <v>14</v>
      </c>
      <c r="B4338" t="s">
        <v>6</v>
      </c>
      <c r="C4338">
        <v>4</v>
      </c>
      <c r="D4338">
        <v>1</v>
      </c>
      <c r="E4338">
        <v>2</v>
      </c>
      <c r="F4338" s="15">
        <v>46160</v>
      </c>
      <c r="G4338" t="s">
        <v>534</v>
      </c>
      <c r="H4338">
        <v>4</v>
      </c>
      <c r="I4338">
        <v>2026</v>
      </c>
      <c r="J4338">
        <v>5</v>
      </c>
      <c r="K4338" t="s">
        <v>87</v>
      </c>
      <c r="L4338" t="s">
        <v>351</v>
      </c>
      <c r="M4338" t="s">
        <v>6</v>
      </c>
      <c r="N4338" t="b">
        <v>0</v>
      </c>
      <c r="O4338">
        <v>0</v>
      </c>
      <c r="P4338">
        <v>1</v>
      </c>
      <c r="Q4338">
        <v>0</v>
      </c>
      <c r="R4338">
        <v>0</v>
      </c>
    </row>
    <row r="4339" spans="1:18" x14ac:dyDescent="0.25">
      <c r="A4339" t="s">
        <v>14</v>
      </c>
      <c r="B4339" t="s">
        <v>6</v>
      </c>
      <c r="C4339">
        <v>4</v>
      </c>
      <c r="D4339">
        <v>1</v>
      </c>
      <c r="E4339">
        <v>2</v>
      </c>
      <c r="F4339" s="15">
        <v>46160</v>
      </c>
      <c r="G4339" t="s">
        <v>534</v>
      </c>
      <c r="H4339">
        <v>4</v>
      </c>
      <c r="I4339">
        <v>2026</v>
      </c>
      <c r="J4339">
        <v>5</v>
      </c>
      <c r="K4339" t="s">
        <v>87</v>
      </c>
      <c r="L4339" t="s">
        <v>30</v>
      </c>
      <c r="M4339" t="s">
        <v>6</v>
      </c>
      <c r="N4339" t="b">
        <v>0</v>
      </c>
      <c r="O4339">
        <v>0</v>
      </c>
      <c r="P4339">
        <v>1</v>
      </c>
      <c r="Q4339">
        <v>0</v>
      </c>
      <c r="R4339">
        <v>0</v>
      </c>
    </row>
    <row r="4340" spans="1:18" x14ac:dyDescent="0.25">
      <c r="A4340" t="s">
        <v>363</v>
      </c>
      <c r="B4340" t="s">
        <v>63</v>
      </c>
      <c r="C4340">
        <v>1</v>
      </c>
      <c r="D4340">
        <v>2</v>
      </c>
      <c r="E4340">
        <v>2</v>
      </c>
      <c r="F4340" s="15">
        <v>46160</v>
      </c>
      <c r="G4340" t="s">
        <v>535</v>
      </c>
      <c r="H4340">
        <v>4</v>
      </c>
      <c r="I4340">
        <v>2026</v>
      </c>
      <c r="J4340">
        <v>5</v>
      </c>
      <c r="K4340" t="s">
        <v>87</v>
      </c>
      <c r="L4340" t="s">
        <v>11</v>
      </c>
      <c r="M4340" t="s">
        <v>63</v>
      </c>
      <c r="N4340" t="b">
        <v>0</v>
      </c>
      <c r="O4340">
        <v>0</v>
      </c>
      <c r="P4340">
        <v>0</v>
      </c>
      <c r="Q4340">
        <v>1</v>
      </c>
      <c r="R4340">
        <v>0</v>
      </c>
    </row>
    <row r="4341" spans="1:18" x14ac:dyDescent="0.25">
      <c r="A4341" t="s">
        <v>363</v>
      </c>
      <c r="B4341" t="s">
        <v>63</v>
      </c>
      <c r="C4341">
        <v>1</v>
      </c>
      <c r="D4341">
        <v>2</v>
      </c>
      <c r="E4341">
        <v>2</v>
      </c>
      <c r="F4341" s="15">
        <v>46160</v>
      </c>
      <c r="G4341" t="s">
        <v>535</v>
      </c>
      <c r="H4341">
        <v>4</v>
      </c>
      <c r="I4341">
        <v>2026</v>
      </c>
      <c r="J4341">
        <v>5</v>
      </c>
      <c r="K4341" t="s">
        <v>87</v>
      </c>
      <c r="L4341" t="s">
        <v>9</v>
      </c>
      <c r="M4341" t="s">
        <v>63</v>
      </c>
      <c r="N4341" t="b">
        <v>0</v>
      </c>
      <c r="O4341">
        <v>0</v>
      </c>
      <c r="P4341">
        <v>0</v>
      </c>
      <c r="Q4341">
        <v>1</v>
      </c>
      <c r="R4341">
        <v>0</v>
      </c>
    </row>
    <row r="4342" spans="1:18" x14ac:dyDescent="0.25">
      <c r="A4342" t="s">
        <v>363</v>
      </c>
      <c r="B4342" t="s">
        <v>63</v>
      </c>
      <c r="C4342">
        <v>1</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25">
      <c r="A4343" t="s">
        <v>11</v>
      </c>
      <c r="B4343" t="s">
        <v>63</v>
      </c>
      <c r="C4343">
        <v>2</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25">
      <c r="A4344" t="s">
        <v>11</v>
      </c>
      <c r="B4344" t="s">
        <v>63</v>
      </c>
      <c r="C4344">
        <v>2</v>
      </c>
      <c r="D4344">
        <v>2</v>
      </c>
      <c r="E4344">
        <v>2</v>
      </c>
      <c r="F4344" s="15">
        <v>46160</v>
      </c>
      <c r="G4344" t="s">
        <v>535</v>
      </c>
      <c r="H4344">
        <v>4</v>
      </c>
      <c r="I4344">
        <v>2026</v>
      </c>
      <c r="J4344">
        <v>5</v>
      </c>
      <c r="K4344" t="s">
        <v>87</v>
      </c>
      <c r="L4344" t="s">
        <v>9</v>
      </c>
      <c r="M4344" t="s">
        <v>63</v>
      </c>
      <c r="N4344" t="b">
        <v>0</v>
      </c>
      <c r="O4344">
        <v>0</v>
      </c>
      <c r="P4344">
        <v>0</v>
      </c>
      <c r="Q4344">
        <v>1</v>
      </c>
      <c r="R4344">
        <v>0</v>
      </c>
    </row>
    <row r="4345" spans="1:18" x14ac:dyDescent="0.25">
      <c r="A4345" t="s">
        <v>11</v>
      </c>
      <c r="B4345" t="s">
        <v>63</v>
      </c>
      <c r="C4345">
        <v>2</v>
      </c>
      <c r="D4345">
        <v>2</v>
      </c>
      <c r="E4345">
        <v>2</v>
      </c>
      <c r="F4345" s="15">
        <v>46160</v>
      </c>
      <c r="G4345" t="s">
        <v>535</v>
      </c>
      <c r="H4345">
        <v>4</v>
      </c>
      <c r="I4345">
        <v>2026</v>
      </c>
      <c r="J4345">
        <v>5</v>
      </c>
      <c r="K4345" t="s">
        <v>87</v>
      </c>
      <c r="L4345" t="s">
        <v>17</v>
      </c>
      <c r="M4345" t="s">
        <v>63</v>
      </c>
      <c r="N4345" t="b">
        <v>0</v>
      </c>
      <c r="O4345">
        <v>0</v>
      </c>
      <c r="P4345">
        <v>0</v>
      </c>
      <c r="Q4345">
        <v>1</v>
      </c>
      <c r="R4345">
        <v>0</v>
      </c>
    </row>
    <row r="4346" spans="1:18" x14ac:dyDescent="0.25">
      <c r="A4346" t="s">
        <v>9</v>
      </c>
      <c r="B4346" t="s">
        <v>63</v>
      </c>
      <c r="C4346">
        <v>3</v>
      </c>
      <c r="D4346">
        <v>2</v>
      </c>
      <c r="E4346">
        <v>2</v>
      </c>
      <c r="F4346" s="15">
        <v>46160</v>
      </c>
      <c r="G4346" t="s">
        <v>535</v>
      </c>
      <c r="H4346">
        <v>4</v>
      </c>
      <c r="I4346">
        <v>2026</v>
      </c>
      <c r="J4346">
        <v>5</v>
      </c>
      <c r="K4346" t="s">
        <v>87</v>
      </c>
      <c r="L4346" t="s">
        <v>363</v>
      </c>
      <c r="M4346" t="s">
        <v>63</v>
      </c>
      <c r="N4346" t="b">
        <v>0</v>
      </c>
      <c r="O4346">
        <v>0</v>
      </c>
      <c r="P4346">
        <v>0</v>
      </c>
      <c r="Q4346">
        <v>1</v>
      </c>
      <c r="R4346">
        <v>0</v>
      </c>
    </row>
    <row r="4347" spans="1:18" x14ac:dyDescent="0.25">
      <c r="A4347" t="s">
        <v>9</v>
      </c>
      <c r="B4347" t="s">
        <v>63</v>
      </c>
      <c r="C4347">
        <v>3</v>
      </c>
      <c r="D4347">
        <v>2</v>
      </c>
      <c r="E4347">
        <v>2</v>
      </c>
      <c r="F4347" s="15">
        <v>46160</v>
      </c>
      <c r="G4347" t="s">
        <v>535</v>
      </c>
      <c r="H4347">
        <v>4</v>
      </c>
      <c r="I4347">
        <v>2026</v>
      </c>
      <c r="J4347">
        <v>5</v>
      </c>
      <c r="K4347" t="s">
        <v>87</v>
      </c>
      <c r="L4347" t="s">
        <v>11</v>
      </c>
      <c r="M4347" t="s">
        <v>63</v>
      </c>
      <c r="N4347" t="b">
        <v>0</v>
      </c>
      <c r="O4347">
        <v>0</v>
      </c>
      <c r="P4347">
        <v>0</v>
      </c>
      <c r="Q4347">
        <v>1</v>
      </c>
      <c r="R4347">
        <v>0</v>
      </c>
    </row>
    <row r="4348" spans="1:18" x14ac:dyDescent="0.25">
      <c r="A4348" t="s">
        <v>9</v>
      </c>
      <c r="B4348" t="s">
        <v>63</v>
      </c>
      <c r="C4348">
        <v>3</v>
      </c>
      <c r="D4348">
        <v>2</v>
      </c>
      <c r="E4348">
        <v>2</v>
      </c>
      <c r="F4348" s="15">
        <v>46160</v>
      </c>
      <c r="G4348" t="s">
        <v>535</v>
      </c>
      <c r="H4348">
        <v>4</v>
      </c>
      <c r="I4348">
        <v>2026</v>
      </c>
      <c r="J4348">
        <v>5</v>
      </c>
      <c r="K4348" t="s">
        <v>87</v>
      </c>
      <c r="L4348" t="s">
        <v>17</v>
      </c>
      <c r="M4348" t="s">
        <v>63</v>
      </c>
      <c r="N4348" t="b">
        <v>0</v>
      </c>
      <c r="O4348">
        <v>0</v>
      </c>
      <c r="P4348">
        <v>0</v>
      </c>
      <c r="Q4348">
        <v>1</v>
      </c>
      <c r="R4348">
        <v>0</v>
      </c>
    </row>
    <row r="4349" spans="1:18" x14ac:dyDescent="0.25">
      <c r="A4349" t="s">
        <v>17</v>
      </c>
      <c r="B4349" t="s">
        <v>63</v>
      </c>
      <c r="C4349">
        <v>4</v>
      </c>
      <c r="D4349">
        <v>2</v>
      </c>
      <c r="E4349">
        <v>2</v>
      </c>
      <c r="F4349" s="15">
        <v>46160</v>
      </c>
      <c r="G4349" t="s">
        <v>535</v>
      </c>
      <c r="H4349">
        <v>4</v>
      </c>
      <c r="I4349">
        <v>2026</v>
      </c>
      <c r="J4349">
        <v>5</v>
      </c>
      <c r="K4349" t="s">
        <v>87</v>
      </c>
      <c r="L4349" t="s">
        <v>363</v>
      </c>
      <c r="M4349" t="s">
        <v>63</v>
      </c>
      <c r="N4349" t="b">
        <v>0</v>
      </c>
      <c r="O4349">
        <v>0</v>
      </c>
      <c r="P4349">
        <v>0</v>
      </c>
      <c r="Q4349">
        <v>1</v>
      </c>
      <c r="R4349">
        <v>0</v>
      </c>
    </row>
    <row r="4350" spans="1:18" x14ac:dyDescent="0.25">
      <c r="A4350" t="s">
        <v>17</v>
      </c>
      <c r="B4350" t="s">
        <v>63</v>
      </c>
      <c r="C4350">
        <v>4</v>
      </c>
      <c r="D4350">
        <v>2</v>
      </c>
      <c r="E4350">
        <v>2</v>
      </c>
      <c r="F4350" s="15">
        <v>46160</v>
      </c>
      <c r="G4350" t="s">
        <v>535</v>
      </c>
      <c r="H4350">
        <v>4</v>
      </c>
      <c r="I4350">
        <v>2026</v>
      </c>
      <c r="J4350">
        <v>5</v>
      </c>
      <c r="K4350" t="s">
        <v>87</v>
      </c>
      <c r="L4350" t="s">
        <v>11</v>
      </c>
      <c r="M4350" t="s">
        <v>63</v>
      </c>
      <c r="N4350" t="b">
        <v>0</v>
      </c>
      <c r="O4350">
        <v>0</v>
      </c>
      <c r="P4350">
        <v>0</v>
      </c>
      <c r="Q4350">
        <v>1</v>
      </c>
      <c r="R4350">
        <v>0</v>
      </c>
    </row>
    <row r="4351" spans="1:18" x14ac:dyDescent="0.25">
      <c r="A4351" t="s">
        <v>17</v>
      </c>
      <c r="B4351" t="s">
        <v>63</v>
      </c>
      <c r="C4351">
        <v>4</v>
      </c>
      <c r="D4351">
        <v>2</v>
      </c>
      <c r="E4351">
        <v>2</v>
      </c>
      <c r="F4351" s="15">
        <v>46160</v>
      </c>
      <c r="G4351" t="s">
        <v>535</v>
      </c>
      <c r="H4351">
        <v>4</v>
      </c>
      <c r="I4351">
        <v>2026</v>
      </c>
      <c r="J4351">
        <v>5</v>
      </c>
      <c r="K4351" t="s">
        <v>87</v>
      </c>
      <c r="L4351" t="s">
        <v>9</v>
      </c>
      <c r="M4351" t="s">
        <v>63</v>
      </c>
      <c r="N4351" t="b">
        <v>0</v>
      </c>
      <c r="O4351">
        <v>0</v>
      </c>
      <c r="P4351">
        <v>0</v>
      </c>
      <c r="Q4351">
        <v>1</v>
      </c>
      <c r="R4351">
        <v>0</v>
      </c>
    </row>
    <row r="4352" spans="1:18" x14ac:dyDescent="0.25">
      <c r="A4352" t="s">
        <v>13</v>
      </c>
      <c r="B4352" t="s">
        <v>8</v>
      </c>
      <c r="C4352">
        <v>1</v>
      </c>
      <c r="D4352">
        <v>3</v>
      </c>
      <c r="E4352">
        <v>2</v>
      </c>
      <c r="F4352" s="15">
        <v>46160</v>
      </c>
      <c r="G4352" t="s">
        <v>536</v>
      </c>
      <c r="H4352">
        <v>4</v>
      </c>
      <c r="I4352">
        <v>2026</v>
      </c>
      <c r="J4352">
        <v>5</v>
      </c>
      <c r="K4352" t="s">
        <v>87</v>
      </c>
      <c r="L4352" t="s">
        <v>10</v>
      </c>
      <c r="M4352" t="s">
        <v>6</v>
      </c>
      <c r="N4352" t="b">
        <v>0</v>
      </c>
      <c r="O4352">
        <v>1</v>
      </c>
      <c r="P4352">
        <v>0</v>
      </c>
      <c r="Q4352">
        <v>0</v>
      </c>
      <c r="R4352">
        <v>0</v>
      </c>
    </row>
    <row r="4353" spans="1:18" x14ac:dyDescent="0.25">
      <c r="A4353" t="s">
        <v>13</v>
      </c>
      <c r="B4353" t="s">
        <v>8</v>
      </c>
      <c r="C4353">
        <v>1</v>
      </c>
      <c r="D4353">
        <v>3</v>
      </c>
      <c r="E4353">
        <v>2</v>
      </c>
      <c r="F4353" s="15">
        <v>46160</v>
      </c>
      <c r="G4353" t="s">
        <v>536</v>
      </c>
      <c r="H4353">
        <v>4</v>
      </c>
      <c r="I4353">
        <v>2026</v>
      </c>
      <c r="J4353">
        <v>5</v>
      </c>
      <c r="K4353" t="s">
        <v>87</v>
      </c>
      <c r="L4353" t="s">
        <v>364</v>
      </c>
      <c r="M4353" t="s">
        <v>6</v>
      </c>
      <c r="N4353" t="b">
        <v>0</v>
      </c>
      <c r="O4353">
        <v>1</v>
      </c>
      <c r="P4353">
        <v>0</v>
      </c>
      <c r="Q4353">
        <v>0</v>
      </c>
      <c r="R4353">
        <v>0</v>
      </c>
    </row>
    <row r="4354" spans="1:18" x14ac:dyDescent="0.25">
      <c r="A4354" t="s">
        <v>13</v>
      </c>
      <c r="B4354" t="s">
        <v>8</v>
      </c>
      <c r="C4354">
        <v>1</v>
      </c>
      <c r="D4354">
        <v>3</v>
      </c>
      <c r="E4354">
        <v>2</v>
      </c>
      <c r="F4354" s="15">
        <v>46160</v>
      </c>
      <c r="G4354" t="s">
        <v>536</v>
      </c>
      <c r="H4354">
        <v>4</v>
      </c>
      <c r="I4354">
        <v>2026</v>
      </c>
      <c r="J4354">
        <v>5</v>
      </c>
      <c r="K4354" t="s">
        <v>87</v>
      </c>
      <c r="L4354" t="s">
        <v>433</v>
      </c>
      <c r="M4354" t="s">
        <v>6</v>
      </c>
      <c r="N4354" t="b">
        <v>0</v>
      </c>
      <c r="O4354">
        <v>1</v>
      </c>
      <c r="P4354">
        <v>0</v>
      </c>
      <c r="Q4354">
        <v>0</v>
      </c>
      <c r="R4354">
        <v>0</v>
      </c>
    </row>
    <row r="4355" spans="1:18" x14ac:dyDescent="0.25">
      <c r="A4355" t="s">
        <v>10</v>
      </c>
      <c r="B4355" t="s">
        <v>6</v>
      </c>
      <c r="C4355">
        <v>2</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25">
      <c r="A4356" t="s">
        <v>10</v>
      </c>
      <c r="B4356" t="s">
        <v>6</v>
      </c>
      <c r="C4356">
        <v>2</v>
      </c>
      <c r="D4356">
        <v>3</v>
      </c>
      <c r="E4356">
        <v>2</v>
      </c>
      <c r="F4356" s="15">
        <v>46160</v>
      </c>
      <c r="G4356" t="s">
        <v>536</v>
      </c>
      <c r="H4356">
        <v>4</v>
      </c>
      <c r="I4356">
        <v>2026</v>
      </c>
      <c r="J4356">
        <v>5</v>
      </c>
      <c r="K4356" t="s">
        <v>87</v>
      </c>
      <c r="L4356" t="s">
        <v>364</v>
      </c>
      <c r="M4356" t="s">
        <v>6</v>
      </c>
      <c r="N4356" t="b">
        <v>0</v>
      </c>
      <c r="O4356">
        <v>0</v>
      </c>
      <c r="P4356">
        <v>1</v>
      </c>
      <c r="Q4356">
        <v>0</v>
      </c>
      <c r="R4356">
        <v>0</v>
      </c>
    </row>
    <row r="4357" spans="1:18" x14ac:dyDescent="0.25">
      <c r="A4357" t="s">
        <v>10</v>
      </c>
      <c r="B4357" t="s">
        <v>6</v>
      </c>
      <c r="C4357">
        <v>2</v>
      </c>
      <c r="D4357">
        <v>3</v>
      </c>
      <c r="E4357">
        <v>2</v>
      </c>
      <c r="F4357" s="15">
        <v>46160</v>
      </c>
      <c r="G4357" t="s">
        <v>536</v>
      </c>
      <c r="H4357">
        <v>4</v>
      </c>
      <c r="I4357">
        <v>2026</v>
      </c>
      <c r="J4357">
        <v>5</v>
      </c>
      <c r="K4357" t="s">
        <v>87</v>
      </c>
      <c r="L4357" t="s">
        <v>433</v>
      </c>
      <c r="M4357" t="s">
        <v>6</v>
      </c>
      <c r="N4357" t="b">
        <v>0</v>
      </c>
      <c r="O4357">
        <v>0</v>
      </c>
      <c r="P4357">
        <v>1</v>
      </c>
      <c r="Q4357">
        <v>0</v>
      </c>
      <c r="R4357">
        <v>0</v>
      </c>
    </row>
    <row r="4358" spans="1:18" x14ac:dyDescent="0.25">
      <c r="A4358" t="s">
        <v>364</v>
      </c>
      <c r="B4358" t="s">
        <v>6</v>
      </c>
      <c r="C4358">
        <v>3</v>
      </c>
      <c r="D4358">
        <v>3</v>
      </c>
      <c r="E4358">
        <v>2</v>
      </c>
      <c r="F4358" s="15">
        <v>46160</v>
      </c>
      <c r="G4358" t="s">
        <v>536</v>
      </c>
      <c r="H4358">
        <v>4</v>
      </c>
      <c r="I4358">
        <v>2026</v>
      </c>
      <c r="J4358">
        <v>5</v>
      </c>
      <c r="K4358" t="s">
        <v>87</v>
      </c>
      <c r="L4358" t="s">
        <v>13</v>
      </c>
      <c r="M4358" t="s">
        <v>8</v>
      </c>
      <c r="N4358" t="b">
        <v>0</v>
      </c>
      <c r="O4358">
        <v>0</v>
      </c>
      <c r="P4358">
        <v>1</v>
      </c>
      <c r="Q4358">
        <v>0</v>
      </c>
      <c r="R4358">
        <v>1</v>
      </c>
    </row>
    <row r="4359" spans="1:18" x14ac:dyDescent="0.25">
      <c r="A4359" t="s">
        <v>364</v>
      </c>
      <c r="B4359" t="s">
        <v>6</v>
      </c>
      <c r="C4359">
        <v>3</v>
      </c>
      <c r="D4359">
        <v>3</v>
      </c>
      <c r="E4359">
        <v>2</v>
      </c>
      <c r="F4359" s="15">
        <v>46160</v>
      </c>
      <c r="G4359" t="s">
        <v>536</v>
      </c>
      <c r="H4359">
        <v>4</v>
      </c>
      <c r="I4359">
        <v>2026</v>
      </c>
      <c r="J4359">
        <v>5</v>
      </c>
      <c r="K4359" t="s">
        <v>87</v>
      </c>
      <c r="L4359" t="s">
        <v>10</v>
      </c>
      <c r="M4359" t="s">
        <v>6</v>
      </c>
      <c r="N4359" t="b">
        <v>0</v>
      </c>
      <c r="O4359">
        <v>0</v>
      </c>
      <c r="P4359">
        <v>1</v>
      </c>
      <c r="Q4359">
        <v>0</v>
      </c>
      <c r="R4359">
        <v>0</v>
      </c>
    </row>
    <row r="4360" spans="1:18" x14ac:dyDescent="0.25">
      <c r="A4360" t="s">
        <v>364</v>
      </c>
      <c r="B4360" t="s">
        <v>6</v>
      </c>
      <c r="C4360">
        <v>3</v>
      </c>
      <c r="D4360">
        <v>3</v>
      </c>
      <c r="E4360">
        <v>2</v>
      </c>
      <c r="F4360" s="15">
        <v>46160</v>
      </c>
      <c r="G4360" t="s">
        <v>536</v>
      </c>
      <c r="H4360">
        <v>4</v>
      </c>
      <c r="I4360">
        <v>2026</v>
      </c>
      <c r="J4360">
        <v>5</v>
      </c>
      <c r="K4360" t="s">
        <v>87</v>
      </c>
      <c r="L4360" t="s">
        <v>433</v>
      </c>
      <c r="M4360" t="s">
        <v>6</v>
      </c>
      <c r="N4360" t="b">
        <v>0</v>
      </c>
      <c r="O4360">
        <v>0</v>
      </c>
      <c r="P4360">
        <v>1</v>
      </c>
      <c r="Q4360">
        <v>0</v>
      </c>
      <c r="R4360">
        <v>0</v>
      </c>
    </row>
    <row r="4361" spans="1:18" x14ac:dyDescent="0.25">
      <c r="A4361" t="s">
        <v>433</v>
      </c>
      <c r="B4361" t="s">
        <v>6</v>
      </c>
      <c r="C4361">
        <v>4</v>
      </c>
      <c r="D4361">
        <v>3</v>
      </c>
      <c r="E4361">
        <v>2</v>
      </c>
      <c r="F4361" s="15">
        <v>46160</v>
      </c>
      <c r="G4361" t="s">
        <v>536</v>
      </c>
      <c r="H4361">
        <v>4</v>
      </c>
      <c r="I4361">
        <v>2026</v>
      </c>
      <c r="J4361">
        <v>5</v>
      </c>
      <c r="K4361" t="s">
        <v>87</v>
      </c>
      <c r="L4361" t="s">
        <v>13</v>
      </c>
      <c r="M4361" t="s">
        <v>8</v>
      </c>
      <c r="N4361" t="b">
        <v>0</v>
      </c>
      <c r="O4361">
        <v>0</v>
      </c>
      <c r="P4361">
        <v>1</v>
      </c>
      <c r="Q4361">
        <v>0</v>
      </c>
      <c r="R4361">
        <v>1</v>
      </c>
    </row>
    <row r="4362" spans="1:18" x14ac:dyDescent="0.25">
      <c r="A4362" t="s">
        <v>433</v>
      </c>
      <c r="B4362" t="s">
        <v>6</v>
      </c>
      <c r="C4362">
        <v>4</v>
      </c>
      <c r="D4362">
        <v>3</v>
      </c>
      <c r="E4362">
        <v>2</v>
      </c>
      <c r="F4362" s="15">
        <v>46160</v>
      </c>
      <c r="G4362" t="s">
        <v>536</v>
      </c>
      <c r="H4362">
        <v>4</v>
      </c>
      <c r="I4362">
        <v>2026</v>
      </c>
      <c r="J4362">
        <v>5</v>
      </c>
      <c r="K4362" t="s">
        <v>87</v>
      </c>
      <c r="L4362" t="s">
        <v>10</v>
      </c>
      <c r="M4362" t="s">
        <v>6</v>
      </c>
      <c r="N4362" t="b">
        <v>0</v>
      </c>
      <c r="O4362">
        <v>0</v>
      </c>
      <c r="P4362">
        <v>1</v>
      </c>
      <c r="Q4362">
        <v>0</v>
      </c>
      <c r="R4362">
        <v>0</v>
      </c>
    </row>
    <row r="4363" spans="1:18" x14ac:dyDescent="0.25">
      <c r="A4363" t="s">
        <v>433</v>
      </c>
      <c r="B4363" t="s">
        <v>6</v>
      </c>
      <c r="C4363">
        <v>4</v>
      </c>
      <c r="D4363">
        <v>3</v>
      </c>
      <c r="E4363">
        <v>2</v>
      </c>
      <c r="F4363" s="15">
        <v>46160</v>
      </c>
      <c r="G4363" t="s">
        <v>536</v>
      </c>
      <c r="H4363">
        <v>4</v>
      </c>
      <c r="I4363">
        <v>2026</v>
      </c>
      <c r="J4363">
        <v>5</v>
      </c>
      <c r="K4363" t="s">
        <v>87</v>
      </c>
      <c r="L4363" t="s">
        <v>364</v>
      </c>
      <c r="M4363" t="s">
        <v>6</v>
      </c>
      <c r="N4363" t="b">
        <v>0</v>
      </c>
      <c r="O4363">
        <v>0</v>
      </c>
      <c r="P4363">
        <v>1</v>
      </c>
      <c r="Q4363">
        <v>0</v>
      </c>
      <c r="R4363">
        <v>0</v>
      </c>
    </row>
    <row r="4364" spans="1:18" x14ac:dyDescent="0.25">
      <c r="A4364" t="s">
        <v>28</v>
      </c>
      <c r="B4364" t="s">
        <v>63</v>
      </c>
      <c r="C4364">
        <v>1</v>
      </c>
      <c r="D4364">
        <v>4</v>
      </c>
      <c r="E4364">
        <v>2</v>
      </c>
      <c r="F4364" s="15">
        <v>46160</v>
      </c>
      <c r="G4364" t="s">
        <v>537</v>
      </c>
      <c r="H4364">
        <v>5</v>
      </c>
      <c r="I4364">
        <v>2026</v>
      </c>
      <c r="J4364">
        <v>5</v>
      </c>
      <c r="K4364" t="s">
        <v>87</v>
      </c>
      <c r="L4364" t="s">
        <v>402</v>
      </c>
      <c r="M4364" t="s">
        <v>63</v>
      </c>
      <c r="N4364" t="b">
        <v>0</v>
      </c>
      <c r="O4364">
        <v>0</v>
      </c>
      <c r="P4364">
        <v>0</v>
      </c>
      <c r="Q4364">
        <v>1</v>
      </c>
      <c r="R4364">
        <v>0</v>
      </c>
    </row>
    <row r="4365" spans="1:18" x14ac:dyDescent="0.25">
      <c r="A4365" t="s">
        <v>28</v>
      </c>
      <c r="B4365" t="s">
        <v>63</v>
      </c>
      <c r="C4365">
        <v>1</v>
      </c>
      <c r="D4365">
        <v>4</v>
      </c>
      <c r="E4365">
        <v>2</v>
      </c>
      <c r="F4365" s="15">
        <v>46160</v>
      </c>
      <c r="G4365" t="s">
        <v>537</v>
      </c>
      <c r="H4365">
        <v>5</v>
      </c>
      <c r="I4365">
        <v>2026</v>
      </c>
      <c r="J4365">
        <v>5</v>
      </c>
      <c r="K4365" t="s">
        <v>87</v>
      </c>
      <c r="L4365" t="s">
        <v>51</v>
      </c>
      <c r="M4365" t="s">
        <v>63</v>
      </c>
      <c r="N4365" t="b">
        <v>0</v>
      </c>
      <c r="O4365">
        <v>0</v>
      </c>
      <c r="P4365">
        <v>0</v>
      </c>
      <c r="Q4365">
        <v>1</v>
      </c>
      <c r="R4365">
        <v>0</v>
      </c>
    </row>
    <row r="4366" spans="1:18" x14ac:dyDescent="0.25">
      <c r="A4366" t="s">
        <v>28</v>
      </c>
      <c r="B4366" t="s">
        <v>63</v>
      </c>
      <c r="C4366">
        <v>1</v>
      </c>
      <c r="D4366">
        <v>4</v>
      </c>
      <c r="E4366">
        <v>2</v>
      </c>
      <c r="F4366" s="15">
        <v>46160</v>
      </c>
      <c r="G4366" t="s">
        <v>537</v>
      </c>
      <c r="H4366">
        <v>5</v>
      </c>
      <c r="I4366">
        <v>2026</v>
      </c>
      <c r="J4366">
        <v>5</v>
      </c>
      <c r="K4366" t="s">
        <v>87</v>
      </c>
      <c r="L4366" t="s">
        <v>405</v>
      </c>
      <c r="M4366" t="s">
        <v>63</v>
      </c>
      <c r="N4366" t="b">
        <v>0</v>
      </c>
      <c r="O4366">
        <v>0</v>
      </c>
      <c r="P4366">
        <v>0</v>
      </c>
      <c r="Q4366">
        <v>1</v>
      </c>
      <c r="R4366">
        <v>0</v>
      </c>
    </row>
    <row r="4367" spans="1:18" x14ac:dyDescent="0.25">
      <c r="A4367" t="s">
        <v>28</v>
      </c>
      <c r="B4367" t="s">
        <v>63</v>
      </c>
      <c r="C4367">
        <v>1</v>
      </c>
      <c r="D4367">
        <v>4</v>
      </c>
      <c r="E4367">
        <v>2</v>
      </c>
      <c r="F4367" s="15">
        <v>46160</v>
      </c>
      <c r="G4367" t="s">
        <v>537</v>
      </c>
      <c r="H4367">
        <v>5</v>
      </c>
      <c r="I4367">
        <v>2026</v>
      </c>
      <c r="J4367">
        <v>5</v>
      </c>
      <c r="K4367" t="s">
        <v>87</v>
      </c>
      <c r="L4367" t="s">
        <v>405</v>
      </c>
      <c r="M4367" t="s">
        <v>63</v>
      </c>
      <c r="N4367" t="b">
        <v>0</v>
      </c>
      <c r="O4367">
        <v>0</v>
      </c>
      <c r="P4367">
        <v>0</v>
      </c>
      <c r="Q4367">
        <v>1</v>
      </c>
      <c r="R4367">
        <v>0</v>
      </c>
    </row>
    <row r="4368" spans="1:18" x14ac:dyDescent="0.25">
      <c r="A4368" t="s">
        <v>402</v>
      </c>
      <c r="B4368" t="s">
        <v>63</v>
      </c>
      <c r="C4368">
        <v>2</v>
      </c>
      <c r="D4368">
        <v>4</v>
      </c>
      <c r="E4368">
        <v>2</v>
      </c>
      <c r="F4368" s="15">
        <v>46160</v>
      </c>
      <c r="G4368" t="s">
        <v>537</v>
      </c>
      <c r="H4368">
        <v>5</v>
      </c>
      <c r="I4368">
        <v>2026</v>
      </c>
      <c r="J4368">
        <v>5</v>
      </c>
      <c r="K4368" t="s">
        <v>87</v>
      </c>
      <c r="L4368" t="s">
        <v>28</v>
      </c>
      <c r="M4368" t="s">
        <v>63</v>
      </c>
      <c r="N4368" t="b">
        <v>0</v>
      </c>
      <c r="O4368">
        <v>0</v>
      </c>
      <c r="P4368">
        <v>0</v>
      </c>
      <c r="Q4368">
        <v>1</v>
      </c>
      <c r="R4368">
        <v>0</v>
      </c>
    </row>
    <row r="4369" spans="1:18" x14ac:dyDescent="0.25">
      <c r="A4369" t="s">
        <v>402</v>
      </c>
      <c r="B4369" t="s">
        <v>63</v>
      </c>
      <c r="C4369">
        <v>2</v>
      </c>
      <c r="D4369">
        <v>4</v>
      </c>
      <c r="E4369">
        <v>2</v>
      </c>
      <c r="F4369" s="15">
        <v>46160</v>
      </c>
      <c r="G4369" t="s">
        <v>537</v>
      </c>
      <c r="H4369">
        <v>5</v>
      </c>
      <c r="I4369">
        <v>2026</v>
      </c>
      <c r="J4369">
        <v>5</v>
      </c>
      <c r="K4369" t="s">
        <v>87</v>
      </c>
      <c r="L4369" t="s">
        <v>51</v>
      </c>
      <c r="M4369" t="s">
        <v>63</v>
      </c>
      <c r="N4369" t="b">
        <v>0</v>
      </c>
      <c r="O4369">
        <v>0</v>
      </c>
      <c r="P4369">
        <v>0</v>
      </c>
      <c r="Q4369">
        <v>1</v>
      </c>
      <c r="R4369">
        <v>0</v>
      </c>
    </row>
    <row r="4370" spans="1:18" x14ac:dyDescent="0.25">
      <c r="A4370" t="s">
        <v>402</v>
      </c>
      <c r="B4370" t="s">
        <v>63</v>
      </c>
      <c r="C4370">
        <v>2</v>
      </c>
      <c r="D4370">
        <v>4</v>
      </c>
      <c r="E4370">
        <v>2</v>
      </c>
      <c r="F4370" s="15">
        <v>46160</v>
      </c>
      <c r="G4370" t="s">
        <v>537</v>
      </c>
      <c r="H4370">
        <v>5</v>
      </c>
      <c r="I4370">
        <v>2026</v>
      </c>
      <c r="J4370">
        <v>5</v>
      </c>
      <c r="K4370" t="s">
        <v>87</v>
      </c>
      <c r="L4370" t="s">
        <v>405</v>
      </c>
      <c r="M4370" t="s">
        <v>63</v>
      </c>
      <c r="N4370" t="b">
        <v>0</v>
      </c>
      <c r="O4370">
        <v>0</v>
      </c>
      <c r="P4370">
        <v>0</v>
      </c>
      <c r="Q4370">
        <v>1</v>
      </c>
      <c r="R4370">
        <v>0</v>
      </c>
    </row>
    <row r="4371" spans="1:18" x14ac:dyDescent="0.25">
      <c r="A4371" t="s">
        <v>402</v>
      </c>
      <c r="B4371" t="s">
        <v>63</v>
      </c>
      <c r="C4371">
        <v>2</v>
      </c>
      <c r="D4371">
        <v>4</v>
      </c>
      <c r="E4371">
        <v>2</v>
      </c>
      <c r="F4371" s="15">
        <v>46160</v>
      </c>
      <c r="G4371" t="s">
        <v>537</v>
      </c>
      <c r="H4371">
        <v>5</v>
      </c>
      <c r="I4371">
        <v>2026</v>
      </c>
      <c r="J4371">
        <v>5</v>
      </c>
      <c r="K4371" t="s">
        <v>87</v>
      </c>
      <c r="L4371" t="s">
        <v>405</v>
      </c>
      <c r="M4371" t="s">
        <v>63</v>
      </c>
      <c r="N4371" t="b">
        <v>0</v>
      </c>
      <c r="O4371">
        <v>0</v>
      </c>
      <c r="P4371">
        <v>0</v>
      </c>
      <c r="Q4371">
        <v>1</v>
      </c>
      <c r="R4371">
        <v>0</v>
      </c>
    </row>
    <row r="4372" spans="1:18" x14ac:dyDescent="0.25">
      <c r="A4372" t="s">
        <v>51</v>
      </c>
      <c r="B4372" t="s">
        <v>63</v>
      </c>
      <c r="C4372">
        <v>3</v>
      </c>
      <c r="D4372">
        <v>4</v>
      </c>
      <c r="E4372">
        <v>2</v>
      </c>
      <c r="F4372" s="15">
        <v>46160</v>
      </c>
      <c r="G4372" t="s">
        <v>537</v>
      </c>
      <c r="H4372">
        <v>5</v>
      </c>
      <c r="I4372">
        <v>2026</v>
      </c>
      <c r="J4372">
        <v>5</v>
      </c>
      <c r="K4372" t="s">
        <v>87</v>
      </c>
      <c r="L4372" t="s">
        <v>28</v>
      </c>
      <c r="M4372" t="s">
        <v>63</v>
      </c>
      <c r="N4372" t="b">
        <v>0</v>
      </c>
      <c r="O4372">
        <v>0</v>
      </c>
      <c r="P4372">
        <v>0</v>
      </c>
      <c r="Q4372">
        <v>1</v>
      </c>
      <c r="R4372">
        <v>0</v>
      </c>
    </row>
    <row r="4373" spans="1:18" x14ac:dyDescent="0.25">
      <c r="A4373" t="s">
        <v>51</v>
      </c>
      <c r="B4373" t="s">
        <v>63</v>
      </c>
      <c r="C4373">
        <v>3</v>
      </c>
      <c r="D4373">
        <v>4</v>
      </c>
      <c r="E4373">
        <v>2</v>
      </c>
      <c r="F4373" s="15">
        <v>46160</v>
      </c>
      <c r="G4373" t="s">
        <v>537</v>
      </c>
      <c r="H4373">
        <v>5</v>
      </c>
      <c r="I4373">
        <v>2026</v>
      </c>
      <c r="J4373">
        <v>5</v>
      </c>
      <c r="K4373" t="s">
        <v>87</v>
      </c>
      <c r="L4373" t="s">
        <v>402</v>
      </c>
      <c r="M4373" t="s">
        <v>63</v>
      </c>
      <c r="N4373" t="b">
        <v>0</v>
      </c>
      <c r="O4373">
        <v>0</v>
      </c>
      <c r="P4373">
        <v>0</v>
      </c>
      <c r="Q4373">
        <v>1</v>
      </c>
      <c r="R4373">
        <v>0</v>
      </c>
    </row>
    <row r="4374" spans="1:18" x14ac:dyDescent="0.25">
      <c r="A4374" t="s">
        <v>51</v>
      </c>
      <c r="B4374" t="s">
        <v>63</v>
      </c>
      <c r="C4374">
        <v>3</v>
      </c>
      <c r="D4374">
        <v>4</v>
      </c>
      <c r="E4374">
        <v>2</v>
      </c>
      <c r="F4374" s="15">
        <v>46160</v>
      </c>
      <c r="G4374" t="s">
        <v>537</v>
      </c>
      <c r="H4374">
        <v>5</v>
      </c>
      <c r="I4374">
        <v>2026</v>
      </c>
      <c r="J4374">
        <v>5</v>
      </c>
      <c r="K4374" t="s">
        <v>87</v>
      </c>
      <c r="L4374" t="s">
        <v>405</v>
      </c>
      <c r="M4374" t="s">
        <v>63</v>
      </c>
      <c r="N4374" t="b">
        <v>0</v>
      </c>
      <c r="O4374">
        <v>0</v>
      </c>
      <c r="P4374">
        <v>0</v>
      </c>
      <c r="Q4374">
        <v>1</v>
      </c>
      <c r="R4374">
        <v>0</v>
      </c>
    </row>
    <row r="4375" spans="1:18" x14ac:dyDescent="0.25">
      <c r="A4375" t="s">
        <v>51</v>
      </c>
      <c r="B4375" t="s">
        <v>63</v>
      </c>
      <c r="C4375">
        <v>3</v>
      </c>
      <c r="D4375">
        <v>4</v>
      </c>
      <c r="E4375">
        <v>2</v>
      </c>
      <c r="F4375" s="15">
        <v>46160</v>
      </c>
      <c r="G4375" t="s">
        <v>537</v>
      </c>
      <c r="H4375">
        <v>5</v>
      </c>
      <c r="I4375">
        <v>2026</v>
      </c>
      <c r="J4375">
        <v>5</v>
      </c>
      <c r="K4375" t="s">
        <v>87</v>
      </c>
      <c r="L4375" t="s">
        <v>405</v>
      </c>
      <c r="M4375" t="s">
        <v>63</v>
      </c>
      <c r="N4375" t="b">
        <v>0</v>
      </c>
      <c r="O4375">
        <v>0</v>
      </c>
      <c r="P4375">
        <v>0</v>
      </c>
      <c r="Q4375">
        <v>1</v>
      </c>
      <c r="R4375">
        <v>0</v>
      </c>
    </row>
    <row r="4376" spans="1:18" x14ac:dyDescent="0.25">
      <c r="A4376" t="s">
        <v>405</v>
      </c>
      <c r="B4376" t="s">
        <v>63</v>
      </c>
      <c r="C4376">
        <v>4</v>
      </c>
      <c r="D4376">
        <v>4</v>
      </c>
      <c r="E4376">
        <v>2</v>
      </c>
      <c r="F4376" s="15">
        <v>46160</v>
      </c>
      <c r="G4376" t="s">
        <v>537</v>
      </c>
      <c r="H4376">
        <v>5</v>
      </c>
      <c r="I4376">
        <v>2026</v>
      </c>
      <c r="J4376">
        <v>5</v>
      </c>
      <c r="K4376" t="s">
        <v>87</v>
      </c>
      <c r="L4376" t="s">
        <v>28</v>
      </c>
      <c r="M4376" t="s">
        <v>63</v>
      </c>
      <c r="N4376" t="b">
        <v>0</v>
      </c>
      <c r="O4376">
        <v>0</v>
      </c>
      <c r="P4376">
        <v>0</v>
      </c>
      <c r="Q4376">
        <v>1</v>
      </c>
      <c r="R4376">
        <v>0</v>
      </c>
    </row>
    <row r="4377" spans="1:18" x14ac:dyDescent="0.25">
      <c r="A4377" t="s">
        <v>405</v>
      </c>
      <c r="B4377" t="s">
        <v>63</v>
      </c>
      <c r="C4377">
        <v>4</v>
      </c>
      <c r="D4377">
        <v>4</v>
      </c>
      <c r="E4377">
        <v>2</v>
      </c>
      <c r="F4377" s="15">
        <v>46160</v>
      </c>
      <c r="G4377" t="s">
        <v>537</v>
      </c>
      <c r="H4377">
        <v>5</v>
      </c>
      <c r="I4377">
        <v>2026</v>
      </c>
      <c r="J4377">
        <v>5</v>
      </c>
      <c r="K4377" t="s">
        <v>87</v>
      </c>
      <c r="L4377" t="s">
        <v>402</v>
      </c>
      <c r="M4377" t="s">
        <v>63</v>
      </c>
      <c r="N4377" t="b">
        <v>0</v>
      </c>
      <c r="O4377">
        <v>0</v>
      </c>
      <c r="P4377">
        <v>0</v>
      </c>
      <c r="Q4377">
        <v>1</v>
      </c>
      <c r="R4377">
        <v>0</v>
      </c>
    </row>
    <row r="4378" spans="1:18" x14ac:dyDescent="0.25">
      <c r="A4378" t="s">
        <v>405</v>
      </c>
      <c r="B4378" t="s">
        <v>63</v>
      </c>
      <c r="C4378">
        <v>4</v>
      </c>
      <c r="D4378">
        <v>4</v>
      </c>
      <c r="E4378">
        <v>2</v>
      </c>
      <c r="F4378" s="15">
        <v>46160</v>
      </c>
      <c r="G4378" t="s">
        <v>537</v>
      </c>
      <c r="H4378">
        <v>5</v>
      </c>
      <c r="I4378">
        <v>2026</v>
      </c>
      <c r="J4378">
        <v>5</v>
      </c>
      <c r="K4378" t="s">
        <v>87</v>
      </c>
      <c r="L4378" t="s">
        <v>51</v>
      </c>
      <c r="M4378" t="s">
        <v>63</v>
      </c>
      <c r="N4378" t="b">
        <v>0</v>
      </c>
      <c r="O4378">
        <v>0</v>
      </c>
      <c r="P4378">
        <v>0</v>
      </c>
      <c r="Q4378">
        <v>1</v>
      </c>
      <c r="R4378">
        <v>0</v>
      </c>
    </row>
    <row r="4379" spans="1:18" x14ac:dyDescent="0.25">
      <c r="A4379" t="s">
        <v>405</v>
      </c>
      <c r="B4379" t="s">
        <v>63</v>
      </c>
      <c r="C4379">
        <v>4</v>
      </c>
      <c r="D4379">
        <v>4</v>
      </c>
      <c r="E4379">
        <v>2</v>
      </c>
      <c r="F4379" s="15">
        <v>46160</v>
      </c>
      <c r="G4379" t="s">
        <v>537</v>
      </c>
      <c r="H4379">
        <v>5</v>
      </c>
      <c r="I4379">
        <v>2026</v>
      </c>
      <c r="J4379">
        <v>5</v>
      </c>
      <c r="K4379" t="s">
        <v>87</v>
      </c>
      <c r="L4379" t="s">
        <v>28</v>
      </c>
      <c r="M4379" t="s">
        <v>63</v>
      </c>
      <c r="N4379" t="b">
        <v>0</v>
      </c>
      <c r="O4379">
        <v>0</v>
      </c>
      <c r="P4379">
        <v>0</v>
      </c>
      <c r="Q4379">
        <v>1</v>
      </c>
      <c r="R4379">
        <v>0</v>
      </c>
    </row>
    <row r="4380" spans="1:18" x14ac:dyDescent="0.25">
      <c r="A4380" t="s">
        <v>405</v>
      </c>
      <c r="B4380" t="s">
        <v>63</v>
      </c>
      <c r="C4380">
        <v>4</v>
      </c>
      <c r="D4380">
        <v>4</v>
      </c>
      <c r="E4380">
        <v>2</v>
      </c>
      <c r="F4380" s="15">
        <v>46160</v>
      </c>
      <c r="G4380" t="s">
        <v>537</v>
      </c>
      <c r="H4380">
        <v>5</v>
      </c>
      <c r="I4380">
        <v>2026</v>
      </c>
      <c r="J4380">
        <v>5</v>
      </c>
      <c r="K4380" t="s">
        <v>87</v>
      </c>
      <c r="L4380" t="s">
        <v>402</v>
      </c>
      <c r="M4380" t="s">
        <v>63</v>
      </c>
      <c r="N4380" t="b">
        <v>0</v>
      </c>
      <c r="O4380">
        <v>0</v>
      </c>
      <c r="P4380">
        <v>0</v>
      </c>
      <c r="Q4380">
        <v>1</v>
      </c>
      <c r="R4380">
        <v>0</v>
      </c>
    </row>
    <row r="4381" spans="1:18" x14ac:dyDescent="0.25">
      <c r="A4381" t="s">
        <v>405</v>
      </c>
      <c r="B4381" t="s">
        <v>63</v>
      </c>
      <c r="C4381">
        <v>4</v>
      </c>
      <c r="D4381">
        <v>4</v>
      </c>
      <c r="E4381">
        <v>2</v>
      </c>
      <c r="F4381" s="15">
        <v>46160</v>
      </c>
      <c r="G4381" t="s">
        <v>537</v>
      </c>
      <c r="H4381">
        <v>5</v>
      </c>
      <c r="I4381">
        <v>2026</v>
      </c>
      <c r="J4381">
        <v>5</v>
      </c>
      <c r="K4381" t="s">
        <v>87</v>
      </c>
      <c r="L4381" t="s">
        <v>51</v>
      </c>
      <c r="M4381" t="s">
        <v>63</v>
      </c>
      <c r="N4381" t="b">
        <v>0</v>
      </c>
      <c r="O4381">
        <v>0</v>
      </c>
      <c r="P4381">
        <v>0</v>
      </c>
      <c r="Q4381">
        <v>1</v>
      </c>
      <c r="R4381">
        <v>0</v>
      </c>
    </row>
    <row r="4382" spans="1:18" x14ac:dyDescent="0.25">
      <c r="A4382" t="s">
        <v>7</v>
      </c>
      <c r="B4382" t="s">
        <v>8</v>
      </c>
      <c r="C4382">
        <v>1</v>
      </c>
      <c r="D4382">
        <v>5</v>
      </c>
      <c r="E4382">
        <v>2</v>
      </c>
      <c r="F4382" s="15">
        <v>46160</v>
      </c>
      <c r="G4382" t="s">
        <v>538</v>
      </c>
      <c r="H4382">
        <v>3</v>
      </c>
      <c r="I4382">
        <v>2026</v>
      </c>
      <c r="J4382">
        <v>5</v>
      </c>
      <c r="K4382" t="s">
        <v>87</v>
      </c>
      <c r="L4382" t="s">
        <v>352</v>
      </c>
      <c r="M4382" t="s">
        <v>6</v>
      </c>
      <c r="N4382" t="b">
        <v>0</v>
      </c>
      <c r="O4382">
        <v>1</v>
      </c>
      <c r="P4382">
        <v>0</v>
      </c>
      <c r="Q4382">
        <v>0</v>
      </c>
      <c r="R4382">
        <v>0</v>
      </c>
    </row>
    <row r="4383" spans="1:18" x14ac:dyDescent="0.25">
      <c r="A4383" t="s">
        <v>7</v>
      </c>
      <c r="B4383" t="s">
        <v>8</v>
      </c>
      <c r="C4383">
        <v>1</v>
      </c>
      <c r="D4383">
        <v>5</v>
      </c>
      <c r="E4383">
        <v>2</v>
      </c>
      <c r="F4383" s="15">
        <v>46160</v>
      </c>
      <c r="G4383" t="s">
        <v>538</v>
      </c>
      <c r="H4383">
        <v>3</v>
      </c>
      <c r="I4383">
        <v>2026</v>
      </c>
      <c r="J4383">
        <v>5</v>
      </c>
      <c r="K4383" t="s">
        <v>87</v>
      </c>
      <c r="L4383" t="s">
        <v>41</v>
      </c>
      <c r="M4383" t="s">
        <v>6</v>
      </c>
      <c r="N4383" t="b">
        <v>0</v>
      </c>
      <c r="O4383">
        <v>1</v>
      </c>
      <c r="P4383">
        <v>0</v>
      </c>
      <c r="Q4383">
        <v>0</v>
      </c>
      <c r="R4383">
        <v>0</v>
      </c>
    </row>
    <row r="4384" spans="1:18" x14ac:dyDescent="0.25">
      <c r="A4384" t="s">
        <v>352</v>
      </c>
      <c r="B4384" t="s">
        <v>6</v>
      </c>
      <c r="C4384">
        <v>2</v>
      </c>
      <c r="D4384">
        <v>5</v>
      </c>
      <c r="E4384">
        <v>2</v>
      </c>
      <c r="F4384" s="15">
        <v>46160</v>
      </c>
      <c r="G4384" t="s">
        <v>538</v>
      </c>
      <c r="H4384">
        <v>3</v>
      </c>
      <c r="I4384">
        <v>2026</v>
      </c>
      <c r="J4384">
        <v>5</v>
      </c>
      <c r="K4384" t="s">
        <v>87</v>
      </c>
      <c r="L4384" t="s">
        <v>7</v>
      </c>
      <c r="M4384" t="s">
        <v>8</v>
      </c>
      <c r="N4384" t="b">
        <v>0</v>
      </c>
      <c r="O4384">
        <v>0</v>
      </c>
      <c r="P4384">
        <v>1</v>
      </c>
      <c r="Q4384">
        <v>0</v>
      </c>
      <c r="R4384">
        <v>1</v>
      </c>
    </row>
    <row r="4385" spans="1:18" x14ac:dyDescent="0.25">
      <c r="A4385" t="s">
        <v>352</v>
      </c>
      <c r="B4385" t="s">
        <v>6</v>
      </c>
      <c r="C4385">
        <v>2</v>
      </c>
      <c r="D4385">
        <v>5</v>
      </c>
      <c r="E4385">
        <v>2</v>
      </c>
      <c r="F4385" s="15">
        <v>46160</v>
      </c>
      <c r="G4385" t="s">
        <v>538</v>
      </c>
      <c r="H4385">
        <v>3</v>
      </c>
      <c r="I4385">
        <v>2026</v>
      </c>
      <c r="J4385">
        <v>5</v>
      </c>
      <c r="K4385" t="s">
        <v>87</v>
      </c>
      <c r="L4385" t="s">
        <v>41</v>
      </c>
      <c r="M4385" t="s">
        <v>6</v>
      </c>
      <c r="N4385" t="b">
        <v>0</v>
      </c>
      <c r="O4385">
        <v>0</v>
      </c>
      <c r="P4385">
        <v>1</v>
      </c>
      <c r="Q4385">
        <v>0</v>
      </c>
      <c r="R4385">
        <v>0</v>
      </c>
    </row>
    <row r="4386" spans="1:18" x14ac:dyDescent="0.25">
      <c r="A4386" t="s">
        <v>41</v>
      </c>
      <c r="B4386" t="s">
        <v>6</v>
      </c>
      <c r="C4386">
        <v>3</v>
      </c>
      <c r="D4386">
        <v>5</v>
      </c>
      <c r="E4386">
        <v>2</v>
      </c>
      <c r="F4386" s="15">
        <v>46160</v>
      </c>
      <c r="G4386" t="s">
        <v>538</v>
      </c>
      <c r="H4386">
        <v>3</v>
      </c>
      <c r="I4386">
        <v>2026</v>
      </c>
      <c r="J4386">
        <v>5</v>
      </c>
      <c r="K4386" t="s">
        <v>87</v>
      </c>
      <c r="L4386" t="s">
        <v>7</v>
      </c>
      <c r="M4386" t="s">
        <v>8</v>
      </c>
      <c r="N4386" t="b">
        <v>0</v>
      </c>
      <c r="O4386">
        <v>0</v>
      </c>
      <c r="P4386">
        <v>1</v>
      </c>
      <c r="Q4386">
        <v>0</v>
      </c>
      <c r="R4386">
        <v>1</v>
      </c>
    </row>
    <row r="4387" spans="1:18" x14ac:dyDescent="0.25">
      <c r="A4387" t="s">
        <v>41</v>
      </c>
      <c r="B4387" t="s">
        <v>6</v>
      </c>
      <c r="C4387">
        <v>3</v>
      </c>
      <c r="D4387">
        <v>5</v>
      </c>
      <c r="E4387">
        <v>2</v>
      </c>
      <c r="F4387" s="15">
        <v>46160</v>
      </c>
      <c r="G4387" t="s">
        <v>538</v>
      </c>
      <c r="H4387">
        <v>3</v>
      </c>
      <c r="I4387">
        <v>2026</v>
      </c>
      <c r="J4387">
        <v>5</v>
      </c>
      <c r="K4387" t="s">
        <v>87</v>
      </c>
      <c r="L4387" t="s">
        <v>352</v>
      </c>
      <c r="M4387" t="s">
        <v>6</v>
      </c>
      <c r="N4387" t="b">
        <v>0</v>
      </c>
      <c r="O4387">
        <v>0</v>
      </c>
      <c r="P4387">
        <v>1</v>
      </c>
      <c r="Q4387">
        <v>0</v>
      </c>
      <c r="R4387">
        <v>0</v>
      </c>
    </row>
    <row r="4388" spans="1:18" x14ac:dyDescent="0.25">
      <c r="A4388" t="s">
        <v>325</v>
      </c>
      <c r="B4388" t="s">
        <v>8</v>
      </c>
      <c r="C4388">
        <v>1</v>
      </c>
      <c r="D4388">
        <v>1</v>
      </c>
      <c r="E4388">
        <v>1</v>
      </c>
      <c r="F4388" s="15">
        <v>46167</v>
      </c>
      <c r="G4388" t="s">
        <v>545</v>
      </c>
      <c r="H4388">
        <v>4</v>
      </c>
      <c r="I4388">
        <v>2026</v>
      </c>
      <c r="J4388">
        <v>5</v>
      </c>
      <c r="K4388" t="s">
        <v>87</v>
      </c>
      <c r="L4388" t="s">
        <v>10</v>
      </c>
      <c r="M4388" t="s">
        <v>6</v>
      </c>
      <c r="N4388" t="b">
        <v>0</v>
      </c>
      <c r="O4388">
        <v>1</v>
      </c>
      <c r="P4388">
        <v>0</v>
      </c>
      <c r="Q4388">
        <v>0</v>
      </c>
      <c r="R4388">
        <v>0</v>
      </c>
    </row>
    <row r="4389" spans="1:18" x14ac:dyDescent="0.25">
      <c r="A4389" t="s">
        <v>325</v>
      </c>
      <c r="B4389" t="s">
        <v>8</v>
      </c>
      <c r="C4389">
        <v>1</v>
      </c>
      <c r="D4389">
        <v>1</v>
      </c>
      <c r="E4389">
        <v>1</v>
      </c>
      <c r="F4389" s="15">
        <v>46167</v>
      </c>
      <c r="G4389" t="s">
        <v>545</v>
      </c>
      <c r="H4389">
        <v>4</v>
      </c>
      <c r="I4389">
        <v>2026</v>
      </c>
      <c r="J4389">
        <v>5</v>
      </c>
      <c r="K4389" t="s">
        <v>87</v>
      </c>
      <c r="L4389" t="s">
        <v>41</v>
      </c>
      <c r="M4389" t="s">
        <v>6</v>
      </c>
      <c r="N4389" t="b">
        <v>0</v>
      </c>
      <c r="O4389">
        <v>1</v>
      </c>
      <c r="P4389">
        <v>0</v>
      </c>
      <c r="Q4389">
        <v>0</v>
      </c>
      <c r="R4389">
        <v>0</v>
      </c>
    </row>
    <row r="4390" spans="1:18" x14ac:dyDescent="0.25">
      <c r="A4390" t="s">
        <v>325</v>
      </c>
      <c r="B4390" t="s">
        <v>8</v>
      </c>
      <c r="C4390">
        <v>1</v>
      </c>
      <c r="D4390">
        <v>1</v>
      </c>
      <c r="E4390">
        <v>1</v>
      </c>
      <c r="F4390" s="15">
        <v>46167</v>
      </c>
      <c r="G4390" t="s">
        <v>545</v>
      </c>
      <c r="H4390">
        <v>4</v>
      </c>
      <c r="I4390">
        <v>2026</v>
      </c>
      <c r="J4390">
        <v>5</v>
      </c>
      <c r="K4390" t="s">
        <v>87</v>
      </c>
      <c r="L4390" t="s">
        <v>433</v>
      </c>
      <c r="M4390" t="s">
        <v>6</v>
      </c>
      <c r="N4390" t="b">
        <v>0</v>
      </c>
      <c r="O4390">
        <v>1</v>
      </c>
      <c r="P4390">
        <v>0</v>
      </c>
      <c r="Q4390">
        <v>0</v>
      </c>
      <c r="R4390">
        <v>0</v>
      </c>
    </row>
    <row r="4391" spans="1:18" x14ac:dyDescent="0.25">
      <c r="A4391" t="s">
        <v>10</v>
      </c>
      <c r="B4391" t="s">
        <v>6</v>
      </c>
      <c r="C4391">
        <v>2</v>
      </c>
      <c r="D4391">
        <v>1</v>
      </c>
      <c r="E4391">
        <v>1</v>
      </c>
      <c r="F4391" s="15">
        <v>46167</v>
      </c>
      <c r="G4391" t="s">
        <v>545</v>
      </c>
      <c r="H4391">
        <v>4</v>
      </c>
      <c r="I4391">
        <v>2026</v>
      </c>
      <c r="J4391">
        <v>5</v>
      </c>
      <c r="K4391" t="s">
        <v>87</v>
      </c>
      <c r="L4391" t="s">
        <v>325</v>
      </c>
      <c r="M4391" t="s">
        <v>8</v>
      </c>
      <c r="N4391" t="b">
        <v>0</v>
      </c>
      <c r="O4391">
        <v>0</v>
      </c>
      <c r="P4391">
        <v>1</v>
      </c>
      <c r="Q4391">
        <v>0</v>
      </c>
      <c r="R4391">
        <v>1</v>
      </c>
    </row>
    <row r="4392" spans="1:18" x14ac:dyDescent="0.25">
      <c r="A4392" t="s">
        <v>10</v>
      </c>
      <c r="B4392" t="s">
        <v>6</v>
      </c>
      <c r="C4392">
        <v>2</v>
      </c>
      <c r="D4392">
        <v>1</v>
      </c>
      <c r="E4392">
        <v>1</v>
      </c>
      <c r="F4392" s="15">
        <v>46167</v>
      </c>
      <c r="G4392" t="s">
        <v>545</v>
      </c>
      <c r="H4392">
        <v>4</v>
      </c>
      <c r="I4392">
        <v>2026</v>
      </c>
      <c r="J4392">
        <v>5</v>
      </c>
      <c r="K4392" t="s">
        <v>87</v>
      </c>
      <c r="L4392" t="s">
        <v>41</v>
      </c>
      <c r="M4392" t="s">
        <v>6</v>
      </c>
      <c r="N4392" t="b">
        <v>0</v>
      </c>
      <c r="O4392">
        <v>0</v>
      </c>
      <c r="P4392">
        <v>1</v>
      </c>
      <c r="Q4392">
        <v>0</v>
      </c>
      <c r="R4392">
        <v>0</v>
      </c>
    </row>
    <row r="4393" spans="1:18" x14ac:dyDescent="0.25">
      <c r="A4393" t="s">
        <v>10</v>
      </c>
      <c r="B4393" t="s">
        <v>6</v>
      </c>
      <c r="C4393">
        <v>2</v>
      </c>
      <c r="D4393">
        <v>1</v>
      </c>
      <c r="E4393">
        <v>1</v>
      </c>
      <c r="F4393" s="15">
        <v>46167</v>
      </c>
      <c r="G4393" t="s">
        <v>545</v>
      </c>
      <c r="H4393">
        <v>4</v>
      </c>
      <c r="I4393">
        <v>2026</v>
      </c>
      <c r="J4393">
        <v>5</v>
      </c>
      <c r="K4393" t="s">
        <v>87</v>
      </c>
      <c r="L4393" t="s">
        <v>433</v>
      </c>
      <c r="M4393" t="s">
        <v>6</v>
      </c>
      <c r="N4393" t="b">
        <v>0</v>
      </c>
      <c r="O4393">
        <v>0</v>
      </c>
      <c r="P4393">
        <v>1</v>
      </c>
      <c r="Q4393">
        <v>0</v>
      </c>
      <c r="R4393">
        <v>0</v>
      </c>
    </row>
    <row r="4394" spans="1:18" x14ac:dyDescent="0.25">
      <c r="A4394" t="s">
        <v>41</v>
      </c>
      <c r="B4394" t="s">
        <v>6</v>
      </c>
      <c r="C4394">
        <v>3</v>
      </c>
      <c r="D4394">
        <v>1</v>
      </c>
      <c r="E4394">
        <v>1</v>
      </c>
      <c r="F4394" s="15">
        <v>46167</v>
      </c>
      <c r="G4394" t="s">
        <v>545</v>
      </c>
      <c r="H4394">
        <v>4</v>
      </c>
      <c r="I4394">
        <v>2026</v>
      </c>
      <c r="J4394">
        <v>5</v>
      </c>
      <c r="K4394" t="s">
        <v>87</v>
      </c>
      <c r="L4394" t="s">
        <v>325</v>
      </c>
      <c r="M4394" t="s">
        <v>8</v>
      </c>
      <c r="N4394" t="b">
        <v>0</v>
      </c>
      <c r="O4394">
        <v>0</v>
      </c>
      <c r="P4394">
        <v>1</v>
      </c>
      <c r="Q4394">
        <v>0</v>
      </c>
      <c r="R4394">
        <v>1</v>
      </c>
    </row>
    <row r="4395" spans="1:18" x14ac:dyDescent="0.25">
      <c r="A4395" t="s">
        <v>41</v>
      </c>
      <c r="B4395" t="s">
        <v>6</v>
      </c>
      <c r="C4395">
        <v>3</v>
      </c>
      <c r="D4395">
        <v>1</v>
      </c>
      <c r="E4395">
        <v>1</v>
      </c>
      <c r="F4395" s="15">
        <v>46167</v>
      </c>
      <c r="G4395" t="s">
        <v>545</v>
      </c>
      <c r="H4395">
        <v>4</v>
      </c>
      <c r="I4395">
        <v>2026</v>
      </c>
      <c r="J4395">
        <v>5</v>
      </c>
      <c r="K4395" t="s">
        <v>87</v>
      </c>
      <c r="L4395" t="s">
        <v>10</v>
      </c>
      <c r="M4395" t="s">
        <v>6</v>
      </c>
      <c r="N4395" t="b">
        <v>0</v>
      </c>
      <c r="O4395">
        <v>0</v>
      </c>
      <c r="P4395">
        <v>1</v>
      </c>
      <c r="Q4395">
        <v>0</v>
      </c>
      <c r="R4395">
        <v>0</v>
      </c>
    </row>
    <row r="4396" spans="1:18" x14ac:dyDescent="0.25">
      <c r="A4396" t="s">
        <v>41</v>
      </c>
      <c r="B4396" t="s">
        <v>6</v>
      </c>
      <c r="C4396">
        <v>3</v>
      </c>
      <c r="D4396">
        <v>1</v>
      </c>
      <c r="E4396">
        <v>1</v>
      </c>
      <c r="F4396" s="15">
        <v>46167</v>
      </c>
      <c r="G4396" t="s">
        <v>545</v>
      </c>
      <c r="H4396">
        <v>4</v>
      </c>
      <c r="I4396">
        <v>2026</v>
      </c>
      <c r="J4396">
        <v>5</v>
      </c>
      <c r="K4396" t="s">
        <v>87</v>
      </c>
      <c r="L4396" t="s">
        <v>433</v>
      </c>
      <c r="M4396" t="s">
        <v>6</v>
      </c>
      <c r="N4396" t="b">
        <v>0</v>
      </c>
      <c r="O4396">
        <v>0</v>
      </c>
      <c r="P4396">
        <v>1</v>
      </c>
      <c r="Q4396">
        <v>0</v>
      </c>
      <c r="R4396">
        <v>0</v>
      </c>
    </row>
    <row r="4397" spans="1:18" x14ac:dyDescent="0.25">
      <c r="A4397" t="s">
        <v>433</v>
      </c>
      <c r="B4397" t="s">
        <v>6</v>
      </c>
      <c r="C4397">
        <v>4</v>
      </c>
      <c r="D4397">
        <v>1</v>
      </c>
      <c r="E4397">
        <v>1</v>
      </c>
      <c r="F4397" s="15">
        <v>46167</v>
      </c>
      <c r="G4397" t="s">
        <v>545</v>
      </c>
      <c r="H4397">
        <v>4</v>
      </c>
      <c r="I4397">
        <v>2026</v>
      </c>
      <c r="J4397">
        <v>5</v>
      </c>
      <c r="K4397" t="s">
        <v>87</v>
      </c>
      <c r="L4397" t="s">
        <v>325</v>
      </c>
      <c r="M4397" t="s">
        <v>8</v>
      </c>
      <c r="N4397" t="b">
        <v>0</v>
      </c>
      <c r="O4397">
        <v>0</v>
      </c>
      <c r="P4397">
        <v>1</v>
      </c>
      <c r="Q4397">
        <v>0</v>
      </c>
      <c r="R4397">
        <v>1</v>
      </c>
    </row>
    <row r="4398" spans="1:18" x14ac:dyDescent="0.25">
      <c r="A4398" t="s">
        <v>433</v>
      </c>
      <c r="B4398" t="s">
        <v>6</v>
      </c>
      <c r="C4398">
        <v>4</v>
      </c>
      <c r="D4398">
        <v>1</v>
      </c>
      <c r="E4398">
        <v>1</v>
      </c>
      <c r="F4398" s="15">
        <v>46167</v>
      </c>
      <c r="G4398" t="s">
        <v>545</v>
      </c>
      <c r="H4398">
        <v>4</v>
      </c>
      <c r="I4398">
        <v>2026</v>
      </c>
      <c r="J4398">
        <v>5</v>
      </c>
      <c r="K4398" t="s">
        <v>87</v>
      </c>
      <c r="L4398" t="s">
        <v>10</v>
      </c>
      <c r="M4398" t="s">
        <v>6</v>
      </c>
      <c r="N4398" t="b">
        <v>0</v>
      </c>
      <c r="O4398">
        <v>0</v>
      </c>
      <c r="P4398">
        <v>1</v>
      </c>
      <c r="Q4398">
        <v>0</v>
      </c>
      <c r="R4398">
        <v>0</v>
      </c>
    </row>
    <row r="4399" spans="1:18" x14ac:dyDescent="0.25">
      <c r="A4399" t="s">
        <v>433</v>
      </c>
      <c r="B4399" t="s">
        <v>6</v>
      </c>
      <c r="C4399">
        <v>4</v>
      </c>
      <c r="D4399">
        <v>1</v>
      </c>
      <c r="E4399">
        <v>1</v>
      </c>
      <c r="F4399" s="15">
        <v>46167</v>
      </c>
      <c r="G4399" t="s">
        <v>545</v>
      </c>
      <c r="H4399">
        <v>4</v>
      </c>
      <c r="I4399">
        <v>2026</v>
      </c>
      <c r="J4399">
        <v>5</v>
      </c>
      <c r="K4399" t="s">
        <v>87</v>
      </c>
      <c r="L4399" t="s">
        <v>41</v>
      </c>
      <c r="M4399" t="s">
        <v>6</v>
      </c>
      <c r="N4399" t="b">
        <v>0</v>
      </c>
      <c r="O4399">
        <v>0</v>
      </c>
      <c r="P4399">
        <v>1</v>
      </c>
      <c r="Q4399">
        <v>0</v>
      </c>
      <c r="R4399">
        <v>0</v>
      </c>
    </row>
    <row r="4400" spans="1:18" x14ac:dyDescent="0.25">
      <c r="A4400" t="s">
        <v>541</v>
      </c>
      <c r="B4400" t="s">
        <v>63</v>
      </c>
      <c r="C4400">
        <v>1</v>
      </c>
      <c r="D4400">
        <v>2</v>
      </c>
      <c r="E4400">
        <v>1</v>
      </c>
      <c r="F4400" s="15">
        <v>46167</v>
      </c>
      <c r="G4400" t="s">
        <v>546</v>
      </c>
      <c r="H4400">
        <v>4</v>
      </c>
      <c r="I4400">
        <v>2026</v>
      </c>
      <c r="J4400">
        <v>5</v>
      </c>
      <c r="K4400" t="s">
        <v>87</v>
      </c>
      <c r="L4400" t="s">
        <v>20</v>
      </c>
      <c r="M4400" t="s">
        <v>63</v>
      </c>
      <c r="N4400" t="b">
        <v>0</v>
      </c>
      <c r="O4400">
        <v>0</v>
      </c>
      <c r="P4400">
        <v>0</v>
      </c>
      <c r="Q4400">
        <v>1</v>
      </c>
      <c r="R4400">
        <v>0</v>
      </c>
    </row>
    <row r="4401" spans="1:18" x14ac:dyDescent="0.25">
      <c r="A4401" t="s">
        <v>541</v>
      </c>
      <c r="B4401" t="s">
        <v>63</v>
      </c>
      <c r="C4401">
        <v>1</v>
      </c>
      <c r="D4401">
        <v>2</v>
      </c>
      <c r="E4401">
        <v>1</v>
      </c>
      <c r="F4401" s="15">
        <v>46167</v>
      </c>
      <c r="G4401" t="s">
        <v>546</v>
      </c>
      <c r="H4401">
        <v>4</v>
      </c>
      <c r="I4401">
        <v>2026</v>
      </c>
      <c r="J4401">
        <v>5</v>
      </c>
      <c r="K4401" t="s">
        <v>87</v>
      </c>
      <c r="L4401" t="s">
        <v>17</v>
      </c>
      <c r="M4401" t="s">
        <v>63</v>
      </c>
      <c r="N4401" t="b">
        <v>0</v>
      </c>
      <c r="O4401">
        <v>0</v>
      </c>
      <c r="P4401">
        <v>0</v>
      </c>
      <c r="Q4401">
        <v>1</v>
      </c>
      <c r="R4401">
        <v>0</v>
      </c>
    </row>
    <row r="4402" spans="1:18" x14ac:dyDescent="0.25">
      <c r="A4402" t="s">
        <v>541</v>
      </c>
      <c r="B4402" t="s">
        <v>63</v>
      </c>
      <c r="C4402">
        <v>1</v>
      </c>
      <c r="D4402">
        <v>2</v>
      </c>
      <c r="E4402">
        <v>1</v>
      </c>
      <c r="F4402" s="15">
        <v>46167</v>
      </c>
      <c r="G4402" t="s">
        <v>546</v>
      </c>
      <c r="H4402">
        <v>4</v>
      </c>
      <c r="I4402">
        <v>2026</v>
      </c>
      <c r="J4402">
        <v>5</v>
      </c>
      <c r="K4402" t="s">
        <v>87</v>
      </c>
      <c r="L4402" t="s">
        <v>351</v>
      </c>
      <c r="M4402" t="s">
        <v>63</v>
      </c>
      <c r="N4402" t="b">
        <v>0</v>
      </c>
      <c r="O4402">
        <v>0</v>
      </c>
      <c r="P4402">
        <v>0</v>
      </c>
      <c r="Q4402">
        <v>1</v>
      </c>
      <c r="R4402">
        <v>0</v>
      </c>
    </row>
    <row r="4403" spans="1:18" x14ac:dyDescent="0.25">
      <c r="A4403" t="s">
        <v>20</v>
      </c>
      <c r="B4403" t="s">
        <v>63</v>
      </c>
      <c r="C4403">
        <v>2</v>
      </c>
      <c r="D4403">
        <v>2</v>
      </c>
      <c r="E4403">
        <v>1</v>
      </c>
      <c r="F4403" s="15">
        <v>46167</v>
      </c>
      <c r="G4403" t="s">
        <v>546</v>
      </c>
      <c r="H4403">
        <v>4</v>
      </c>
      <c r="I4403">
        <v>2026</v>
      </c>
      <c r="J4403">
        <v>5</v>
      </c>
      <c r="K4403" t="s">
        <v>87</v>
      </c>
      <c r="L4403" t="s">
        <v>541</v>
      </c>
      <c r="M4403" t="s">
        <v>63</v>
      </c>
      <c r="N4403" t="b">
        <v>0</v>
      </c>
      <c r="O4403">
        <v>0</v>
      </c>
      <c r="P4403">
        <v>0</v>
      </c>
      <c r="Q4403">
        <v>1</v>
      </c>
      <c r="R4403">
        <v>0</v>
      </c>
    </row>
    <row r="4404" spans="1:18" x14ac:dyDescent="0.25">
      <c r="A4404" t="s">
        <v>20</v>
      </c>
      <c r="B4404" t="s">
        <v>63</v>
      </c>
      <c r="C4404">
        <v>2</v>
      </c>
      <c r="D4404">
        <v>2</v>
      </c>
      <c r="E4404">
        <v>1</v>
      </c>
      <c r="F4404" s="15">
        <v>46167</v>
      </c>
      <c r="G4404" t="s">
        <v>546</v>
      </c>
      <c r="H4404">
        <v>4</v>
      </c>
      <c r="I4404">
        <v>2026</v>
      </c>
      <c r="J4404">
        <v>5</v>
      </c>
      <c r="K4404" t="s">
        <v>87</v>
      </c>
      <c r="L4404" t="s">
        <v>17</v>
      </c>
      <c r="M4404" t="s">
        <v>63</v>
      </c>
      <c r="N4404" t="b">
        <v>0</v>
      </c>
      <c r="O4404">
        <v>0</v>
      </c>
      <c r="P4404">
        <v>0</v>
      </c>
      <c r="Q4404">
        <v>1</v>
      </c>
      <c r="R4404">
        <v>0</v>
      </c>
    </row>
    <row r="4405" spans="1:18" x14ac:dyDescent="0.25">
      <c r="A4405" t="s">
        <v>20</v>
      </c>
      <c r="B4405" t="s">
        <v>63</v>
      </c>
      <c r="C4405">
        <v>2</v>
      </c>
      <c r="D4405">
        <v>2</v>
      </c>
      <c r="E4405">
        <v>1</v>
      </c>
      <c r="F4405" s="15">
        <v>46167</v>
      </c>
      <c r="G4405" t="s">
        <v>546</v>
      </c>
      <c r="H4405">
        <v>4</v>
      </c>
      <c r="I4405">
        <v>2026</v>
      </c>
      <c r="J4405">
        <v>5</v>
      </c>
      <c r="K4405" t="s">
        <v>87</v>
      </c>
      <c r="L4405" t="s">
        <v>351</v>
      </c>
      <c r="M4405" t="s">
        <v>63</v>
      </c>
      <c r="N4405" t="b">
        <v>0</v>
      </c>
      <c r="O4405">
        <v>0</v>
      </c>
      <c r="P4405">
        <v>0</v>
      </c>
      <c r="Q4405">
        <v>1</v>
      </c>
      <c r="R4405">
        <v>0</v>
      </c>
    </row>
    <row r="4406" spans="1:18" x14ac:dyDescent="0.25">
      <c r="A4406" t="s">
        <v>17</v>
      </c>
      <c r="B4406" t="s">
        <v>63</v>
      </c>
      <c r="C4406">
        <v>3</v>
      </c>
      <c r="D4406">
        <v>2</v>
      </c>
      <c r="E4406">
        <v>1</v>
      </c>
      <c r="F4406" s="15">
        <v>46167</v>
      </c>
      <c r="G4406" t="s">
        <v>546</v>
      </c>
      <c r="H4406">
        <v>4</v>
      </c>
      <c r="I4406">
        <v>2026</v>
      </c>
      <c r="J4406">
        <v>5</v>
      </c>
      <c r="K4406" t="s">
        <v>87</v>
      </c>
      <c r="L4406" t="s">
        <v>541</v>
      </c>
      <c r="M4406" t="s">
        <v>63</v>
      </c>
      <c r="N4406" t="b">
        <v>0</v>
      </c>
      <c r="O4406">
        <v>0</v>
      </c>
      <c r="P4406">
        <v>0</v>
      </c>
      <c r="Q4406">
        <v>1</v>
      </c>
      <c r="R4406">
        <v>0</v>
      </c>
    </row>
    <row r="4407" spans="1:18" x14ac:dyDescent="0.25">
      <c r="A4407" t="s">
        <v>17</v>
      </c>
      <c r="B4407" t="s">
        <v>63</v>
      </c>
      <c r="C4407">
        <v>3</v>
      </c>
      <c r="D4407">
        <v>2</v>
      </c>
      <c r="E4407">
        <v>1</v>
      </c>
      <c r="F4407" s="15">
        <v>46167</v>
      </c>
      <c r="G4407" t="s">
        <v>546</v>
      </c>
      <c r="H4407">
        <v>4</v>
      </c>
      <c r="I4407">
        <v>2026</v>
      </c>
      <c r="J4407">
        <v>5</v>
      </c>
      <c r="K4407" t="s">
        <v>87</v>
      </c>
      <c r="L4407" t="s">
        <v>20</v>
      </c>
      <c r="M4407" t="s">
        <v>63</v>
      </c>
      <c r="N4407" t="b">
        <v>0</v>
      </c>
      <c r="O4407">
        <v>0</v>
      </c>
      <c r="P4407">
        <v>0</v>
      </c>
      <c r="Q4407">
        <v>1</v>
      </c>
      <c r="R4407">
        <v>0</v>
      </c>
    </row>
    <row r="4408" spans="1:18" x14ac:dyDescent="0.25">
      <c r="A4408" t="s">
        <v>17</v>
      </c>
      <c r="B4408" t="s">
        <v>63</v>
      </c>
      <c r="C4408">
        <v>3</v>
      </c>
      <c r="D4408">
        <v>2</v>
      </c>
      <c r="E4408">
        <v>1</v>
      </c>
      <c r="F4408" s="15">
        <v>46167</v>
      </c>
      <c r="G4408" t="s">
        <v>546</v>
      </c>
      <c r="H4408">
        <v>4</v>
      </c>
      <c r="I4408">
        <v>2026</v>
      </c>
      <c r="J4408">
        <v>5</v>
      </c>
      <c r="K4408" t="s">
        <v>87</v>
      </c>
      <c r="L4408" t="s">
        <v>351</v>
      </c>
      <c r="M4408" t="s">
        <v>63</v>
      </c>
      <c r="N4408" t="b">
        <v>0</v>
      </c>
      <c r="O4408">
        <v>0</v>
      </c>
      <c r="P4408">
        <v>0</v>
      </c>
      <c r="Q4408">
        <v>1</v>
      </c>
      <c r="R4408">
        <v>0</v>
      </c>
    </row>
    <row r="4409" spans="1:18" x14ac:dyDescent="0.25">
      <c r="A4409" t="s">
        <v>351</v>
      </c>
      <c r="B4409" t="s">
        <v>63</v>
      </c>
      <c r="C4409">
        <v>4</v>
      </c>
      <c r="D4409">
        <v>2</v>
      </c>
      <c r="E4409">
        <v>1</v>
      </c>
      <c r="F4409" s="15">
        <v>46167</v>
      </c>
      <c r="G4409" t="s">
        <v>546</v>
      </c>
      <c r="H4409">
        <v>4</v>
      </c>
      <c r="I4409">
        <v>2026</v>
      </c>
      <c r="J4409">
        <v>5</v>
      </c>
      <c r="K4409" t="s">
        <v>87</v>
      </c>
      <c r="L4409" t="s">
        <v>541</v>
      </c>
      <c r="M4409" t="s">
        <v>63</v>
      </c>
      <c r="N4409" t="b">
        <v>0</v>
      </c>
      <c r="O4409">
        <v>0</v>
      </c>
      <c r="P4409">
        <v>0</v>
      </c>
      <c r="Q4409">
        <v>1</v>
      </c>
      <c r="R4409">
        <v>0</v>
      </c>
    </row>
    <row r="4410" spans="1:18" x14ac:dyDescent="0.25">
      <c r="A4410" t="s">
        <v>351</v>
      </c>
      <c r="B4410" t="s">
        <v>63</v>
      </c>
      <c r="C4410">
        <v>4</v>
      </c>
      <c r="D4410">
        <v>2</v>
      </c>
      <c r="E4410">
        <v>1</v>
      </c>
      <c r="F4410" s="15">
        <v>46167</v>
      </c>
      <c r="G4410" t="s">
        <v>546</v>
      </c>
      <c r="H4410">
        <v>4</v>
      </c>
      <c r="I4410">
        <v>2026</v>
      </c>
      <c r="J4410">
        <v>5</v>
      </c>
      <c r="K4410" t="s">
        <v>87</v>
      </c>
      <c r="L4410" t="s">
        <v>20</v>
      </c>
      <c r="M4410" t="s">
        <v>63</v>
      </c>
      <c r="N4410" t="b">
        <v>0</v>
      </c>
      <c r="O4410">
        <v>0</v>
      </c>
      <c r="P4410">
        <v>0</v>
      </c>
      <c r="Q4410">
        <v>1</v>
      </c>
      <c r="R4410">
        <v>0</v>
      </c>
    </row>
    <row r="4411" spans="1:18" x14ac:dyDescent="0.25">
      <c r="A4411" t="s">
        <v>351</v>
      </c>
      <c r="B4411" t="s">
        <v>63</v>
      </c>
      <c r="C4411">
        <v>4</v>
      </c>
      <c r="D4411">
        <v>2</v>
      </c>
      <c r="E4411">
        <v>1</v>
      </c>
      <c r="F4411" s="15">
        <v>46167</v>
      </c>
      <c r="G4411" t="s">
        <v>546</v>
      </c>
      <c r="H4411">
        <v>4</v>
      </c>
      <c r="I4411">
        <v>2026</v>
      </c>
      <c r="J4411">
        <v>5</v>
      </c>
      <c r="K4411" t="s">
        <v>87</v>
      </c>
      <c r="L4411" t="s">
        <v>17</v>
      </c>
      <c r="M4411" t="s">
        <v>63</v>
      </c>
      <c r="N4411" t="b">
        <v>0</v>
      </c>
      <c r="O4411">
        <v>0</v>
      </c>
      <c r="P4411">
        <v>0</v>
      </c>
      <c r="Q4411">
        <v>1</v>
      </c>
      <c r="R4411">
        <v>0</v>
      </c>
    </row>
    <row r="4412" spans="1:18" x14ac:dyDescent="0.25">
      <c r="A4412" t="s">
        <v>52</v>
      </c>
      <c r="B4412" t="s">
        <v>6</v>
      </c>
      <c r="C4412">
        <v>1</v>
      </c>
      <c r="D4412">
        <v>3</v>
      </c>
      <c r="E4412">
        <v>1</v>
      </c>
      <c r="F4412" s="15">
        <v>46167</v>
      </c>
      <c r="G4412" t="s">
        <v>547</v>
      </c>
      <c r="H4412">
        <v>4</v>
      </c>
      <c r="I4412">
        <v>2026</v>
      </c>
      <c r="J4412">
        <v>5</v>
      </c>
      <c r="K4412" t="s">
        <v>87</v>
      </c>
      <c r="L4412" t="s">
        <v>13</v>
      </c>
      <c r="M4412" t="s">
        <v>8</v>
      </c>
      <c r="N4412" t="b">
        <v>0</v>
      </c>
      <c r="O4412">
        <v>0</v>
      </c>
      <c r="P4412">
        <v>1</v>
      </c>
      <c r="Q4412">
        <v>0</v>
      </c>
      <c r="R4412">
        <v>1</v>
      </c>
    </row>
    <row r="4413" spans="1:18" x14ac:dyDescent="0.25">
      <c r="A4413" t="s">
        <v>52</v>
      </c>
      <c r="B4413" t="s">
        <v>6</v>
      </c>
      <c r="C4413">
        <v>1</v>
      </c>
      <c r="D4413">
        <v>3</v>
      </c>
      <c r="E4413">
        <v>1</v>
      </c>
      <c r="F4413" s="15">
        <v>46167</v>
      </c>
      <c r="G4413" t="s">
        <v>547</v>
      </c>
      <c r="H4413">
        <v>4</v>
      </c>
      <c r="I4413">
        <v>2026</v>
      </c>
      <c r="J4413">
        <v>5</v>
      </c>
      <c r="K4413" t="s">
        <v>87</v>
      </c>
      <c r="L4413" t="s">
        <v>14</v>
      </c>
      <c r="M4413" t="s">
        <v>6</v>
      </c>
      <c r="N4413" t="b">
        <v>0</v>
      </c>
      <c r="O4413">
        <v>0</v>
      </c>
      <c r="P4413">
        <v>1</v>
      </c>
      <c r="Q4413">
        <v>0</v>
      </c>
      <c r="R4413">
        <v>0</v>
      </c>
    </row>
    <row r="4414" spans="1:18" x14ac:dyDescent="0.25">
      <c r="A4414" t="s">
        <v>52</v>
      </c>
      <c r="B4414" t="s">
        <v>6</v>
      </c>
      <c r="C4414">
        <v>1</v>
      </c>
      <c r="D4414">
        <v>3</v>
      </c>
      <c r="E4414">
        <v>1</v>
      </c>
      <c r="F4414" s="15">
        <v>46167</v>
      </c>
      <c r="G4414" t="s">
        <v>547</v>
      </c>
      <c r="H4414">
        <v>4</v>
      </c>
      <c r="I4414">
        <v>2026</v>
      </c>
      <c r="J4414">
        <v>5</v>
      </c>
      <c r="K4414" t="s">
        <v>87</v>
      </c>
      <c r="L4414" t="s">
        <v>405</v>
      </c>
      <c r="M4414" t="s">
        <v>6</v>
      </c>
      <c r="N4414" t="b">
        <v>0</v>
      </c>
      <c r="O4414">
        <v>0</v>
      </c>
      <c r="P4414">
        <v>1</v>
      </c>
      <c r="Q4414">
        <v>0</v>
      </c>
      <c r="R4414">
        <v>0</v>
      </c>
    </row>
    <row r="4415" spans="1:18" x14ac:dyDescent="0.25">
      <c r="A4415" t="s">
        <v>13</v>
      </c>
      <c r="B4415" t="s">
        <v>8</v>
      </c>
      <c r="C4415">
        <v>2</v>
      </c>
      <c r="D4415">
        <v>3</v>
      </c>
      <c r="E4415">
        <v>1</v>
      </c>
      <c r="F4415" s="15">
        <v>46167</v>
      </c>
      <c r="G4415" t="s">
        <v>547</v>
      </c>
      <c r="H4415">
        <v>4</v>
      </c>
      <c r="I4415">
        <v>2026</v>
      </c>
      <c r="J4415">
        <v>5</v>
      </c>
      <c r="K4415" t="s">
        <v>87</v>
      </c>
      <c r="L4415" t="s">
        <v>52</v>
      </c>
      <c r="M4415" t="s">
        <v>6</v>
      </c>
      <c r="N4415" t="b">
        <v>0</v>
      </c>
      <c r="O4415">
        <v>1</v>
      </c>
      <c r="P4415">
        <v>0</v>
      </c>
      <c r="Q4415">
        <v>0</v>
      </c>
      <c r="R4415">
        <v>0</v>
      </c>
    </row>
    <row r="4416" spans="1:18" x14ac:dyDescent="0.25">
      <c r="A4416" t="s">
        <v>13</v>
      </c>
      <c r="B4416" t="s">
        <v>8</v>
      </c>
      <c r="C4416">
        <v>2</v>
      </c>
      <c r="D4416">
        <v>3</v>
      </c>
      <c r="E4416">
        <v>1</v>
      </c>
      <c r="F4416" s="15">
        <v>46167</v>
      </c>
      <c r="G4416" t="s">
        <v>547</v>
      </c>
      <c r="H4416">
        <v>4</v>
      </c>
      <c r="I4416">
        <v>2026</v>
      </c>
      <c r="J4416">
        <v>5</v>
      </c>
      <c r="K4416" t="s">
        <v>87</v>
      </c>
      <c r="L4416" t="s">
        <v>14</v>
      </c>
      <c r="M4416" t="s">
        <v>6</v>
      </c>
      <c r="N4416" t="b">
        <v>0</v>
      </c>
      <c r="O4416">
        <v>1</v>
      </c>
      <c r="P4416">
        <v>0</v>
      </c>
      <c r="Q4416">
        <v>0</v>
      </c>
      <c r="R4416">
        <v>0</v>
      </c>
    </row>
    <row r="4417" spans="1:18" x14ac:dyDescent="0.25">
      <c r="A4417" t="s">
        <v>13</v>
      </c>
      <c r="B4417" t="s">
        <v>8</v>
      </c>
      <c r="C4417">
        <v>2</v>
      </c>
      <c r="D4417">
        <v>3</v>
      </c>
      <c r="E4417">
        <v>1</v>
      </c>
      <c r="F4417" s="15">
        <v>46167</v>
      </c>
      <c r="G4417" t="s">
        <v>547</v>
      </c>
      <c r="H4417">
        <v>4</v>
      </c>
      <c r="I4417">
        <v>2026</v>
      </c>
      <c r="J4417">
        <v>5</v>
      </c>
      <c r="K4417" t="s">
        <v>87</v>
      </c>
      <c r="L4417" t="s">
        <v>405</v>
      </c>
      <c r="M4417" t="s">
        <v>6</v>
      </c>
      <c r="N4417" t="b">
        <v>0</v>
      </c>
      <c r="O4417">
        <v>1</v>
      </c>
      <c r="P4417">
        <v>0</v>
      </c>
      <c r="Q4417">
        <v>0</v>
      </c>
      <c r="R4417">
        <v>0</v>
      </c>
    </row>
    <row r="4418" spans="1:18" x14ac:dyDescent="0.25">
      <c r="A4418" t="s">
        <v>14</v>
      </c>
      <c r="B4418" t="s">
        <v>6</v>
      </c>
      <c r="C4418">
        <v>3</v>
      </c>
      <c r="D4418">
        <v>3</v>
      </c>
      <c r="E4418">
        <v>1</v>
      </c>
      <c r="F4418" s="15">
        <v>46167</v>
      </c>
      <c r="G4418" t="s">
        <v>547</v>
      </c>
      <c r="H4418">
        <v>4</v>
      </c>
      <c r="I4418">
        <v>2026</v>
      </c>
      <c r="J4418">
        <v>5</v>
      </c>
      <c r="K4418" t="s">
        <v>87</v>
      </c>
      <c r="L4418" t="s">
        <v>52</v>
      </c>
      <c r="M4418" t="s">
        <v>6</v>
      </c>
      <c r="N4418" t="b">
        <v>0</v>
      </c>
      <c r="O4418">
        <v>0</v>
      </c>
      <c r="P4418">
        <v>1</v>
      </c>
      <c r="Q4418">
        <v>0</v>
      </c>
      <c r="R4418">
        <v>0</v>
      </c>
    </row>
    <row r="4419" spans="1:18" x14ac:dyDescent="0.25">
      <c r="A4419" t="s">
        <v>14</v>
      </c>
      <c r="B4419" t="s">
        <v>6</v>
      </c>
      <c r="C4419">
        <v>3</v>
      </c>
      <c r="D4419">
        <v>3</v>
      </c>
      <c r="E4419">
        <v>1</v>
      </c>
      <c r="F4419" s="15">
        <v>46167</v>
      </c>
      <c r="G4419" t="s">
        <v>547</v>
      </c>
      <c r="H4419">
        <v>4</v>
      </c>
      <c r="I4419">
        <v>2026</v>
      </c>
      <c r="J4419">
        <v>5</v>
      </c>
      <c r="K4419" t="s">
        <v>87</v>
      </c>
      <c r="L4419" t="s">
        <v>13</v>
      </c>
      <c r="M4419" t="s">
        <v>8</v>
      </c>
      <c r="N4419" t="b">
        <v>0</v>
      </c>
      <c r="O4419">
        <v>0</v>
      </c>
      <c r="P4419">
        <v>1</v>
      </c>
      <c r="Q4419">
        <v>0</v>
      </c>
      <c r="R4419">
        <v>1</v>
      </c>
    </row>
    <row r="4420" spans="1:18" x14ac:dyDescent="0.25">
      <c r="A4420" t="s">
        <v>14</v>
      </c>
      <c r="B4420" t="s">
        <v>6</v>
      </c>
      <c r="C4420">
        <v>3</v>
      </c>
      <c r="D4420">
        <v>3</v>
      </c>
      <c r="E4420">
        <v>1</v>
      </c>
      <c r="F4420" s="15">
        <v>46167</v>
      </c>
      <c r="G4420" t="s">
        <v>547</v>
      </c>
      <c r="H4420">
        <v>4</v>
      </c>
      <c r="I4420">
        <v>2026</v>
      </c>
      <c r="J4420">
        <v>5</v>
      </c>
      <c r="K4420" t="s">
        <v>87</v>
      </c>
      <c r="L4420" t="s">
        <v>405</v>
      </c>
      <c r="M4420" t="s">
        <v>6</v>
      </c>
      <c r="N4420" t="b">
        <v>0</v>
      </c>
      <c r="O4420">
        <v>0</v>
      </c>
      <c r="P4420">
        <v>1</v>
      </c>
      <c r="Q4420">
        <v>0</v>
      </c>
      <c r="R4420">
        <v>0</v>
      </c>
    </row>
    <row r="4421" spans="1:18" x14ac:dyDescent="0.25">
      <c r="A4421" t="s">
        <v>405</v>
      </c>
      <c r="B4421" t="s">
        <v>6</v>
      </c>
      <c r="C4421">
        <v>4</v>
      </c>
      <c r="D4421">
        <v>3</v>
      </c>
      <c r="E4421">
        <v>1</v>
      </c>
      <c r="F4421" s="15">
        <v>46167</v>
      </c>
      <c r="G4421" t="s">
        <v>547</v>
      </c>
      <c r="H4421">
        <v>4</v>
      </c>
      <c r="I4421">
        <v>2026</v>
      </c>
      <c r="J4421">
        <v>5</v>
      </c>
      <c r="K4421" t="s">
        <v>87</v>
      </c>
      <c r="L4421" t="s">
        <v>52</v>
      </c>
      <c r="M4421" t="s">
        <v>6</v>
      </c>
      <c r="N4421" t="b">
        <v>0</v>
      </c>
      <c r="O4421">
        <v>0</v>
      </c>
      <c r="P4421">
        <v>1</v>
      </c>
      <c r="Q4421">
        <v>0</v>
      </c>
      <c r="R4421">
        <v>0</v>
      </c>
    </row>
    <row r="4422" spans="1:18" x14ac:dyDescent="0.25">
      <c r="A4422" t="s">
        <v>405</v>
      </c>
      <c r="B4422" t="s">
        <v>6</v>
      </c>
      <c r="C4422">
        <v>4</v>
      </c>
      <c r="D4422">
        <v>3</v>
      </c>
      <c r="E4422">
        <v>1</v>
      </c>
      <c r="F4422" s="15">
        <v>46167</v>
      </c>
      <c r="G4422" t="s">
        <v>547</v>
      </c>
      <c r="H4422">
        <v>4</v>
      </c>
      <c r="I4422">
        <v>2026</v>
      </c>
      <c r="J4422">
        <v>5</v>
      </c>
      <c r="K4422" t="s">
        <v>87</v>
      </c>
      <c r="L4422" t="s">
        <v>13</v>
      </c>
      <c r="M4422" t="s">
        <v>8</v>
      </c>
      <c r="N4422" t="b">
        <v>0</v>
      </c>
      <c r="O4422">
        <v>0</v>
      </c>
      <c r="P4422">
        <v>1</v>
      </c>
      <c r="Q4422">
        <v>0</v>
      </c>
      <c r="R4422">
        <v>1</v>
      </c>
    </row>
    <row r="4423" spans="1:18" x14ac:dyDescent="0.25">
      <c r="A4423" t="s">
        <v>405</v>
      </c>
      <c r="B4423" t="s">
        <v>6</v>
      </c>
      <c r="C4423">
        <v>4</v>
      </c>
      <c r="D4423">
        <v>3</v>
      </c>
      <c r="E4423">
        <v>1</v>
      </c>
      <c r="F4423" s="15">
        <v>46167</v>
      </c>
      <c r="G4423" t="s">
        <v>547</v>
      </c>
      <c r="H4423">
        <v>4</v>
      </c>
      <c r="I4423">
        <v>2026</v>
      </c>
      <c r="J4423">
        <v>5</v>
      </c>
      <c r="K4423" t="s">
        <v>87</v>
      </c>
      <c r="L4423" t="s">
        <v>14</v>
      </c>
      <c r="M4423" t="s">
        <v>6</v>
      </c>
      <c r="N4423" t="b">
        <v>0</v>
      </c>
      <c r="O4423">
        <v>0</v>
      </c>
      <c r="P4423">
        <v>1</v>
      </c>
      <c r="Q4423">
        <v>0</v>
      </c>
      <c r="R4423">
        <v>0</v>
      </c>
    </row>
    <row r="4424" spans="1:18" x14ac:dyDescent="0.25">
      <c r="A4424" t="s">
        <v>352</v>
      </c>
      <c r="B4424" t="s">
        <v>8</v>
      </c>
      <c r="C4424">
        <v>1</v>
      </c>
      <c r="D4424">
        <v>4</v>
      </c>
      <c r="E4424">
        <v>1</v>
      </c>
      <c r="F4424" s="15">
        <v>46167</v>
      </c>
      <c r="G4424" t="s">
        <v>548</v>
      </c>
      <c r="H4424">
        <v>3</v>
      </c>
      <c r="I4424">
        <v>2026</v>
      </c>
      <c r="J4424">
        <v>5</v>
      </c>
      <c r="K4424" t="s">
        <v>87</v>
      </c>
      <c r="L4424" t="s">
        <v>19</v>
      </c>
      <c r="M4424" t="s">
        <v>6</v>
      </c>
      <c r="N4424" t="b">
        <v>0</v>
      </c>
      <c r="O4424">
        <v>1</v>
      </c>
      <c r="P4424">
        <v>0</v>
      </c>
      <c r="Q4424">
        <v>0</v>
      </c>
      <c r="R4424">
        <v>0</v>
      </c>
    </row>
    <row r="4425" spans="1:18" x14ac:dyDescent="0.25">
      <c r="A4425" t="s">
        <v>352</v>
      </c>
      <c r="B4425" t="s">
        <v>8</v>
      </c>
      <c r="C4425">
        <v>1</v>
      </c>
      <c r="D4425">
        <v>4</v>
      </c>
      <c r="E4425">
        <v>1</v>
      </c>
      <c r="F4425" s="15">
        <v>46167</v>
      </c>
      <c r="G4425" t="s">
        <v>548</v>
      </c>
      <c r="H4425">
        <v>3</v>
      </c>
      <c r="I4425">
        <v>2026</v>
      </c>
      <c r="J4425">
        <v>5</v>
      </c>
      <c r="K4425" t="s">
        <v>87</v>
      </c>
      <c r="L4425" t="s">
        <v>7</v>
      </c>
      <c r="M4425" t="s">
        <v>6</v>
      </c>
      <c r="N4425" t="b">
        <v>0</v>
      </c>
      <c r="O4425">
        <v>1</v>
      </c>
      <c r="P4425">
        <v>0</v>
      </c>
      <c r="Q4425">
        <v>0</v>
      </c>
      <c r="R4425">
        <v>0</v>
      </c>
    </row>
    <row r="4426" spans="1:18" x14ac:dyDescent="0.25">
      <c r="A4426" t="s">
        <v>19</v>
      </c>
      <c r="B4426" t="s">
        <v>6</v>
      </c>
      <c r="C4426">
        <v>2</v>
      </c>
      <c r="D4426">
        <v>4</v>
      </c>
      <c r="E4426">
        <v>1</v>
      </c>
      <c r="F4426" s="15">
        <v>46167</v>
      </c>
      <c r="G4426" t="s">
        <v>548</v>
      </c>
      <c r="H4426">
        <v>3</v>
      </c>
      <c r="I4426">
        <v>2026</v>
      </c>
      <c r="J4426">
        <v>5</v>
      </c>
      <c r="K4426" t="s">
        <v>87</v>
      </c>
      <c r="L4426" t="s">
        <v>352</v>
      </c>
      <c r="M4426" t="s">
        <v>8</v>
      </c>
      <c r="N4426" t="b">
        <v>0</v>
      </c>
      <c r="O4426">
        <v>0</v>
      </c>
      <c r="P4426">
        <v>1</v>
      </c>
      <c r="Q4426">
        <v>0</v>
      </c>
      <c r="R4426">
        <v>1</v>
      </c>
    </row>
    <row r="4427" spans="1:18" x14ac:dyDescent="0.25">
      <c r="A4427" t="s">
        <v>19</v>
      </c>
      <c r="B4427" t="s">
        <v>6</v>
      </c>
      <c r="C4427">
        <v>2</v>
      </c>
      <c r="D4427">
        <v>4</v>
      </c>
      <c r="E4427">
        <v>1</v>
      </c>
      <c r="F4427" s="15">
        <v>46167</v>
      </c>
      <c r="G4427" t="s">
        <v>548</v>
      </c>
      <c r="H4427">
        <v>3</v>
      </c>
      <c r="I4427">
        <v>2026</v>
      </c>
      <c r="J4427">
        <v>5</v>
      </c>
      <c r="K4427" t="s">
        <v>87</v>
      </c>
      <c r="L4427" t="s">
        <v>7</v>
      </c>
      <c r="M4427" t="s">
        <v>6</v>
      </c>
      <c r="N4427" t="b">
        <v>0</v>
      </c>
      <c r="O4427">
        <v>0</v>
      </c>
      <c r="P4427">
        <v>1</v>
      </c>
      <c r="Q4427">
        <v>0</v>
      </c>
      <c r="R4427">
        <v>0</v>
      </c>
    </row>
    <row r="4428" spans="1:18" x14ac:dyDescent="0.25">
      <c r="A4428" t="s">
        <v>7</v>
      </c>
      <c r="B4428" t="s">
        <v>6</v>
      </c>
      <c r="C4428">
        <v>3</v>
      </c>
      <c r="D4428">
        <v>4</v>
      </c>
      <c r="E4428">
        <v>1</v>
      </c>
      <c r="F4428" s="15">
        <v>46167</v>
      </c>
      <c r="G4428" t="s">
        <v>548</v>
      </c>
      <c r="H4428">
        <v>3</v>
      </c>
      <c r="I4428">
        <v>2026</v>
      </c>
      <c r="J4428">
        <v>5</v>
      </c>
      <c r="K4428" t="s">
        <v>87</v>
      </c>
      <c r="L4428" t="s">
        <v>352</v>
      </c>
      <c r="M4428" t="s">
        <v>8</v>
      </c>
      <c r="N4428" t="b">
        <v>0</v>
      </c>
      <c r="O4428">
        <v>0</v>
      </c>
      <c r="P4428">
        <v>1</v>
      </c>
      <c r="Q4428">
        <v>0</v>
      </c>
      <c r="R4428">
        <v>1</v>
      </c>
    </row>
    <row r="4429" spans="1:18" x14ac:dyDescent="0.25">
      <c r="A4429" t="s">
        <v>7</v>
      </c>
      <c r="B4429" t="s">
        <v>6</v>
      </c>
      <c r="C4429">
        <v>3</v>
      </c>
      <c r="D4429">
        <v>4</v>
      </c>
      <c r="E4429">
        <v>1</v>
      </c>
      <c r="F4429" s="15">
        <v>46167</v>
      </c>
      <c r="G4429" t="s">
        <v>548</v>
      </c>
      <c r="H4429">
        <v>3</v>
      </c>
      <c r="I4429">
        <v>2026</v>
      </c>
      <c r="J4429">
        <v>5</v>
      </c>
      <c r="K4429" t="s">
        <v>87</v>
      </c>
      <c r="L4429" t="s">
        <v>19</v>
      </c>
      <c r="M4429" t="s">
        <v>6</v>
      </c>
      <c r="N4429" t="b">
        <v>0</v>
      </c>
      <c r="O4429">
        <v>0</v>
      </c>
      <c r="P4429">
        <v>1</v>
      </c>
      <c r="Q4429">
        <v>0</v>
      </c>
      <c r="R4429">
        <v>0</v>
      </c>
    </row>
    <row r="4430" spans="1:18" x14ac:dyDescent="0.25">
      <c r="A4430" t="s">
        <v>325</v>
      </c>
      <c r="B4430" t="s">
        <v>8</v>
      </c>
      <c r="C4430">
        <v>1</v>
      </c>
      <c r="D4430">
        <v>1</v>
      </c>
      <c r="E4430">
        <v>2</v>
      </c>
      <c r="F4430" s="15">
        <v>46167</v>
      </c>
      <c r="G4430" t="s">
        <v>549</v>
      </c>
      <c r="H4430">
        <v>4</v>
      </c>
      <c r="I4430">
        <v>2026</v>
      </c>
      <c r="J4430">
        <v>5</v>
      </c>
      <c r="K4430" t="s">
        <v>87</v>
      </c>
      <c r="L4430" t="s">
        <v>352</v>
      </c>
      <c r="M4430" t="s">
        <v>6</v>
      </c>
      <c r="N4430" t="b">
        <v>0</v>
      </c>
      <c r="O4430">
        <v>1</v>
      </c>
      <c r="P4430">
        <v>0</v>
      </c>
      <c r="Q4430">
        <v>0</v>
      </c>
      <c r="R4430">
        <v>0</v>
      </c>
    </row>
    <row r="4431" spans="1:18" x14ac:dyDescent="0.25">
      <c r="A4431" t="s">
        <v>325</v>
      </c>
      <c r="B4431" t="s">
        <v>8</v>
      </c>
      <c r="C4431">
        <v>1</v>
      </c>
      <c r="D4431">
        <v>1</v>
      </c>
      <c r="E4431">
        <v>2</v>
      </c>
      <c r="F4431" s="15">
        <v>46167</v>
      </c>
      <c r="G4431" t="s">
        <v>549</v>
      </c>
      <c r="H4431">
        <v>4</v>
      </c>
      <c r="I4431">
        <v>2026</v>
      </c>
      <c r="J4431">
        <v>5</v>
      </c>
      <c r="K4431" t="s">
        <v>87</v>
      </c>
      <c r="L4431" t="s">
        <v>13</v>
      </c>
      <c r="M4431" t="s">
        <v>6</v>
      </c>
      <c r="N4431" t="b">
        <v>0</v>
      </c>
      <c r="O4431">
        <v>1</v>
      </c>
      <c r="P4431">
        <v>0</v>
      </c>
      <c r="Q4431">
        <v>0</v>
      </c>
      <c r="R4431">
        <v>0</v>
      </c>
    </row>
    <row r="4432" spans="1:18" x14ac:dyDescent="0.25">
      <c r="A4432" t="s">
        <v>325</v>
      </c>
      <c r="B4432" t="s">
        <v>8</v>
      </c>
      <c r="C4432">
        <v>1</v>
      </c>
      <c r="D4432">
        <v>1</v>
      </c>
      <c r="E4432">
        <v>2</v>
      </c>
      <c r="F4432" s="15">
        <v>46167</v>
      </c>
      <c r="G4432" t="s">
        <v>549</v>
      </c>
      <c r="H4432">
        <v>4</v>
      </c>
      <c r="I4432">
        <v>2026</v>
      </c>
      <c r="J4432">
        <v>5</v>
      </c>
      <c r="K4432" t="s">
        <v>87</v>
      </c>
      <c r="L4432" t="s">
        <v>20</v>
      </c>
      <c r="M4432" t="s">
        <v>6</v>
      </c>
      <c r="N4432" t="b">
        <v>0</v>
      </c>
      <c r="O4432">
        <v>1</v>
      </c>
      <c r="P4432">
        <v>0</v>
      </c>
      <c r="Q4432">
        <v>0</v>
      </c>
      <c r="R4432">
        <v>0</v>
      </c>
    </row>
    <row r="4433" spans="1:18" x14ac:dyDescent="0.25">
      <c r="A4433" t="s">
        <v>352</v>
      </c>
      <c r="B4433" t="s">
        <v>6</v>
      </c>
      <c r="C4433">
        <v>2</v>
      </c>
      <c r="D4433">
        <v>1</v>
      </c>
      <c r="E4433">
        <v>2</v>
      </c>
      <c r="F4433" s="15">
        <v>46167</v>
      </c>
      <c r="G4433" t="s">
        <v>549</v>
      </c>
      <c r="H4433">
        <v>4</v>
      </c>
      <c r="I4433">
        <v>2026</v>
      </c>
      <c r="J4433">
        <v>5</v>
      </c>
      <c r="K4433" t="s">
        <v>87</v>
      </c>
      <c r="L4433" t="s">
        <v>325</v>
      </c>
      <c r="M4433" t="s">
        <v>8</v>
      </c>
      <c r="N4433" t="b">
        <v>0</v>
      </c>
      <c r="O4433">
        <v>0</v>
      </c>
      <c r="P4433">
        <v>1</v>
      </c>
      <c r="Q4433">
        <v>0</v>
      </c>
      <c r="R4433">
        <v>1</v>
      </c>
    </row>
    <row r="4434" spans="1:18" x14ac:dyDescent="0.25">
      <c r="A4434" t="s">
        <v>352</v>
      </c>
      <c r="B4434" t="s">
        <v>6</v>
      </c>
      <c r="C4434">
        <v>2</v>
      </c>
      <c r="D4434">
        <v>1</v>
      </c>
      <c r="E4434">
        <v>2</v>
      </c>
      <c r="F4434" s="15">
        <v>46167</v>
      </c>
      <c r="G4434" t="s">
        <v>549</v>
      </c>
      <c r="H4434">
        <v>4</v>
      </c>
      <c r="I4434">
        <v>2026</v>
      </c>
      <c r="J4434">
        <v>5</v>
      </c>
      <c r="K4434" t="s">
        <v>87</v>
      </c>
      <c r="L4434" t="s">
        <v>13</v>
      </c>
      <c r="M4434" t="s">
        <v>6</v>
      </c>
      <c r="N4434" t="b">
        <v>0</v>
      </c>
      <c r="O4434">
        <v>0</v>
      </c>
      <c r="P4434">
        <v>1</v>
      </c>
      <c r="Q4434">
        <v>0</v>
      </c>
      <c r="R4434">
        <v>0</v>
      </c>
    </row>
    <row r="4435" spans="1:18" x14ac:dyDescent="0.25">
      <c r="A4435" t="s">
        <v>352</v>
      </c>
      <c r="B4435" t="s">
        <v>6</v>
      </c>
      <c r="C4435">
        <v>2</v>
      </c>
      <c r="D4435">
        <v>1</v>
      </c>
      <c r="E4435">
        <v>2</v>
      </c>
      <c r="F4435" s="15">
        <v>46167</v>
      </c>
      <c r="G4435" t="s">
        <v>549</v>
      </c>
      <c r="H4435">
        <v>4</v>
      </c>
      <c r="I4435">
        <v>2026</v>
      </c>
      <c r="J4435">
        <v>5</v>
      </c>
      <c r="K4435" t="s">
        <v>87</v>
      </c>
      <c r="L4435" t="s">
        <v>20</v>
      </c>
      <c r="M4435" t="s">
        <v>6</v>
      </c>
      <c r="N4435" t="b">
        <v>0</v>
      </c>
      <c r="O4435">
        <v>0</v>
      </c>
      <c r="P4435">
        <v>1</v>
      </c>
      <c r="Q4435">
        <v>0</v>
      </c>
      <c r="R4435">
        <v>0</v>
      </c>
    </row>
    <row r="4436" spans="1:18" x14ac:dyDescent="0.25">
      <c r="A4436" t="s">
        <v>13</v>
      </c>
      <c r="B4436" t="s">
        <v>6</v>
      </c>
      <c r="C4436">
        <v>3</v>
      </c>
      <c r="D4436">
        <v>1</v>
      </c>
      <c r="E4436">
        <v>2</v>
      </c>
      <c r="F4436" s="15">
        <v>46167</v>
      </c>
      <c r="G4436" t="s">
        <v>549</v>
      </c>
      <c r="H4436">
        <v>4</v>
      </c>
      <c r="I4436">
        <v>2026</v>
      </c>
      <c r="J4436">
        <v>5</v>
      </c>
      <c r="K4436" t="s">
        <v>87</v>
      </c>
      <c r="L4436" t="s">
        <v>325</v>
      </c>
      <c r="M4436" t="s">
        <v>8</v>
      </c>
      <c r="N4436" t="b">
        <v>0</v>
      </c>
      <c r="O4436">
        <v>0</v>
      </c>
      <c r="P4436">
        <v>1</v>
      </c>
      <c r="Q4436">
        <v>0</v>
      </c>
      <c r="R4436">
        <v>1</v>
      </c>
    </row>
    <row r="4437" spans="1:18" x14ac:dyDescent="0.25">
      <c r="A4437" t="s">
        <v>13</v>
      </c>
      <c r="B4437" t="s">
        <v>6</v>
      </c>
      <c r="C4437">
        <v>3</v>
      </c>
      <c r="D4437">
        <v>1</v>
      </c>
      <c r="E4437">
        <v>2</v>
      </c>
      <c r="F4437" s="15">
        <v>46167</v>
      </c>
      <c r="G4437" t="s">
        <v>549</v>
      </c>
      <c r="H4437">
        <v>4</v>
      </c>
      <c r="I4437">
        <v>2026</v>
      </c>
      <c r="J4437">
        <v>5</v>
      </c>
      <c r="K4437" t="s">
        <v>87</v>
      </c>
      <c r="L4437" t="s">
        <v>352</v>
      </c>
      <c r="M4437" t="s">
        <v>6</v>
      </c>
      <c r="N4437" t="b">
        <v>0</v>
      </c>
      <c r="O4437">
        <v>0</v>
      </c>
      <c r="P4437">
        <v>1</v>
      </c>
      <c r="Q4437">
        <v>0</v>
      </c>
      <c r="R4437">
        <v>0</v>
      </c>
    </row>
    <row r="4438" spans="1:18" x14ac:dyDescent="0.25">
      <c r="A4438" t="s">
        <v>13</v>
      </c>
      <c r="B4438" t="s">
        <v>6</v>
      </c>
      <c r="C4438">
        <v>3</v>
      </c>
      <c r="D4438">
        <v>1</v>
      </c>
      <c r="E4438">
        <v>2</v>
      </c>
      <c r="F4438" s="15">
        <v>46167</v>
      </c>
      <c r="G4438" t="s">
        <v>549</v>
      </c>
      <c r="H4438">
        <v>4</v>
      </c>
      <c r="I4438">
        <v>2026</v>
      </c>
      <c r="J4438">
        <v>5</v>
      </c>
      <c r="K4438" t="s">
        <v>87</v>
      </c>
      <c r="L4438" t="s">
        <v>20</v>
      </c>
      <c r="M4438" t="s">
        <v>6</v>
      </c>
      <c r="N4438" t="b">
        <v>0</v>
      </c>
      <c r="O4438">
        <v>0</v>
      </c>
      <c r="P4438">
        <v>1</v>
      </c>
      <c r="Q4438">
        <v>0</v>
      </c>
      <c r="R4438">
        <v>0</v>
      </c>
    </row>
    <row r="4439" spans="1:18" x14ac:dyDescent="0.25">
      <c r="A4439" t="s">
        <v>20</v>
      </c>
      <c r="B4439" t="s">
        <v>6</v>
      </c>
      <c r="C4439">
        <v>4</v>
      </c>
      <c r="D4439">
        <v>1</v>
      </c>
      <c r="E4439">
        <v>2</v>
      </c>
      <c r="F4439" s="15">
        <v>46167</v>
      </c>
      <c r="G4439" t="s">
        <v>549</v>
      </c>
      <c r="H4439">
        <v>4</v>
      </c>
      <c r="I4439">
        <v>2026</v>
      </c>
      <c r="J4439">
        <v>5</v>
      </c>
      <c r="K4439" t="s">
        <v>87</v>
      </c>
      <c r="L4439" t="s">
        <v>325</v>
      </c>
      <c r="M4439" t="s">
        <v>8</v>
      </c>
      <c r="N4439" t="b">
        <v>0</v>
      </c>
      <c r="O4439">
        <v>0</v>
      </c>
      <c r="P4439">
        <v>1</v>
      </c>
      <c r="Q4439">
        <v>0</v>
      </c>
      <c r="R4439">
        <v>1</v>
      </c>
    </row>
    <row r="4440" spans="1:18" x14ac:dyDescent="0.25">
      <c r="A4440" t="s">
        <v>20</v>
      </c>
      <c r="B4440" t="s">
        <v>6</v>
      </c>
      <c r="C4440">
        <v>4</v>
      </c>
      <c r="D4440">
        <v>1</v>
      </c>
      <c r="E4440">
        <v>2</v>
      </c>
      <c r="F4440" s="15">
        <v>46167</v>
      </c>
      <c r="G4440" t="s">
        <v>549</v>
      </c>
      <c r="H4440">
        <v>4</v>
      </c>
      <c r="I4440">
        <v>2026</v>
      </c>
      <c r="J4440">
        <v>5</v>
      </c>
      <c r="K4440" t="s">
        <v>87</v>
      </c>
      <c r="L4440" t="s">
        <v>352</v>
      </c>
      <c r="M4440" t="s">
        <v>6</v>
      </c>
      <c r="N4440" t="b">
        <v>0</v>
      </c>
      <c r="O4440">
        <v>0</v>
      </c>
      <c r="P4440">
        <v>1</v>
      </c>
      <c r="Q4440">
        <v>0</v>
      </c>
      <c r="R4440">
        <v>0</v>
      </c>
    </row>
    <row r="4441" spans="1:18" x14ac:dyDescent="0.25">
      <c r="A4441" t="s">
        <v>20</v>
      </c>
      <c r="B4441" t="s">
        <v>6</v>
      </c>
      <c r="C4441">
        <v>4</v>
      </c>
      <c r="D4441">
        <v>1</v>
      </c>
      <c r="E4441">
        <v>2</v>
      </c>
      <c r="F4441" s="15">
        <v>46167</v>
      </c>
      <c r="G4441" t="s">
        <v>549</v>
      </c>
      <c r="H4441">
        <v>4</v>
      </c>
      <c r="I4441">
        <v>2026</v>
      </c>
      <c r="J4441">
        <v>5</v>
      </c>
      <c r="K4441" t="s">
        <v>87</v>
      </c>
      <c r="L4441" t="s">
        <v>13</v>
      </c>
      <c r="M4441" t="s">
        <v>6</v>
      </c>
      <c r="N4441" t="b">
        <v>0</v>
      </c>
      <c r="O4441">
        <v>0</v>
      </c>
      <c r="P4441">
        <v>1</v>
      </c>
      <c r="Q4441">
        <v>0</v>
      </c>
      <c r="R4441">
        <v>0</v>
      </c>
    </row>
    <row r="4442" spans="1:18" x14ac:dyDescent="0.25">
      <c r="A4442" t="s">
        <v>7</v>
      </c>
      <c r="B4442" t="s">
        <v>63</v>
      </c>
      <c r="C4442">
        <v>1</v>
      </c>
      <c r="D4442">
        <v>2</v>
      </c>
      <c r="E4442">
        <v>2</v>
      </c>
      <c r="F4442" s="15">
        <v>46167</v>
      </c>
      <c r="G4442" t="s">
        <v>550</v>
      </c>
      <c r="H4442">
        <v>4</v>
      </c>
      <c r="I4442">
        <v>2026</v>
      </c>
      <c r="J4442">
        <v>5</v>
      </c>
      <c r="K4442" t="s">
        <v>87</v>
      </c>
      <c r="L4442" t="s">
        <v>17</v>
      </c>
      <c r="M4442" t="s">
        <v>63</v>
      </c>
      <c r="N4442" t="b">
        <v>0</v>
      </c>
      <c r="O4442">
        <v>0</v>
      </c>
      <c r="P4442">
        <v>0</v>
      </c>
      <c r="Q4442">
        <v>1</v>
      </c>
      <c r="R4442">
        <v>0</v>
      </c>
    </row>
    <row r="4443" spans="1:18" x14ac:dyDescent="0.25">
      <c r="A4443" t="s">
        <v>7</v>
      </c>
      <c r="B4443" t="s">
        <v>63</v>
      </c>
      <c r="C4443">
        <v>1</v>
      </c>
      <c r="D4443">
        <v>2</v>
      </c>
      <c r="E4443">
        <v>2</v>
      </c>
      <c r="F4443" s="15">
        <v>46167</v>
      </c>
      <c r="G4443" t="s">
        <v>550</v>
      </c>
      <c r="H4443">
        <v>4</v>
      </c>
      <c r="I4443">
        <v>2026</v>
      </c>
      <c r="J4443">
        <v>5</v>
      </c>
      <c r="K4443" t="s">
        <v>87</v>
      </c>
      <c r="L4443" t="s">
        <v>41</v>
      </c>
      <c r="M4443" t="s">
        <v>63</v>
      </c>
      <c r="N4443" t="b">
        <v>0</v>
      </c>
      <c r="O4443">
        <v>0</v>
      </c>
      <c r="P4443">
        <v>0</v>
      </c>
      <c r="Q4443">
        <v>1</v>
      </c>
      <c r="R4443">
        <v>0</v>
      </c>
    </row>
    <row r="4444" spans="1:18" x14ac:dyDescent="0.25">
      <c r="A4444" t="s">
        <v>7</v>
      </c>
      <c r="B4444" t="s">
        <v>63</v>
      </c>
      <c r="C4444">
        <v>1</v>
      </c>
      <c r="D4444">
        <v>2</v>
      </c>
      <c r="E4444">
        <v>2</v>
      </c>
      <c r="F4444" s="15">
        <v>46167</v>
      </c>
      <c r="G4444" t="s">
        <v>550</v>
      </c>
      <c r="H4444">
        <v>4</v>
      </c>
      <c r="I4444">
        <v>2026</v>
      </c>
      <c r="J4444">
        <v>5</v>
      </c>
      <c r="K4444" t="s">
        <v>87</v>
      </c>
      <c r="L4444" t="s">
        <v>14</v>
      </c>
      <c r="M4444" t="s">
        <v>63</v>
      </c>
      <c r="N4444" t="b">
        <v>0</v>
      </c>
      <c r="O4444">
        <v>0</v>
      </c>
      <c r="P4444">
        <v>0</v>
      </c>
      <c r="Q4444">
        <v>1</v>
      </c>
      <c r="R4444">
        <v>0</v>
      </c>
    </row>
    <row r="4445" spans="1:18" x14ac:dyDescent="0.25">
      <c r="A4445" t="s">
        <v>17</v>
      </c>
      <c r="B4445" t="s">
        <v>63</v>
      </c>
      <c r="C4445">
        <v>2</v>
      </c>
      <c r="D4445">
        <v>2</v>
      </c>
      <c r="E4445">
        <v>2</v>
      </c>
      <c r="F4445" s="15">
        <v>46167</v>
      </c>
      <c r="G4445" t="s">
        <v>550</v>
      </c>
      <c r="H4445">
        <v>4</v>
      </c>
      <c r="I4445">
        <v>2026</v>
      </c>
      <c r="J4445">
        <v>5</v>
      </c>
      <c r="K4445" t="s">
        <v>87</v>
      </c>
      <c r="L4445" t="s">
        <v>7</v>
      </c>
      <c r="M4445" t="s">
        <v>63</v>
      </c>
      <c r="N4445" t="b">
        <v>0</v>
      </c>
      <c r="O4445">
        <v>0</v>
      </c>
      <c r="P4445">
        <v>0</v>
      </c>
      <c r="Q4445">
        <v>1</v>
      </c>
      <c r="R4445">
        <v>0</v>
      </c>
    </row>
    <row r="4446" spans="1:18" x14ac:dyDescent="0.25">
      <c r="A4446" t="s">
        <v>17</v>
      </c>
      <c r="B4446" t="s">
        <v>63</v>
      </c>
      <c r="C4446">
        <v>2</v>
      </c>
      <c r="D4446">
        <v>2</v>
      </c>
      <c r="E4446">
        <v>2</v>
      </c>
      <c r="F4446" s="15">
        <v>46167</v>
      </c>
      <c r="G4446" t="s">
        <v>550</v>
      </c>
      <c r="H4446">
        <v>4</v>
      </c>
      <c r="I4446">
        <v>2026</v>
      </c>
      <c r="J4446">
        <v>5</v>
      </c>
      <c r="K4446" t="s">
        <v>87</v>
      </c>
      <c r="L4446" t="s">
        <v>41</v>
      </c>
      <c r="M4446" t="s">
        <v>63</v>
      </c>
      <c r="N4446" t="b">
        <v>0</v>
      </c>
      <c r="O4446">
        <v>0</v>
      </c>
      <c r="P4446">
        <v>0</v>
      </c>
      <c r="Q4446">
        <v>1</v>
      </c>
      <c r="R4446">
        <v>0</v>
      </c>
    </row>
    <row r="4447" spans="1:18" x14ac:dyDescent="0.25">
      <c r="A4447" t="s">
        <v>17</v>
      </c>
      <c r="B4447" t="s">
        <v>63</v>
      </c>
      <c r="C4447">
        <v>2</v>
      </c>
      <c r="D4447">
        <v>2</v>
      </c>
      <c r="E4447">
        <v>2</v>
      </c>
      <c r="F4447" s="15">
        <v>46167</v>
      </c>
      <c r="G4447" t="s">
        <v>550</v>
      </c>
      <c r="H4447">
        <v>4</v>
      </c>
      <c r="I4447">
        <v>2026</v>
      </c>
      <c r="J4447">
        <v>5</v>
      </c>
      <c r="K4447" t="s">
        <v>87</v>
      </c>
      <c r="L4447" t="s">
        <v>14</v>
      </c>
      <c r="M4447" t="s">
        <v>63</v>
      </c>
      <c r="N4447" t="b">
        <v>0</v>
      </c>
      <c r="O4447">
        <v>0</v>
      </c>
      <c r="P4447">
        <v>0</v>
      </c>
      <c r="Q4447">
        <v>1</v>
      </c>
      <c r="R4447">
        <v>0</v>
      </c>
    </row>
    <row r="4448" spans="1:18" x14ac:dyDescent="0.25">
      <c r="A4448" t="s">
        <v>41</v>
      </c>
      <c r="B4448" t="s">
        <v>63</v>
      </c>
      <c r="C4448">
        <v>3</v>
      </c>
      <c r="D4448">
        <v>2</v>
      </c>
      <c r="E4448">
        <v>2</v>
      </c>
      <c r="F4448" s="15">
        <v>46167</v>
      </c>
      <c r="G4448" t="s">
        <v>550</v>
      </c>
      <c r="H4448">
        <v>4</v>
      </c>
      <c r="I4448">
        <v>2026</v>
      </c>
      <c r="J4448">
        <v>5</v>
      </c>
      <c r="K4448" t="s">
        <v>87</v>
      </c>
      <c r="L4448" t="s">
        <v>7</v>
      </c>
      <c r="M4448" t="s">
        <v>63</v>
      </c>
      <c r="N4448" t="b">
        <v>0</v>
      </c>
      <c r="O4448">
        <v>0</v>
      </c>
      <c r="P4448">
        <v>0</v>
      </c>
      <c r="Q4448">
        <v>1</v>
      </c>
      <c r="R4448">
        <v>0</v>
      </c>
    </row>
    <row r="4449" spans="1:18" x14ac:dyDescent="0.25">
      <c r="A4449" t="s">
        <v>41</v>
      </c>
      <c r="B4449" t="s">
        <v>63</v>
      </c>
      <c r="C4449">
        <v>3</v>
      </c>
      <c r="D4449">
        <v>2</v>
      </c>
      <c r="E4449">
        <v>2</v>
      </c>
      <c r="F4449" s="15">
        <v>46167</v>
      </c>
      <c r="G4449" t="s">
        <v>550</v>
      </c>
      <c r="H4449">
        <v>4</v>
      </c>
      <c r="I4449">
        <v>2026</v>
      </c>
      <c r="J4449">
        <v>5</v>
      </c>
      <c r="K4449" t="s">
        <v>87</v>
      </c>
      <c r="L4449" t="s">
        <v>17</v>
      </c>
      <c r="M4449" t="s">
        <v>63</v>
      </c>
      <c r="N4449" t="b">
        <v>0</v>
      </c>
      <c r="O4449">
        <v>0</v>
      </c>
      <c r="P4449">
        <v>0</v>
      </c>
      <c r="Q4449">
        <v>1</v>
      </c>
      <c r="R4449">
        <v>0</v>
      </c>
    </row>
    <row r="4450" spans="1:18" x14ac:dyDescent="0.25">
      <c r="A4450" t="s">
        <v>41</v>
      </c>
      <c r="B4450" t="s">
        <v>63</v>
      </c>
      <c r="C4450">
        <v>3</v>
      </c>
      <c r="D4450">
        <v>2</v>
      </c>
      <c r="E4450">
        <v>2</v>
      </c>
      <c r="F4450" s="15">
        <v>46167</v>
      </c>
      <c r="G4450" t="s">
        <v>550</v>
      </c>
      <c r="H4450">
        <v>4</v>
      </c>
      <c r="I4450">
        <v>2026</v>
      </c>
      <c r="J4450">
        <v>5</v>
      </c>
      <c r="K4450" t="s">
        <v>87</v>
      </c>
      <c r="L4450" t="s">
        <v>14</v>
      </c>
      <c r="M4450" t="s">
        <v>63</v>
      </c>
      <c r="N4450" t="b">
        <v>0</v>
      </c>
      <c r="O4450">
        <v>0</v>
      </c>
      <c r="P4450">
        <v>0</v>
      </c>
      <c r="Q4450">
        <v>1</v>
      </c>
      <c r="R4450">
        <v>0</v>
      </c>
    </row>
    <row r="4451" spans="1:18" x14ac:dyDescent="0.25">
      <c r="A4451" t="s">
        <v>14</v>
      </c>
      <c r="B4451" t="s">
        <v>63</v>
      </c>
      <c r="C4451">
        <v>4</v>
      </c>
      <c r="D4451">
        <v>2</v>
      </c>
      <c r="E4451">
        <v>2</v>
      </c>
      <c r="F4451" s="15">
        <v>46167</v>
      </c>
      <c r="G4451" t="s">
        <v>550</v>
      </c>
      <c r="H4451">
        <v>4</v>
      </c>
      <c r="I4451">
        <v>2026</v>
      </c>
      <c r="J4451">
        <v>5</v>
      </c>
      <c r="K4451" t="s">
        <v>87</v>
      </c>
      <c r="L4451" t="s">
        <v>7</v>
      </c>
      <c r="M4451" t="s">
        <v>63</v>
      </c>
      <c r="N4451" t="b">
        <v>0</v>
      </c>
      <c r="O4451">
        <v>0</v>
      </c>
      <c r="P4451">
        <v>0</v>
      </c>
      <c r="Q4451">
        <v>1</v>
      </c>
      <c r="R4451">
        <v>0</v>
      </c>
    </row>
    <row r="4452" spans="1:18" x14ac:dyDescent="0.25">
      <c r="A4452" t="s">
        <v>14</v>
      </c>
      <c r="B4452" t="s">
        <v>63</v>
      </c>
      <c r="C4452">
        <v>4</v>
      </c>
      <c r="D4452">
        <v>2</v>
      </c>
      <c r="E4452">
        <v>2</v>
      </c>
      <c r="F4452" s="15">
        <v>46167</v>
      </c>
      <c r="G4452" t="s">
        <v>550</v>
      </c>
      <c r="H4452">
        <v>4</v>
      </c>
      <c r="I4452">
        <v>2026</v>
      </c>
      <c r="J4452">
        <v>5</v>
      </c>
      <c r="K4452" t="s">
        <v>87</v>
      </c>
      <c r="L4452" t="s">
        <v>17</v>
      </c>
      <c r="M4452" t="s">
        <v>63</v>
      </c>
      <c r="N4452" t="b">
        <v>0</v>
      </c>
      <c r="O4452">
        <v>0</v>
      </c>
      <c r="P4452">
        <v>0</v>
      </c>
      <c r="Q4452">
        <v>1</v>
      </c>
      <c r="R4452">
        <v>0</v>
      </c>
    </row>
    <row r="4453" spans="1:18" x14ac:dyDescent="0.25">
      <c r="A4453" t="s">
        <v>14</v>
      </c>
      <c r="B4453" t="s">
        <v>63</v>
      </c>
      <c r="C4453">
        <v>4</v>
      </c>
      <c r="D4453">
        <v>2</v>
      </c>
      <c r="E4453">
        <v>2</v>
      </c>
      <c r="F4453" s="15">
        <v>46167</v>
      </c>
      <c r="G4453" t="s">
        <v>550</v>
      </c>
      <c r="H4453">
        <v>4</v>
      </c>
      <c r="I4453">
        <v>2026</v>
      </c>
      <c r="J4453">
        <v>5</v>
      </c>
      <c r="K4453" t="s">
        <v>87</v>
      </c>
      <c r="L4453" t="s">
        <v>41</v>
      </c>
      <c r="M4453" t="s">
        <v>63</v>
      </c>
      <c r="N4453" t="b">
        <v>0</v>
      </c>
      <c r="O4453">
        <v>0</v>
      </c>
      <c r="P4453">
        <v>0</v>
      </c>
      <c r="Q4453">
        <v>1</v>
      </c>
      <c r="R4453">
        <v>0</v>
      </c>
    </row>
    <row r="4454" spans="1:18" x14ac:dyDescent="0.25">
      <c r="A4454" t="s">
        <v>19</v>
      </c>
      <c r="B4454" t="s">
        <v>6</v>
      </c>
      <c r="C4454">
        <v>1</v>
      </c>
      <c r="D4454">
        <v>3</v>
      </c>
      <c r="E4454">
        <v>2</v>
      </c>
      <c r="F4454" s="15">
        <v>46167</v>
      </c>
      <c r="G4454" t="s">
        <v>551</v>
      </c>
      <c r="H4454">
        <v>4</v>
      </c>
      <c r="I4454">
        <v>2026</v>
      </c>
      <c r="J4454">
        <v>5</v>
      </c>
      <c r="K4454" t="s">
        <v>87</v>
      </c>
      <c r="L4454" t="s">
        <v>541</v>
      </c>
      <c r="M4454" t="s">
        <v>8</v>
      </c>
      <c r="N4454" t="b">
        <v>0</v>
      </c>
      <c r="O4454">
        <v>0</v>
      </c>
      <c r="P4454">
        <v>1</v>
      </c>
      <c r="Q4454">
        <v>0</v>
      </c>
      <c r="R4454">
        <v>1</v>
      </c>
    </row>
    <row r="4455" spans="1:18" x14ac:dyDescent="0.25">
      <c r="A4455" t="s">
        <v>19</v>
      </c>
      <c r="B4455" t="s">
        <v>6</v>
      </c>
      <c r="C4455">
        <v>1</v>
      </c>
      <c r="D4455">
        <v>3</v>
      </c>
      <c r="E4455">
        <v>2</v>
      </c>
      <c r="F4455" s="15">
        <v>46167</v>
      </c>
      <c r="G4455" t="s">
        <v>551</v>
      </c>
      <c r="H4455">
        <v>4</v>
      </c>
      <c r="I4455">
        <v>2026</v>
      </c>
      <c r="J4455">
        <v>5</v>
      </c>
      <c r="K4455" t="s">
        <v>87</v>
      </c>
      <c r="L4455" t="s">
        <v>405</v>
      </c>
      <c r="M4455" t="s">
        <v>6</v>
      </c>
      <c r="N4455" t="b">
        <v>0</v>
      </c>
      <c r="O4455">
        <v>0</v>
      </c>
      <c r="P4455">
        <v>1</v>
      </c>
      <c r="Q4455">
        <v>0</v>
      </c>
      <c r="R4455">
        <v>0</v>
      </c>
    </row>
    <row r="4456" spans="1:18" x14ac:dyDescent="0.25">
      <c r="A4456" t="s">
        <v>19</v>
      </c>
      <c r="B4456" t="s">
        <v>6</v>
      </c>
      <c r="C4456">
        <v>1</v>
      </c>
      <c r="D4456">
        <v>3</v>
      </c>
      <c r="E4456">
        <v>2</v>
      </c>
      <c r="F4456" s="15">
        <v>46167</v>
      </c>
      <c r="G4456" t="s">
        <v>551</v>
      </c>
      <c r="H4456">
        <v>4</v>
      </c>
      <c r="I4456">
        <v>2026</v>
      </c>
      <c r="J4456">
        <v>5</v>
      </c>
      <c r="K4456" t="s">
        <v>87</v>
      </c>
      <c r="L4456" t="s">
        <v>433</v>
      </c>
      <c r="M4456" t="s">
        <v>6</v>
      </c>
      <c r="N4456" t="b">
        <v>0</v>
      </c>
      <c r="O4456">
        <v>0</v>
      </c>
      <c r="P4456">
        <v>1</v>
      </c>
      <c r="Q4456">
        <v>0</v>
      </c>
      <c r="R4456">
        <v>0</v>
      </c>
    </row>
    <row r="4457" spans="1:18" x14ac:dyDescent="0.25">
      <c r="A4457" t="s">
        <v>541</v>
      </c>
      <c r="B4457" t="s">
        <v>8</v>
      </c>
      <c r="C4457">
        <v>2</v>
      </c>
      <c r="D4457">
        <v>3</v>
      </c>
      <c r="E4457">
        <v>2</v>
      </c>
      <c r="F4457" s="15">
        <v>46167</v>
      </c>
      <c r="G4457" t="s">
        <v>551</v>
      </c>
      <c r="H4457">
        <v>4</v>
      </c>
      <c r="I4457">
        <v>2026</v>
      </c>
      <c r="J4457">
        <v>5</v>
      </c>
      <c r="K4457" t="s">
        <v>87</v>
      </c>
      <c r="L4457" t="s">
        <v>19</v>
      </c>
      <c r="M4457" t="s">
        <v>6</v>
      </c>
      <c r="N4457" t="b">
        <v>0</v>
      </c>
      <c r="O4457">
        <v>1</v>
      </c>
      <c r="P4457">
        <v>0</v>
      </c>
      <c r="Q4457">
        <v>0</v>
      </c>
      <c r="R4457">
        <v>0</v>
      </c>
    </row>
    <row r="4458" spans="1:18" x14ac:dyDescent="0.25">
      <c r="A4458" t="s">
        <v>541</v>
      </c>
      <c r="B4458" t="s">
        <v>8</v>
      </c>
      <c r="C4458">
        <v>2</v>
      </c>
      <c r="D4458">
        <v>3</v>
      </c>
      <c r="E4458">
        <v>2</v>
      </c>
      <c r="F4458" s="15">
        <v>46167</v>
      </c>
      <c r="G4458" t="s">
        <v>551</v>
      </c>
      <c r="H4458">
        <v>4</v>
      </c>
      <c r="I4458">
        <v>2026</v>
      </c>
      <c r="J4458">
        <v>5</v>
      </c>
      <c r="K4458" t="s">
        <v>87</v>
      </c>
      <c r="L4458" t="s">
        <v>405</v>
      </c>
      <c r="M4458" t="s">
        <v>6</v>
      </c>
      <c r="N4458" t="b">
        <v>0</v>
      </c>
      <c r="O4458">
        <v>1</v>
      </c>
      <c r="P4458">
        <v>0</v>
      </c>
      <c r="Q4458">
        <v>0</v>
      </c>
      <c r="R4458">
        <v>0</v>
      </c>
    </row>
    <row r="4459" spans="1:18" x14ac:dyDescent="0.25">
      <c r="A4459" t="s">
        <v>541</v>
      </c>
      <c r="B4459" t="s">
        <v>8</v>
      </c>
      <c r="C4459">
        <v>2</v>
      </c>
      <c r="D4459">
        <v>3</v>
      </c>
      <c r="E4459">
        <v>2</v>
      </c>
      <c r="F4459" s="15">
        <v>46167</v>
      </c>
      <c r="G4459" t="s">
        <v>551</v>
      </c>
      <c r="H4459">
        <v>4</v>
      </c>
      <c r="I4459">
        <v>2026</v>
      </c>
      <c r="J4459">
        <v>5</v>
      </c>
      <c r="K4459" t="s">
        <v>87</v>
      </c>
      <c r="L4459" t="s">
        <v>433</v>
      </c>
      <c r="M4459" t="s">
        <v>6</v>
      </c>
      <c r="N4459" t="b">
        <v>0</v>
      </c>
      <c r="O4459">
        <v>1</v>
      </c>
      <c r="P4459">
        <v>0</v>
      </c>
      <c r="Q4459">
        <v>0</v>
      </c>
      <c r="R4459">
        <v>0</v>
      </c>
    </row>
    <row r="4460" spans="1:18" x14ac:dyDescent="0.25">
      <c r="A4460" t="s">
        <v>405</v>
      </c>
      <c r="B4460" t="s">
        <v>6</v>
      </c>
      <c r="C4460">
        <v>3</v>
      </c>
      <c r="D4460">
        <v>3</v>
      </c>
      <c r="E4460">
        <v>2</v>
      </c>
      <c r="F4460" s="15">
        <v>46167</v>
      </c>
      <c r="G4460" t="s">
        <v>551</v>
      </c>
      <c r="H4460">
        <v>4</v>
      </c>
      <c r="I4460">
        <v>2026</v>
      </c>
      <c r="J4460">
        <v>5</v>
      </c>
      <c r="K4460" t="s">
        <v>87</v>
      </c>
      <c r="L4460" t="s">
        <v>19</v>
      </c>
      <c r="M4460" t="s">
        <v>6</v>
      </c>
      <c r="N4460" t="b">
        <v>0</v>
      </c>
      <c r="O4460">
        <v>0</v>
      </c>
      <c r="P4460">
        <v>1</v>
      </c>
      <c r="Q4460">
        <v>0</v>
      </c>
      <c r="R4460">
        <v>0</v>
      </c>
    </row>
    <row r="4461" spans="1:18" x14ac:dyDescent="0.25">
      <c r="A4461" t="s">
        <v>405</v>
      </c>
      <c r="B4461" t="s">
        <v>6</v>
      </c>
      <c r="C4461">
        <v>3</v>
      </c>
      <c r="D4461">
        <v>3</v>
      </c>
      <c r="E4461">
        <v>2</v>
      </c>
      <c r="F4461" s="15">
        <v>46167</v>
      </c>
      <c r="G4461" t="s">
        <v>551</v>
      </c>
      <c r="H4461">
        <v>4</v>
      </c>
      <c r="I4461">
        <v>2026</v>
      </c>
      <c r="J4461">
        <v>5</v>
      </c>
      <c r="K4461" t="s">
        <v>87</v>
      </c>
      <c r="L4461" t="s">
        <v>541</v>
      </c>
      <c r="M4461" t="s">
        <v>8</v>
      </c>
      <c r="N4461" t="b">
        <v>0</v>
      </c>
      <c r="O4461">
        <v>0</v>
      </c>
      <c r="P4461">
        <v>1</v>
      </c>
      <c r="Q4461">
        <v>0</v>
      </c>
      <c r="R4461">
        <v>1</v>
      </c>
    </row>
    <row r="4462" spans="1:18" x14ac:dyDescent="0.25">
      <c r="A4462" t="s">
        <v>405</v>
      </c>
      <c r="B4462" t="s">
        <v>6</v>
      </c>
      <c r="C4462">
        <v>3</v>
      </c>
      <c r="D4462">
        <v>3</v>
      </c>
      <c r="E4462">
        <v>2</v>
      </c>
      <c r="F4462" s="15">
        <v>46167</v>
      </c>
      <c r="G4462" t="s">
        <v>551</v>
      </c>
      <c r="H4462">
        <v>4</v>
      </c>
      <c r="I4462">
        <v>2026</v>
      </c>
      <c r="J4462">
        <v>5</v>
      </c>
      <c r="K4462" t="s">
        <v>87</v>
      </c>
      <c r="L4462" t="s">
        <v>433</v>
      </c>
      <c r="M4462" t="s">
        <v>6</v>
      </c>
      <c r="N4462" t="b">
        <v>0</v>
      </c>
      <c r="O4462">
        <v>0</v>
      </c>
      <c r="P4462">
        <v>1</v>
      </c>
      <c r="Q4462">
        <v>0</v>
      </c>
      <c r="R4462">
        <v>0</v>
      </c>
    </row>
    <row r="4463" spans="1:18" x14ac:dyDescent="0.25">
      <c r="A4463" t="s">
        <v>433</v>
      </c>
      <c r="B4463" t="s">
        <v>6</v>
      </c>
      <c r="C4463">
        <v>4</v>
      </c>
      <c r="D4463">
        <v>3</v>
      </c>
      <c r="E4463">
        <v>2</v>
      </c>
      <c r="F4463" s="15">
        <v>46167</v>
      </c>
      <c r="G4463" t="s">
        <v>551</v>
      </c>
      <c r="H4463">
        <v>4</v>
      </c>
      <c r="I4463">
        <v>2026</v>
      </c>
      <c r="J4463">
        <v>5</v>
      </c>
      <c r="K4463" t="s">
        <v>87</v>
      </c>
      <c r="L4463" t="s">
        <v>19</v>
      </c>
      <c r="M4463" t="s">
        <v>6</v>
      </c>
      <c r="N4463" t="b">
        <v>0</v>
      </c>
      <c r="O4463">
        <v>0</v>
      </c>
      <c r="P4463">
        <v>1</v>
      </c>
      <c r="Q4463">
        <v>0</v>
      </c>
      <c r="R4463">
        <v>0</v>
      </c>
    </row>
    <row r="4464" spans="1:18" x14ac:dyDescent="0.25">
      <c r="A4464" t="s">
        <v>433</v>
      </c>
      <c r="B4464" t="s">
        <v>6</v>
      </c>
      <c r="C4464">
        <v>4</v>
      </c>
      <c r="D4464">
        <v>3</v>
      </c>
      <c r="E4464">
        <v>2</v>
      </c>
      <c r="F4464" s="15">
        <v>46167</v>
      </c>
      <c r="G4464" t="s">
        <v>551</v>
      </c>
      <c r="H4464">
        <v>4</v>
      </c>
      <c r="I4464">
        <v>2026</v>
      </c>
      <c r="J4464">
        <v>5</v>
      </c>
      <c r="K4464" t="s">
        <v>87</v>
      </c>
      <c r="L4464" t="s">
        <v>541</v>
      </c>
      <c r="M4464" t="s">
        <v>8</v>
      </c>
      <c r="N4464" t="b">
        <v>0</v>
      </c>
      <c r="O4464">
        <v>0</v>
      </c>
      <c r="P4464">
        <v>1</v>
      </c>
      <c r="Q4464">
        <v>0</v>
      </c>
      <c r="R4464">
        <v>1</v>
      </c>
    </row>
    <row r="4465" spans="1:18" x14ac:dyDescent="0.25">
      <c r="A4465" t="s">
        <v>433</v>
      </c>
      <c r="B4465" t="s">
        <v>6</v>
      </c>
      <c r="C4465">
        <v>4</v>
      </c>
      <c r="D4465">
        <v>3</v>
      </c>
      <c r="E4465">
        <v>2</v>
      </c>
      <c r="F4465" s="15">
        <v>46167</v>
      </c>
      <c r="G4465" t="s">
        <v>551</v>
      </c>
      <c r="H4465">
        <v>4</v>
      </c>
      <c r="I4465">
        <v>2026</v>
      </c>
      <c r="J4465">
        <v>5</v>
      </c>
      <c r="K4465" t="s">
        <v>87</v>
      </c>
      <c r="L4465" t="s">
        <v>405</v>
      </c>
      <c r="M4465" t="s">
        <v>6</v>
      </c>
      <c r="N4465" t="b">
        <v>0</v>
      </c>
      <c r="O4465">
        <v>0</v>
      </c>
      <c r="P4465">
        <v>1</v>
      </c>
      <c r="Q4465">
        <v>0</v>
      </c>
      <c r="R4465">
        <v>0</v>
      </c>
    </row>
    <row r="4466" spans="1:18" x14ac:dyDescent="0.25">
      <c r="A4466" t="s">
        <v>52</v>
      </c>
      <c r="B4466" t="s">
        <v>6</v>
      </c>
      <c r="C4466">
        <v>1</v>
      </c>
      <c r="D4466">
        <v>4</v>
      </c>
      <c r="E4466">
        <v>2</v>
      </c>
      <c r="F4466" s="15">
        <v>46167</v>
      </c>
      <c r="G4466" t="s">
        <v>552</v>
      </c>
      <c r="H4466">
        <v>3</v>
      </c>
      <c r="I4466">
        <v>2026</v>
      </c>
      <c r="J4466">
        <v>5</v>
      </c>
      <c r="K4466" t="s">
        <v>87</v>
      </c>
      <c r="L4466" t="s">
        <v>351</v>
      </c>
      <c r="M4466" t="s">
        <v>8</v>
      </c>
      <c r="N4466" t="b">
        <v>0</v>
      </c>
      <c r="O4466">
        <v>0</v>
      </c>
      <c r="P4466">
        <v>1</v>
      </c>
      <c r="Q4466">
        <v>0</v>
      </c>
      <c r="R4466">
        <v>1</v>
      </c>
    </row>
    <row r="4467" spans="1:18" x14ac:dyDescent="0.25">
      <c r="A4467" t="s">
        <v>52</v>
      </c>
      <c r="B4467" t="s">
        <v>6</v>
      </c>
      <c r="C4467">
        <v>1</v>
      </c>
      <c r="D4467">
        <v>4</v>
      </c>
      <c r="E4467">
        <v>2</v>
      </c>
      <c r="F4467" s="15">
        <v>46167</v>
      </c>
      <c r="G4467" t="s">
        <v>552</v>
      </c>
      <c r="H4467">
        <v>3</v>
      </c>
      <c r="I4467">
        <v>2026</v>
      </c>
      <c r="J4467">
        <v>5</v>
      </c>
      <c r="K4467" t="s">
        <v>87</v>
      </c>
      <c r="L4467" t="s">
        <v>10</v>
      </c>
      <c r="M4467" t="s">
        <v>6</v>
      </c>
      <c r="N4467" t="b">
        <v>0</v>
      </c>
      <c r="O4467">
        <v>0</v>
      </c>
      <c r="P4467">
        <v>1</v>
      </c>
      <c r="Q4467">
        <v>0</v>
      </c>
      <c r="R4467">
        <v>0</v>
      </c>
    </row>
    <row r="4468" spans="1:18" x14ac:dyDescent="0.25">
      <c r="A4468" t="s">
        <v>351</v>
      </c>
      <c r="B4468" t="s">
        <v>8</v>
      </c>
      <c r="C4468">
        <v>2</v>
      </c>
      <c r="D4468">
        <v>4</v>
      </c>
      <c r="E4468">
        <v>2</v>
      </c>
      <c r="F4468" s="15">
        <v>46167</v>
      </c>
      <c r="G4468" t="s">
        <v>552</v>
      </c>
      <c r="H4468">
        <v>3</v>
      </c>
      <c r="I4468">
        <v>2026</v>
      </c>
      <c r="J4468">
        <v>5</v>
      </c>
      <c r="K4468" t="s">
        <v>87</v>
      </c>
      <c r="L4468" t="s">
        <v>52</v>
      </c>
      <c r="M4468" t="s">
        <v>6</v>
      </c>
      <c r="N4468" t="b">
        <v>0</v>
      </c>
      <c r="O4468">
        <v>1</v>
      </c>
      <c r="P4468">
        <v>0</v>
      </c>
      <c r="Q4468">
        <v>0</v>
      </c>
      <c r="R4468">
        <v>0</v>
      </c>
    </row>
    <row r="4469" spans="1:18" x14ac:dyDescent="0.25">
      <c r="A4469" t="s">
        <v>351</v>
      </c>
      <c r="B4469" t="s">
        <v>8</v>
      </c>
      <c r="C4469">
        <v>2</v>
      </c>
      <c r="D4469">
        <v>4</v>
      </c>
      <c r="E4469">
        <v>2</v>
      </c>
      <c r="F4469" s="15">
        <v>46167</v>
      </c>
      <c r="G4469" t="s">
        <v>552</v>
      </c>
      <c r="H4469">
        <v>3</v>
      </c>
      <c r="I4469">
        <v>2026</v>
      </c>
      <c r="J4469">
        <v>5</v>
      </c>
      <c r="K4469" t="s">
        <v>87</v>
      </c>
      <c r="L4469" t="s">
        <v>10</v>
      </c>
      <c r="M4469" t="s">
        <v>6</v>
      </c>
      <c r="N4469" t="b">
        <v>0</v>
      </c>
      <c r="O4469">
        <v>1</v>
      </c>
      <c r="P4469">
        <v>0</v>
      </c>
      <c r="Q4469">
        <v>0</v>
      </c>
      <c r="R4469">
        <v>0</v>
      </c>
    </row>
    <row r="4470" spans="1:18" x14ac:dyDescent="0.25">
      <c r="A4470" t="s">
        <v>10</v>
      </c>
      <c r="B4470" t="s">
        <v>6</v>
      </c>
      <c r="C4470">
        <v>3</v>
      </c>
      <c r="D4470">
        <v>4</v>
      </c>
      <c r="E4470">
        <v>2</v>
      </c>
      <c r="F4470" s="15">
        <v>46167</v>
      </c>
      <c r="G4470" t="s">
        <v>552</v>
      </c>
      <c r="H4470">
        <v>3</v>
      </c>
      <c r="I4470">
        <v>2026</v>
      </c>
      <c r="J4470">
        <v>5</v>
      </c>
      <c r="K4470" t="s">
        <v>87</v>
      </c>
      <c r="L4470" t="s">
        <v>52</v>
      </c>
      <c r="M4470" t="s">
        <v>6</v>
      </c>
      <c r="N4470" t="b">
        <v>0</v>
      </c>
      <c r="O4470">
        <v>0</v>
      </c>
      <c r="P4470">
        <v>1</v>
      </c>
      <c r="Q4470">
        <v>0</v>
      </c>
      <c r="R4470">
        <v>0</v>
      </c>
    </row>
    <row r="4471" spans="1:18" x14ac:dyDescent="0.25">
      <c r="A4471" t="s">
        <v>10</v>
      </c>
      <c r="B4471" t="s">
        <v>6</v>
      </c>
      <c r="C4471">
        <v>3</v>
      </c>
      <c r="D4471">
        <v>4</v>
      </c>
      <c r="E4471">
        <v>2</v>
      </c>
      <c r="F4471" s="15">
        <v>46167</v>
      </c>
      <c r="G4471" t="s">
        <v>552</v>
      </c>
      <c r="H4471">
        <v>3</v>
      </c>
      <c r="I4471">
        <v>2026</v>
      </c>
      <c r="J4471">
        <v>5</v>
      </c>
      <c r="K4471" t="s">
        <v>87</v>
      </c>
      <c r="L4471" t="s">
        <v>351</v>
      </c>
      <c r="M4471" t="s">
        <v>8</v>
      </c>
      <c r="N4471" t="b">
        <v>0</v>
      </c>
      <c r="O4471">
        <v>0</v>
      </c>
      <c r="P4471">
        <v>1</v>
      </c>
      <c r="Q4471">
        <v>0</v>
      </c>
      <c r="R4471">
        <v>1</v>
      </c>
    </row>
    <row r="4472" spans="1:18" x14ac:dyDescent="0.25">
      <c r="A4472" t="s">
        <v>9</v>
      </c>
      <c r="B4472" t="s">
        <v>6</v>
      </c>
      <c r="C4472">
        <v>1</v>
      </c>
      <c r="D4472">
        <v>1</v>
      </c>
      <c r="E4472">
        <v>1</v>
      </c>
      <c r="F4472" s="15">
        <v>46174</v>
      </c>
      <c r="G4472" t="s">
        <v>557</v>
      </c>
      <c r="H4472">
        <v>4</v>
      </c>
      <c r="I4472">
        <v>2026</v>
      </c>
      <c r="J4472">
        <v>6</v>
      </c>
      <c r="K4472" t="s">
        <v>87</v>
      </c>
      <c r="L4472" t="s">
        <v>51</v>
      </c>
      <c r="M4472" t="s">
        <v>6</v>
      </c>
      <c r="N4472" t="b">
        <v>0</v>
      </c>
      <c r="O4472">
        <v>0</v>
      </c>
      <c r="P4472">
        <v>1</v>
      </c>
      <c r="Q4472">
        <v>0</v>
      </c>
      <c r="R4472">
        <v>0</v>
      </c>
    </row>
    <row r="4473" spans="1:18" x14ac:dyDescent="0.25">
      <c r="A4473" t="s">
        <v>9</v>
      </c>
      <c r="B4473" t="s">
        <v>6</v>
      </c>
      <c r="C4473">
        <v>1</v>
      </c>
      <c r="D4473">
        <v>1</v>
      </c>
      <c r="E4473">
        <v>1</v>
      </c>
      <c r="F4473" s="15">
        <v>46174</v>
      </c>
      <c r="G4473" t="s">
        <v>557</v>
      </c>
      <c r="H4473">
        <v>4</v>
      </c>
      <c r="I4473">
        <v>2026</v>
      </c>
      <c r="J4473">
        <v>6</v>
      </c>
      <c r="K4473" t="s">
        <v>87</v>
      </c>
      <c r="L4473" t="s">
        <v>7</v>
      </c>
      <c r="M4473" t="s">
        <v>8</v>
      </c>
      <c r="N4473" t="b">
        <v>0</v>
      </c>
      <c r="O4473">
        <v>0</v>
      </c>
      <c r="P4473">
        <v>1</v>
      </c>
      <c r="Q4473">
        <v>0</v>
      </c>
      <c r="R4473">
        <v>1</v>
      </c>
    </row>
    <row r="4474" spans="1:18" x14ac:dyDescent="0.25">
      <c r="A4474" t="s">
        <v>9</v>
      </c>
      <c r="B4474" t="s">
        <v>6</v>
      </c>
      <c r="C4474">
        <v>1</v>
      </c>
      <c r="D4474">
        <v>1</v>
      </c>
      <c r="E4474">
        <v>1</v>
      </c>
      <c r="F4474" s="15">
        <v>46174</v>
      </c>
      <c r="G4474" t="s">
        <v>557</v>
      </c>
      <c r="H4474">
        <v>4</v>
      </c>
      <c r="I4474">
        <v>2026</v>
      </c>
      <c r="J4474">
        <v>6</v>
      </c>
      <c r="K4474" t="s">
        <v>87</v>
      </c>
      <c r="L4474" t="s">
        <v>519</v>
      </c>
      <c r="M4474" t="s">
        <v>6</v>
      </c>
      <c r="N4474" t="b">
        <v>0</v>
      </c>
      <c r="O4474">
        <v>0</v>
      </c>
      <c r="P4474">
        <v>1</v>
      </c>
      <c r="Q4474">
        <v>0</v>
      </c>
      <c r="R4474">
        <v>0</v>
      </c>
    </row>
    <row r="4475" spans="1:18" x14ac:dyDescent="0.25">
      <c r="A4475" t="s">
        <v>51</v>
      </c>
      <c r="B4475" t="s">
        <v>6</v>
      </c>
      <c r="C4475">
        <v>2</v>
      </c>
      <c r="D4475">
        <v>1</v>
      </c>
      <c r="E4475">
        <v>1</v>
      </c>
      <c r="F4475" s="15">
        <v>46174</v>
      </c>
      <c r="G4475" t="s">
        <v>557</v>
      </c>
      <c r="H4475">
        <v>4</v>
      </c>
      <c r="I4475">
        <v>2026</v>
      </c>
      <c r="J4475">
        <v>6</v>
      </c>
      <c r="K4475" t="s">
        <v>87</v>
      </c>
      <c r="L4475" t="s">
        <v>9</v>
      </c>
      <c r="M4475" t="s">
        <v>6</v>
      </c>
      <c r="N4475" t="b">
        <v>0</v>
      </c>
      <c r="O4475">
        <v>0</v>
      </c>
      <c r="P4475">
        <v>1</v>
      </c>
      <c r="Q4475">
        <v>0</v>
      </c>
      <c r="R4475">
        <v>0</v>
      </c>
    </row>
    <row r="4476" spans="1:18" x14ac:dyDescent="0.25">
      <c r="A4476" t="s">
        <v>51</v>
      </c>
      <c r="B4476" t="s">
        <v>6</v>
      </c>
      <c r="C4476">
        <v>2</v>
      </c>
      <c r="D4476">
        <v>1</v>
      </c>
      <c r="E4476">
        <v>1</v>
      </c>
      <c r="F4476" s="15">
        <v>46174</v>
      </c>
      <c r="G4476" t="s">
        <v>557</v>
      </c>
      <c r="H4476">
        <v>4</v>
      </c>
      <c r="I4476">
        <v>2026</v>
      </c>
      <c r="J4476">
        <v>6</v>
      </c>
      <c r="K4476" t="s">
        <v>87</v>
      </c>
      <c r="L4476" t="s">
        <v>7</v>
      </c>
      <c r="M4476" t="s">
        <v>8</v>
      </c>
      <c r="N4476" t="b">
        <v>0</v>
      </c>
      <c r="O4476">
        <v>0</v>
      </c>
      <c r="P4476">
        <v>1</v>
      </c>
      <c r="Q4476">
        <v>0</v>
      </c>
      <c r="R4476">
        <v>1</v>
      </c>
    </row>
    <row r="4477" spans="1:18" x14ac:dyDescent="0.25">
      <c r="A4477" t="s">
        <v>51</v>
      </c>
      <c r="B4477" t="s">
        <v>6</v>
      </c>
      <c r="C4477">
        <v>2</v>
      </c>
      <c r="D4477">
        <v>1</v>
      </c>
      <c r="E4477">
        <v>1</v>
      </c>
      <c r="F4477" s="15">
        <v>46174</v>
      </c>
      <c r="G4477" t="s">
        <v>557</v>
      </c>
      <c r="H4477">
        <v>4</v>
      </c>
      <c r="I4477">
        <v>2026</v>
      </c>
      <c r="J4477">
        <v>6</v>
      </c>
      <c r="K4477" t="s">
        <v>87</v>
      </c>
      <c r="L4477" t="s">
        <v>519</v>
      </c>
      <c r="M4477" t="s">
        <v>6</v>
      </c>
      <c r="N4477" t="b">
        <v>0</v>
      </c>
      <c r="O4477">
        <v>0</v>
      </c>
      <c r="P4477">
        <v>1</v>
      </c>
      <c r="Q4477">
        <v>0</v>
      </c>
      <c r="R4477">
        <v>0</v>
      </c>
    </row>
    <row r="4478" spans="1:18" x14ac:dyDescent="0.25">
      <c r="A4478" t="s">
        <v>7</v>
      </c>
      <c r="B4478" t="s">
        <v>8</v>
      </c>
      <c r="C4478">
        <v>3</v>
      </c>
      <c r="D4478">
        <v>1</v>
      </c>
      <c r="E4478">
        <v>1</v>
      </c>
      <c r="F4478" s="15">
        <v>46174</v>
      </c>
      <c r="G4478" t="s">
        <v>557</v>
      </c>
      <c r="H4478">
        <v>4</v>
      </c>
      <c r="I4478">
        <v>2026</v>
      </c>
      <c r="J4478">
        <v>6</v>
      </c>
      <c r="K4478" t="s">
        <v>87</v>
      </c>
      <c r="L4478" t="s">
        <v>9</v>
      </c>
      <c r="M4478" t="s">
        <v>6</v>
      </c>
      <c r="N4478" t="b">
        <v>0</v>
      </c>
      <c r="O4478">
        <v>1</v>
      </c>
      <c r="P4478">
        <v>0</v>
      </c>
      <c r="Q4478">
        <v>0</v>
      </c>
      <c r="R4478">
        <v>0</v>
      </c>
    </row>
    <row r="4479" spans="1:18" x14ac:dyDescent="0.25">
      <c r="A4479" t="s">
        <v>7</v>
      </c>
      <c r="B4479" t="s">
        <v>8</v>
      </c>
      <c r="C4479">
        <v>3</v>
      </c>
      <c r="D4479">
        <v>1</v>
      </c>
      <c r="E4479">
        <v>1</v>
      </c>
      <c r="F4479" s="15">
        <v>46174</v>
      </c>
      <c r="G4479" t="s">
        <v>557</v>
      </c>
      <c r="H4479">
        <v>4</v>
      </c>
      <c r="I4479">
        <v>2026</v>
      </c>
      <c r="J4479">
        <v>6</v>
      </c>
      <c r="K4479" t="s">
        <v>87</v>
      </c>
      <c r="L4479" t="s">
        <v>51</v>
      </c>
      <c r="M4479" t="s">
        <v>6</v>
      </c>
      <c r="N4479" t="b">
        <v>0</v>
      </c>
      <c r="O4479">
        <v>1</v>
      </c>
      <c r="P4479">
        <v>0</v>
      </c>
      <c r="Q4479">
        <v>0</v>
      </c>
      <c r="R4479">
        <v>0</v>
      </c>
    </row>
    <row r="4480" spans="1:18" x14ac:dyDescent="0.25">
      <c r="A4480" t="s">
        <v>7</v>
      </c>
      <c r="B4480" t="s">
        <v>8</v>
      </c>
      <c r="C4480">
        <v>3</v>
      </c>
      <c r="D4480">
        <v>1</v>
      </c>
      <c r="E4480">
        <v>1</v>
      </c>
      <c r="F4480" s="15">
        <v>46174</v>
      </c>
      <c r="G4480" t="s">
        <v>557</v>
      </c>
      <c r="H4480">
        <v>4</v>
      </c>
      <c r="I4480">
        <v>2026</v>
      </c>
      <c r="J4480">
        <v>6</v>
      </c>
      <c r="K4480" t="s">
        <v>87</v>
      </c>
      <c r="L4480" t="s">
        <v>519</v>
      </c>
      <c r="M4480" t="s">
        <v>6</v>
      </c>
      <c r="N4480" t="b">
        <v>0</v>
      </c>
      <c r="O4480">
        <v>1</v>
      </c>
      <c r="P4480">
        <v>0</v>
      </c>
      <c r="Q4480">
        <v>0</v>
      </c>
      <c r="R4480">
        <v>0</v>
      </c>
    </row>
    <row r="4481" spans="1:18" x14ac:dyDescent="0.25">
      <c r="A4481" t="s">
        <v>519</v>
      </c>
      <c r="B4481" t="s">
        <v>6</v>
      </c>
      <c r="C4481">
        <v>4</v>
      </c>
      <c r="D4481">
        <v>1</v>
      </c>
      <c r="E4481">
        <v>1</v>
      </c>
      <c r="F4481" s="15">
        <v>46174</v>
      </c>
      <c r="G4481" t="s">
        <v>557</v>
      </c>
      <c r="H4481">
        <v>4</v>
      </c>
      <c r="I4481">
        <v>2026</v>
      </c>
      <c r="J4481">
        <v>6</v>
      </c>
      <c r="K4481" t="s">
        <v>87</v>
      </c>
      <c r="L4481" t="s">
        <v>9</v>
      </c>
      <c r="M4481" t="s">
        <v>6</v>
      </c>
      <c r="N4481" t="b">
        <v>0</v>
      </c>
      <c r="O4481">
        <v>0</v>
      </c>
      <c r="P4481">
        <v>1</v>
      </c>
      <c r="Q4481">
        <v>0</v>
      </c>
      <c r="R4481">
        <v>0</v>
      </c>
    </row>
    <row r="4482" spans="1:18" x14ac:dyDescent="0.25">
      <c r="A4482" t="s">
        <v>519</v>
      </c>
      <c r="B4482" t="s">
        <v>6</v>
      </c>
      <c r="C4482">
        <v>4</v>
      </c>
      <c r="D4482">
        <v>1</v>
      </c>
      <c r="E4482">
        <v>1</v>
      </c>
      <c r="F4482" s="15">
        <v>46174</v>
      </c>
      <c r="G4482" t="s">
        <v>557</v>
      </c>
      <c r="H4482">
        <v>4</v>
      </c>
      <c r="I4482">
        <v>2026</v>
      </c>
      <c r="J4482">
        <v>6</v>
      </c>
      <c r="K4482" t="s">
        <v>87</v>
      </c>
      <c r="L4482" t="s">
        <v>51</v>
      </c>
      <c r="M4482" t="s">
        <v>6</v>
      </c>
      <c r="N4482" t="b">
        <v>0</v>
      </c>
      <c r="O4482">
        <v>0</v>
      </c>
      <c r="P4482">
        <v>1</v>
      </c>
      <c r="Q4482">
        <v>0</v>
      </c>
      <c r="R4482">
        <v>0</v>
      </c>
    </row>
    <row r="4483" spans="1:18" x14ac:dyDescent="0.25">
      <c r="A4483" t="s">
        <v>519</v>
      </c>
      <c r="B4483" t="s">
        <v>6</v>
      </c>
      <c r="C4483">
        <v>4</v>
      </c>
      <c r="D4483">
        <v>1</v>
      </c>
      <c r="E4483">
        <v>1</v>
      </c>
      <c r="F4483" s="15">
        <v>46174</v>
      </c>
      <c r="G4483" t="s">
        <v>557</v>
      </c>
      <c r="H4483">
        <v>4</v>
      </c>
      <c r="I4483">
        <v>2026</v>
      </c>
      <c r="J4483">
        <v>6</v>
      </c>
      <c r="K4483" t="s">
        <v>87</v>
      </c>
      <c r="L4483" t="s">
        <v>7</v>
      </c>
      <c r="M4483" t="s">
        <v>8</v>
      </c>
      <c r="N4483" t="b">
        <v>0</v>
      </c>
      <c r="O4483">
        <v>0</v>
      </c>
      <c r="P4483">
        <v>1</v>
      </c>
      <c r="Q4483">
        <v>0</v>
      </c>
      <c r="R4483">
        <v>1</v>
      </c>
    </row>
    <row r="4484" spans="1:18" x14ac:dyDescent="0.25">
      <c r="A4484" t="s">
        <v>14</v>
      </c>
      <c r="B4484" t="s">
        <v>63</v>
      </c>
      <c r="C4484">
        <v>1</v>
      </c>
      <c r="D4484">
        <v>2</v>
      </c>
      <c r="E4484">
        <v>1</v>
      </c>
      <c r="F4484" s="15">
        <v>46174</v>
      </c>
      <c r="G4484" t="s">
        <v>558</v>
      </c>
      <c r="H4484">
        <v>4</v>
      </c>
      <c r="I4484">
        <v>2026</v>
      </c>
      <c r="J4484">
        <v>6</v>
      </c>
      <c r="K4484" t="s">
        <v>87</v>
      </c>
      <c r="L4484" t="s">
        <v>325</v>
      </c>
      <c r="M4484" t="s">
        <v>63</v>
      </c>
      <c r="N4484" t="b">
        <v>0</v>
      </c>
      <c r="O4484">
        <v>0</v>
      </c>
      <c r="P4484">
        <v>0</v>
      </c>
      <c r="Q4484">
        <v>1</v>
      </c>
      <c r="R4484">
        <v>0</v>
      </c>
    </row>
    <row r="4485" spans="1:18" x14ac:dyDescent="0.25">
      <c r="A4485" t="s">
        <v>14</v>
      </c>
      <c r="B4485" t="s">
        <v>63</v>
      </c>
      <c r="C4485">
        <v>1</v>
      </c>
      <c r="D4485">
        <v>2</v>
      </c>
      <c r="E4485">
        <v>1</v>
      </c>
      <c r="F4485" s="15">
        <v>46174</v>
      </c>
      <c r="G4485" t="s">
        <v>558</v>
      </c>
      <c r="H4485">
        <v>4</v>
      </c>
      <c r="I4485">
        <v>2026</v>
      </c>
      <c r="J4485">
        <v>6</v>
      </c>
      <c r="K4485" t="s">
        <v>87</v>
      </c>
      <c r="L4485" t="s">
        <v>352</v>
      </c>
      <c r="M4485" t="s">
        <v>63</v>
      </c>
      <c r="N4485" t="b">
        <v>0</v>
      </c>
      <c r="O4485">
        <v>0</v>
      </c>
      <c r="P4485">
        <v>0</v>
      </c>
      <c r="Q4485">
        <v>1</v>
      </c>
      <c r="R4485">
        <v>0</v>
      </c>
    </row>
    <row r="4486" spans="1:18" x14ac:dyDescent="0.25">
      <c r="A4486" t="s">
        <v>14</v>
      </c>
      <c r="B4486" t="s">
        <v>63</v>
      </c>
      <c r="C4486">
        <v>1</v>
      </c>
      <c r="D4486">
        <v>2</v>
      </c>
      <c r="E4486">
        <v>1</v>
      </c>
      <c r="F4486" s="15">
        <v>46174</v>
      </c>
      <c r="G4486" t="s">
        <v>558</v>
      </c>
      <c r="H4486">
        <v>4</v>
      </c>
      <c r="I4486">
        <v>2026</v>
      </c>
      <c r="J4486">
        <v>6</v>
      </c>
      <c r="K4486" t="s">
        <v>87</v>
      </c>
      <c r="L4486" t="s">
        <v>553</v>
      </c>
      <c r="M4486" t="s">
        <v>63</v>
      </c>
      <c r="N4486" t="b">
        <v>0</v>
      </c>
      <c r="O4486">
        <v>0</v>
      </c>
      <c r="P4486">
        <v>0</v>
      </c>
      <c r="Q4486">
        <v>1</v>
      </c>
      <c r="R4486">
        <v>0</v>
      </c>
    </row>
    <row r="4487" spans="1:18" x14ac:dyDescent="0.25">
      <c r="A4487" t="s">
        <v>325</v>
      </c>
      <c r="B4487" t="s">
        <v>63</v>
      </c>
      <c r="C4487">
        <v>2</v>
      </c>
      <c r="D4487">
        <v>2</v>
      </c>
      <c r="E4487">
        <v>1</v>
      </c>
      <c r="F4487" s="15">
        <v>46174</v>
      </c>
      <c r="G4487" t="s">
        <v>558</v>
      </c>
      <c r="H4487">
        <v>4</v>
      </c>
      <c r="I4487">
        <v>2026</v>
      </c>
      <c r="J4487">
        <v>6</v>
      </c>
      <c r="K4487" t="s">
        <v>87</v>
      </c>
      <c r="L4487" t="s">
        <v>14</v>
      </c>
      <c r="M4487" t="s">
        <v>63</v>
      </c>
      <c r="N4487" t="b">
        <v>0</v>
      </c>
      <c r="O4487">
        <v>0</v>
      </c>
      <c r="P4487">
        <v>0</v>
      </c>
      <c r="Q4487">
        <v>1</v>
      </c>
      <c r="R4487">
        <v>0</v>
      </c>
    </row>
    <row r="4488" spans="1:18" x14ac:dyDescent="0.25">
      <c r="A4488" t="s">
        <v>325</v>
      </c>
      <c r="B4488" t="s">
        <v>63</v>
      </c>
      <c r="C4488">
        <v>2</v>
      </c>
      <c r="D4488">
        <v>2</v>
      </c>
      <c r="E4488">
        <v>1</v>
      </c>
      <c r="F4488" s="15">
        <v>46174</v>
      </c>
      <c r="G4488" t="s">
        <v>558</v>
      </c>
      <c r="H4488">
        <v>4</v>
      </c>
      <c r="I4488">
        <v>2026</v>
      </c>
      <c r="J4488">
        <v>6</v>
      </c>
      <c r="K4488" t="s">
        <v>87</v>
      </c>
      <c r="L4488" t="s">
        <v>352</v>
      </c>
      <c r="M4488" t="s">
        <v>63</v>
      </c>
      <c r="N4488" t="b">
        <v>0</v>
      </c>
      <c r="O4488">
        <v>0</v>
      </c>
      <c r="P4488">
        <v>0</v>
      </c>
      <c r="Q4488">
        <v>1</v>
      </c>
      <c r="R4488">
        <v>0</v>
      </c>
    </row>
    <row r="4489" spans="1:18" x14ac:dyDescent="0.25">
      <c r="A4489" t="s">
        <v>325</v>
      </c>
      <c r="B4489" t="s">
        <v>63</v>
      </c>
      <c r="C4489">
        <v>2</v>
      </c>
      <c r="D4489">
        <v>2</v>
      </c>
      <c r="E4489">
        <v>1</v>
      </c>
      <c r="F4489" s="15">
        <v>46174</v>
      </c>
      <c r="G4489" t="s">
        <v>558</v>
      </c>
      <c r="H4489">
        <v>4</v>
      </c>
      <c r="I4489">
        <v>2026</v>
      </c>
      <c r="J4489">
        <v>6</v>
      </c>
      <c r="K4489" t="s">
        <v>87</v>
      </c>
      <c r="L4489" t="s">
        <v>553</v>
      </c>
      <c r="M4489" t="s">
        <v>63</v>
      </c>
      <c r="N4489" t="b">
        <v>0</v>
      </c>
      <c r="O4489">
        <v>0</v>
      </c>
      <c r="P4489">
        <v>0</v>
      </c>
      <c r="Q4489">
        <v>1</v>
      </c>
      <c r="R4489">
        <v>0</v>
      </c>
    </row>
    <row r="4490" spans="1:18" x14ac:dyDescent="0.25">
      <c r="A4490" t="s">
        <v>352</v>
      </c>
      <c r="B4490" t="s">
        <v>63</v>
      </c>
      <c r="C4490">
        <v>3</v>
      </c>
      <c r="D4490">
        <v>2</v>
      </c>
      <c r="E4490">
        <v>1</v>
      </c>
      <c r="F4490" s="15">
        <v>46174</v>
      </c>
      <c r="G4490" t="s">
        <v>558</v>
      </c>
      <c r="H4490">
        <v>4</v>
      </c>
      <c r="I4490">
        <v>2026</v>
      </c>
      <c r="J4490">
        <v>6</v>
      </c>
      <c r="K4490" t="s">
        <v>87</v>
      </c>
      <c r="L4490" t="s">
        <v>14</v>
      </c>
      <c r="M4490" t="s">
        <v>63</v>
      </c>
      <c r="N4490" t="b">
        <v>0</v>
      </c>
      <c r="O4490">
        <v>0</v>
      </c>
      <c r="P4490">
        <v>0</v>
      </c>
      <c r="Q4490">
        <v>1</v>
      </c>
      <c r="R4490">
        <v>0</v>
      </c>
    </row>
    <row r="4491" spans="1:18" x14ac:dyDescent="0.25">
      <c r="A4491" t="s">
        <v>352</v>
      </c>
      <c r="B4491" t="s">
        <v>63</v>
      </c>
      <c r="C4491">
        <v>3</v>
      </c>
      <c r="D4491">
        <v>2</v>
      </c>
      <c r="E4491">
        <v>1</v>
      </c>
      <c r="F4491" s="15">
        <v>46174</v>
      </c>
      <c r="G4491" t="s">
        <v>558</v>
      </c>
      <c r="H4491">
        <v>4</v>
      </c>
      <c r="I4491">
        <v>2026</v>
      </c>
      <c r="J4491">
        <v>6</v>
      </c>
      <c r="K4491" t="s">
        <v>87</v>
      </c>
      <c r="L4491" t="s">
        <v>325</v>
      </c>
      <c r="M4491" t="s">
        <v>63</v>
      </c>
      <c r="N4491" t="b">
        <v>0</v>
      </c>
      <c r="O4491">
        <v>0</v>
      </c>
      <c r="P4491">
        <v>0</v>
      </c>
      <c r="Q4491">
        <v>1</v>
      </c>
      <c r="R4491">
        <v>0</v>
      </c>
    </row>
    <row r="4492" spans="1:18" x14ac:dyDescent="0.25">
      <c r="A4492" t="s">
        <v>352</v>
      </c>
      <c r="B4492" t="s">
        <v>63</v>
      </c>
      <c r="C4492">
        <v>3</v>
      </c>
      <c r="D4492">
        <v>2</v>
      </c>
      <c r="E4492">
        <v>1</v>
      </c>
      <c r="F4492" s="15">
        <v>46174</v>
      </c>
      <c r="G4492" t="s">
        <v>558</v>
      </c>
      <c r="H4492">
        <v>4</v>
      </c>
      <c r="I4492">
        <v>2026</v>
      </c>
      <c r="J4492">
        <v>6</v>
      </c>
      <c r="K4492" t="s">
        <v>87</v>
      </c>
      <c r="L4492" t="s">
        <v>553</v>
      </c>
      <c r="M4492" t="s">
        <v>63</v>
      </c>
      <c r="N4492" t="b">
        <v>0</v>
      </c>
      <c r="O4492">
        <v>0</v>
      </c>
      <c r="P4492">
        <v>0</v>
      </c>
      <c r="Q4492">
        <v>1</v>
      </c>
      <c r="R4492">
        <v>0</v>
      </c>
    </row>
    <row r="4493" spans="1:18" x14ac:dyDescent="0.25">
      <c r="A4493" t="s">
        <v>553</v>
      </c>
      <c r="B4493" t="s">
        <v>63</v>
      </c>
      <c r="C4493">
        <v>4</v>
      </c>
      <c r="D4493">
        <v>2</v>
      </c>
      <c r="E4493">
        <v>1</v>
      </c>
      <c r="F4493" s="15">
        <v>46174</v>
      </c>
      <c r="G4493" t="s">
        <v>558</v>
      </c>
      <c r="H4493">
        <v>4</v>
      </c>
      <c r="I4493">
        <v>2026</v>
      </c>
      <c r="J4493">
        <v>6</v>
      </c>
      <c r="K4493" t="s">
        <v>87</v>
      </c>
      <c r="L4493" t="s">
        <v>14</v>
      </c>
      <c r="M4493" t="s">
        <v>63</v>
      </c>
      <c r="N4493" t="b">
        <v>0</v>
      </c>
      <c r="O4493">
        <v>0</v>
      </c>
      <c r="P4493">
        <v>0</v>
      </c>
      <c r="Q4493">
        <v>1</v>
      </c>
      <c r="R4493">
        <v>0</v>
      </c>
    </row>
    <row r="4494" spans="1:18" x14ac:dyDescent="0.25">
      <c r="A4494" t="s">
        <v>553</v>
      </c>
      <c r="B4494" t="s">
        <v>63</v>
      </c>
      <c r="C4494">
        <v>4</v>
      </c>
      <c r="D4494">
        <v>2</v>
      </c>
      <c r="E4494">
        <v>1</v>
      </c>
      <c r="F4494" s="15">
        <v>46174</v>
      </c>
      <c r="G4494" t="s">
        <v>558</v>
      </c>
      <c r="H4494">
        <v>4</v>
      </c>
      <c r="I4494">
        <v>2026</v>
      </c>
      <c r="J4494">
        <v>6</v>
      </c>
      <c r="K4494" t="s">
        <v>87</v>
      </c>
      <c r="L4494" t="s">
        <v>325</v>
      </c>
      <c r="M4494" t="s">
        <v>63</v>
      </c>
      <c r="N4494" t="b">
        <v>0</v>
      </c>
      <c r="O4494">
        <v>0</v>
      </c>
      <c r="P4494">
        <v>0</v>
      </c>
      <c r="Q4494">
        <v>1</v>
      </c>
      <c r="R4494">
        <v>0</v>
      </c>
    </row>
    <row r="4495" spans="1:18" x14ac:dyDescent="0.25">
      <c r="A4495" t="s">
        <v>553</v>
      </c>
      <c r="B4495" t="s">
        <v>63</v>
      </c>
      <c r="C4495">
        <v>4</v>
      </c>
      <c r="D4495">
        <v>2</v>
      </c>
      <c r="E4495">
        <v>1</v>
      </c>
      <c r="F4495" s="15">
        <v>46174</v>
      </c>
      <c r="G4495" t="s">
        <v>558</v>
      </c>
      <c r="H4495">
        <v>4</v>
      </c>
      <c r="I4495">
        <v>2026</v>
      </c>
      <c r="J4495">
        <v>6</v>
      </c>
      <c r="K4495" t="s">
        <v>87</v>
      </c>
      <c r="L4495" t="s">
        <v>352</v>
      </c>
      <c r="M4495" t="s">
        <v>63</v>
      </c>
      <c r="N4495" t="b">
        <v>0</v>
      </c>
      <c r="O4495">
        <v>0</v>
      </c>
      <c r="P4495">
        <v>0</v>
      </c>
      <c r="Q4495">
        <v>1</v>
      </c>
      <c r="R4495">
        <v>0</v>
      </c>
    </row>
    <row r="4496" spans="1:18" x14ac:dyDescent="0.25">
      <c r="A4496" t="s">
        <v>20</v>
      </c>
      <c r="B4496" t="s">
        <v>8</v>
      </c>
      <c r="C4496">
        <v>1</v>
      </c>
      <c r="D4496">
        <v>3</v>
      </c>
      <c r="E4496">
        <v>1</v>
      </c>
      <c r="F4496" s="15">
        <v>46174</v>
      </c>
      <c r="G4496" t="s">
        <v>559</v>
      </c>
      <c r="H4496">
        <v>4</v>
      </c>
      <c r="I4496">
        <v>2026</v>
      </c>
      <c r="J4496">
        <v>6</v>
      </c>
      <c r="K4496" t="s">
        <v>87</v>
      </c>
      <c r="L4496" t="s">
        <v>351</v>
      </c>
      <c r="M4496" t="s">
        <v>6</v>
      </c>
      <c r="N4496" t="b">
        <v>0</v>
      </c>
      <c r="O4496">
        <v>1</v>
      </c>
      <c r="P4496">
        <v>0</v>
      </c>
      <c r="Q4496">
        <v>0</v>
      </c>
      <c r="R4496">
        <v>0</v>
      </c>
    </row>
    <row r="4497" spans="1:18" x14ac:dyDescent="0.25">
      <c r="A4497" t="s">
        <v>20</v>
      </c>
      <c r="B4497" t="s">
        <v>8</v>
      </c>
      <c r="C4497">
        <v>1</v>
      </c>
      <c r="D4497">
        <v>3</v>
      </c>
      <c r="E4497">
        <v>1</v>
      </c>
      <c r="F4497" s="15">
        <v>46174</v>
      </c>
      <c r="G4497" t="s">
        <v>559</v>
      </c>
      <c r="H4497">
        <v>4</v>
      </c>
      <c r="I4497">
        <v>2026</v>
      </c>
      <c r="J4497">
        <v>6</v>
      </c>
      <c r="K4497" t="s">
        <v>87</v>
      </c>
      <c r="L4497" t="s">
        <v>17</v>
      </c>
      <c r="M4497" t="s">
        <v>6</v>
      </c>
      <c r="N4497" t="b">
        <v>0</v>
      </c>
      <c r="O4497">
        <v>1</v>
      </c>
      <c r="P4497">
        <v>0</v>
      </c>
      <c r="Q4497">
        <v>0</v>
      </c>
      <c r="R4497">
        <v>0</v>
      </c>
    </row>
    <row r="4498" spans="1:18" x14ac:dyDescent="0.25">
      <c r="A4498" t="s">
        <v>20</v>
      </c>
      <c r="B4498" t="s">
        <v>8</v>
      </c>
      <c r="C4498">
        <v>1</v>
      </c>
      <c r="D4498">
        <v>3</v>
      </c>
      <c r="E4498">
        <v>1</v>
      </c>
      <c r="F4498" s="15">
        <v>46174</v>
      </c>
      <c r="G4498" t="s">
        <v>559</v>
      </c>
      <c r="H4498">
        <v>4</v>
      </c>
      <c r="I4498">
        <v>2026</v>
      </c>
      <c r="J4498">
        <v>6</v>
      </c>
      <c r="K4498" t="s">
        <v>87</v>
      </c>
      <c r="L4498" t="s">
        <v>465</v>
      </c>
      <c r="M4498" t="s">
        <v>6</v>
      </c>
      <c r="N4498" t="b">
        <v>0</v>
      </c>
      <c r="O4498">
        <v>1</v>
      </c>
      <c r="P4498">
        <v>0</v>
      </c>
      <c r="Q4498">
        <v>0</v>
      </c>
      <c r="R4498">
        <v>0</v>
      </c>
    </row>
    <row r="4499" spans="1:18" x14ac:dyDescent="0.25">
      <c r="A4499" t="s">
        <v>351</v>
      </c>
      <c r="B4499" t="s">
        <v>6</v>
      </c>
      <c r="C4499">
        <v>2</v>
      </c>
      <c r="D4499">
        <v>3</v>
      </c>
      <c r="E4499">
        <v>1</v>
      </c>
      <c r="F4499" s="15">
        <v>46174</v>
      </c>
      <c r="G4499" t="s">
        <v>559</v>
      </c>
      <c r="H4499">
        <v>4</v>
      </c>
      <c r="I4499">
        <v>2026</v>
      </c>
      <c r="J4499">
        <v>6</v>
      </c>
      <c r="K4499" t="s">
        <v>87</v>
      </c>
      <c r="L4499" t="s">
        <v>20</v>
      </c>
      <c r="M4499" t="s">
        <v>8</v>
      </c>
      <c r="N4499" t="b">
        <v>0</v>
      </c>
      <c r="O4499">
        <v>0</v>
      </c>
      <c r="P4499">
        <v>1</v>
      </c>
      <c r="Q4499">
        <v>0</v>
      </c>
      <c r="R4499">
        <v>1</v>
      </c>
    </row>
    <row r="4500" spans="1:18" x14ac:dyDescent="0.25">
      <c r="A4500" t="s">
        <v>351</v>
      </c>
      <c r="B4500" t="s">
        <v>6</v>
      </c>
      <c r="C4500">
        <v>2</v>
      </c>
      <c r="D4500">
        <v>3</v>
      </c>
      <c r="E4500">
        <v>1</v>
      </c>
      <c r="F4500" s="15">
        <v>46174</v>
      </c>
      <c r="G4500" t="s">
        <v>559</v>
      </c>
      <c r="H4500">
        <v>4</v>
      </c>
      <c r="I4500">
        <v>2026</v>
      </c>
      <c r="J4500">
        <v>6</v>
      </c>
      <c r="K4500" t="s">
        <v>87</v>
      </c>
      <c r="L4500" t="s">
        <v>17</v>
      </c>
      <c r="M4500" t="s">
        <v>6</v>
      </c>
      <c r="N4500" t="b">
        <v>0</v>
      </c>
      <c r="O4500">
        <v>0</v>
      </c>
      <c r="P4500">
        <v>1</v>
      </c>
      <c r="Q4500">
        <v>0</v>
      </c>
      <c r="R4500">
        <v>0</v>
      </c>
    </row>
    <row r="4501" spans="1:18" x14ac:dyDescent="0.25">
      <c r="A4501" t="s">
        <v>351</v>
      </c>
      <c r="B4501" t="s">
        <v>6</v>
      </c>
      <c r="C4501">
        <v>2</v>
      </c>
      <c r="D4501">
        <v>3</v>
      </c>
      <c r="E4501">
        <v>1</v>
      </c>
      <c r="F4501" s="15">
        <v>46174</v>
      </c>
      <c r="G4501" t="s">
        <v>559</v>
      </c>
      <c r="H4501">
        <v>4</v>
      </c>
      <c r="I4501">
        <v>2026</v>
      </c>
      <c r="J4501">
        <v>6</v>
      </c>
      <c r="K4501" t="s">
        <v>87</v>
      </c>
      <c r="L4501" t="s">
        <v>465</v>
      </c>
      <c r="M4501" t="s">
        <v>6</v>
      </c>
      <c r="N4501" t="b">
        <v>0</v>
      </c>
      <c r="O4501">
        <v>0</v>
      </c>
      <c r="P4501">
        <v>1</v>
      </c>
      <c r="Q4501">
        <v>0</v>
      </c>
      <c r="R4501">
        <v>0</v>
      </c>
    </row>
    <row r="4502" spans="1:18" x14ac:dyDescent="0.25">
      <c r="A4502" t="s">
        <v>17</v>
      </c>
      <c r="B4502" t="s">
        <v>6</v>
      </c>
      <c r="C4502">
        <v>3</v>
      </c>
      <c r="D4502">
        <v>3</v>
      </c>
      <c r="E4502">
        <v>1</v>
      </c>
      <c r="F4502" s="15">
        <v>46174</v>
      </c>
      <c r="G4502" t="s">
        <v>559</v>
      </c>
      <c r="H4502">
        <v>4</v>
      </c>
      <c r="I4502">
        <v>2026</v>
      </c>
      <c r="J4502">
        <v>6</v>
      </c>
      <c r="K4502" t="s">
        <v>87</v>
      </c>
      <c r="L4502" t="s">
        <v>20</v>
      </c>
      <c r="M4502" t="s">
        <v>8</v>
      </c>
      <c r="N4502" t="b">
        <v>0</v>
      </c>
      <c r="O4502">
        <v>0</v>
      </c>
      <c r="P4502">
        <v>1</v>
      </c>
      <c r="Q4502">
        <v>0</v>
      </c>
      <c r="R4502">
        <v>1</v>
      </c>
    </row>
    <row r="4503" spans="1:18" x14ac:dyDescent="0.25">
      <c r="A4503" t="s">
        <v>17</v>
      </c>
      <c r="B4503" t="s">
        <v>6</v>
      </c>
      <c r="C4503">
        <v>3</v>
      </c>
      <c r="D4503">
        <v>3</v>
      </c>
      <c r="E4503">
        <v>1</v>
      </c>
      <c r="F4503" s="15">
        <v>46174</v>
      </c>
      <c r="G4503" t="s">
        <v>559</v>
      </c>
      <c r="H4503">
        <v>4</v>
      </c>
      <c r="I4503">
        <v>2026</v>
      </c>
      <c r="J4503">
        <v>6</v>
      </c>
      <c r="K4503" t="s">
        <v>87</v>
      </c>
      <c r="L4503" t="s">
        <v>351</v>
      </c>
      <c r="M4503" t="s">
        <v>6</v>
      </c>
      <c r="N4503" t="b">
        <v>0</v>
      </c>
      <c r="O4503">
        <v>0</v>
      </c>
      <c r="P4503">
        <v>1</v>
      </c>
      <c r="Q4503">
        <v>0</v>
      </c>
      <c r="R4503">
        <v>0</v>
      </c>
    </row>
    <row r="4504" spans="1:18" x14ac:dyDescent="0.25">
      <c r="A4504" t="s">
        <v>17</v>
      </c>
      <c r="B4504" t="s">
        <v>6</v>
      </c>
      <c r="C4504">
        <v>3</v>
      </c>
      <c r="D4504">
        <v>3</v>
      </c>
      <c r="E4504">
        <v>1</v>
      </c>
      <c r="F4504" s="15">
        <v>46174</v>
      </c>
      <c r="G4504" t="s">
        <v>559</v>
      </c>
      <c r="H4504">
        <v>4</v>
      </c>
      <c r="I4504">
        <v>2026</v>
      </c>
      <c r="J4504">
        <v>6</v>
      </c>
      <c r="K4504" t="s">
        <v>87</v>
      </c>
      <c r="L4504" t="s">
        <v>465</v>
      </c>
      <c r="M4504" t="s">
        <v>6</v>
      </c>
      <c r="N4504" t="b">
        <v>0</v>
      </c>
      <c r="O4504">
        <v>0</v>
      </c>
      <c r="P4504">
        <v>1</v>
      </c>
      <c r="Q4504">
        <v>0</v>
      </c>
      <c r="R4504">
        <v>0</v>
      </c>
    </row>
    <row r="4505" spans="1:18" x14ac:dyDescent="0.25">
      <c r="A4505" t="s">
        <v>465</v>
      </c>
      <c r="B4505" t="s">
        <v>6</v>
      </c>
      <c r="C4505">
        <v>4</v>
      </c>
      <c r="D4505">
        <v>3</v>
      </c>
      <c r="E4505">
        <v>1</v>
      </c>
      <c r="F4505" s="15">
        <v>46174</v>
      </c>
      <c r="G4505" t="s">
        <v>559</v>
      </c>
      <c r="H4505">
        <v>4</v>
      </c>
      <c r="I4505">
        <v>2026</v>
      </c>
      <c r="J4505">
        <v>6</v>
      </c>
      <c r="K4505" t="s">
        <v>87</v>
      </c>
      <c r="L4505" t="s">
        <v>20</v>
      </c>
      <c r="M4505" t="s">
        <v>8</v>
      </c>
      <c r="N4505" t="b">
        <v>0</v>
      </c>
      <c r="O4505">
        <v>0</v>
      </c>
      <c r="P4505">
        <v>1</v>
      </c>
      <c r="Q4505">
        <v>0</v>
      </c>
      <c r="R4505">
        <v>1</v>
      </c>
    </row>
    <row r="4506" spans="1:18" x14ac:dyDescent="0.25">
      <c r="A4506" t="s">
        <v>465</v>
      </c>
      <c r="B4506" t="s">
        <v>6</v>
      </c>
      <c r="C4506">
        <v>4</v>
      </c>
      <c r="D4506">
        <v>3</v>
      </c>
      <c r="E4506">
        <v>1</v>
      </c>
      <c r="F4506" s="15">
        <v>46174</v>
      </c>
      <c r="G4506" t="s">
        <v>559</v>
      </c>
      <c r="H4506">
        <v>4</v>
      </c>
      <c r="I4506">
        <v>2026</v>
      </c>
      <c r="J4506">
        <v>6</v>
      </c>
      <c r="K4506" t="s">
        <v>87</v>
      </c>
      <c r="L4506" t="s">
        <v>351</v>
      </c>
      <c r="M4506" t="s">
        <v>6</v>
      </c>
      <c r="N4506" t="b">
        <v>0</v>
      </c>
      <c r="O4506">
        <v>0</v>
      </c>
      <c r="P4506">
        <v>1</v>
      </c>
      <c r="Q4506">
        <v>0</v>
      </c>
      <c r="R4506">
        <v>0</v>
      </c>
    </row>
    <row r="4507" spans="1:18" x14ac:dyDescent="0.25">
      <c r="A4507" t="s">
        <v>465</v>
      </c>
      <c r="B4507" t="s">
        <v>6</v>
      </c>
      <c r="C4507">
        <v>4</v>
      </c>
      <c r="D4507">
        <v>3</v>
      </c>
      <c r="E4507">
        <v>1</v>
      </c>
      <c r="F4507" s="15">
        <v>46174</v>
      </c>
      <c r="G4507" t="s">
        <v>559</v>
      </c>
      <c r="H4507">
        <v>4</v>
      </c>
      <c r="I4507">
        <v>2026</v>
      </c>
      <c r="J4507">
        <v>6</v>
      </c>
      <c r="K4507" t="s">
        <v>87</v>
      </c>
      <c r="L4507" t="s">
        <v>17</v>
      </c>
      <c r="M4507" t="s">
        <v>6</v>
      </c>
      <c r="N4507" t="b">
        <v>0</v>
      </c>
      <c r="O4507">
        <v>0</v>
      </c>
      <c r="P4507">
        <v>1</v>
      </c>
      <c r="Q4507">
        <v>0</v>
      </c>
      <c r="R4507">
        <v>0</v>
      </c>
    </row>
    <row r="4508" spans="1:18" x14ac:dyDescent="0.25">
      <c r="A4508" t="s">
        <v>19</v>
      </c>
      <c r="B4508" t="s">
        <v>6</v>
      </c>
      <c r="C4508">
        <v>1</v>
      </c>
      <c r="D4508">
        <v>4</v>
      </c>
      <c r="E4508">
        <v>1</v>
      </c>
      <c r="F4508" s="15">
        <v>46174</v>
      </c>
      <c r="G4508" t="s">
        <v>560</v>
      </c>
      <c r="H4508">
        <v>3</v>
      </c>
      <c r="I4508">
        <v>2026</v>
      </c>
      <c r="J4508">
        <v>6</v>
      </c>
      <c r="K4508" t="s">
        <v>87</v>
      </c>
      <c r="L4508" t="s">
        <v>554</v>
      </c>
      <c r="M4508" t="s">
        <v>6</v>
      </c>
      <c r="N4508" t="b">
        <v>0</v>
      </c>
      <c r="O4508">
        <v>0</v>
      </c>
      <c r="P4508">
        <v>1</v>
      </c>
      <c r="Q4508">
        <v>0</v>
      </c>
      <c r="R4508">
        <v>0</v>
      </c>
    </row>
    <row r="4509" spans="1:18" x14ac:dyDescent="0.25">
      <c r="A4509" t="s">
        <v>19</v>
      </c>
      <c r="B4509" t="s">
        <v>6</v>
      </c>
      <c r="C4509">
        <v>1</v>
      </c>
      <c r="D4509">
        <v>4</v>
      </c>
      <c r="E4509">
        <v>1</v>
      </c>
      <c r="F4509" s="15">
        <v>46174</v>
      </c>
      <c r="G4509" t="s">
        <v>560</v>
      </c>
      <c r="H4509">
        <v>3</v>
      </c>
      <c r="I4509">
        <v>2026</v>
      </c>
      <c r="J4509">
        <v>6</v>
      </c>
      <c r="K4509" t="s">
        <v>87</v>
      </c>
      <c r="L4509" t="s">
        <v>326</v>
      </c>
      <c r="M4509" t="s">
        <v>8</v>
      </c>
      <c r="N4509" t="b">
        <v>0</v>
      </c>
      <c r="O4509">
        <v>0</v>
      </c>
      <c r="P4509">
        <v>1</v>
      </c>
      <c r="Q4509">
        <v>0</v>
      </c>
      <c r="R4509">
        <v>1</v>
      </c>
    </row>
    <row r="4510" spans="1:18" x14ac:dyDescent="0.25">
      <c r="A4510" t="s">
        <v>554</v>
      </c>
      <c r="B4510" t="s">
        <v>6</v>
      </c>
      <c r="C4510">
        <v>2</v>
      </c>
      <c r="D4510">
        <v>4</v>
      </c>
      <c r="E4510">
        <v>1</v>
      </c>
      <c r="F4510" s="15">
        <v>46174</v>
      </c>
      <c r="G4510" t="s">
        <v>560</v>
      </c>
      <c r="H4510">
        <v>3</v>
      </c>
      <c r="I4510">
        <v>2026</v>
      </c>
      <c r="J4510">
        <v>6</v>
      </c>
      <c r="K4510" t="s">
        <v>87</v>
      </c>
      <c r="L4510" t="s">
        <v>19</v>
      </c>
      <c r="M4510" t="s">
        <v>6</v>
      </c>
      <c r="N4510" t="b">
        <v>0</v>
      </c>
      <c r="O4510">
        <v>0</v>
      </c>
      <c r="P4510">
        <v>1</v>
      </c>
      <c r="Q4510">
        <v>0</v>
      </c>
      <c r="R4510">
        <v>0</v>
      </c>
    </row>
    <row r="4511" spans="1:18" x14ac:dyDescent="0.25">
      <c r="A4511" t="s">
        <v>554</v>
      </c>
      <c r="B4511" t="s">
        <v>6</v>
      </c>
      <c r="C4511">
        <v>2</v>
      </c>
      <c r="D4511">
        <v>4</v>
      </c>
      <c r="E4511">
        <v>1</v>
      </c>
      <c r="F4511" s="15">
        <v>46174</v>
      </c>
      <c r="G4511" t="s">
        <v>560</v>
      </c>
      <c r="H4511">
        <v>3</v>
      </c>
      <c r="I4511">
        <v>2026</v>
      </c>
      <c r="J4511">
        <v>6</v>
      </c>
      <c r="K4511" t="s">
        <v>87</v>
      </c>
      <c r="L4511" t="s">
        <v>326</v>
      </c>
      <c r="M4511" t="s">
        <v>8</v>
      </c>
      <c r="N4511" t="b">
        <v>0</v>
      </c>
      <c r="O4511">
        <v>0</v>
      </c>
      <c r="P4511">
        <v>1</v>
      </c>
      <c r="Q4511">
        <v>0</v>
      </c>
      <c r="R4511">
        <v>1</v>
      </c>
    </row>
    <row r="4512" spans="1:18" x14ac:dyDescent="0.25">
      <c r="A4512" t="s">
        <v>326</v>
      </c>
      <c r="B4512" t="s">
        <v>8</v>
      </c>
      <c r="C4512">
        <v>3</v>
      </c>
      <c r="D4512">
        <v>4</v>
      </c>
      <c r="E4512">
        <v>1</v>
      </c>
      <c r="F4512" s="15">
        <v>46174</v>
      </c>
      <c r="G4512" t="s">
        <v>560</v>
      </c>
      <c r="H4512">
        <v>3</v>
      </c>
      <c r="I4512">
        <v>2026</v>
      </c>
      <c r="J4512">
        <v>6</v>
      </c>
      <c r="K4512" t="s">
        <v>87</v>
      </c>
      <c r="L4512" t="s">
        <v>19</v>
      </c>
      <c r="M4512" t="s">
        <v>6</v>
      </c>
      <c r="N4512" t="b">
        <v>0</v>
      </c>
      <c r="O4512">
        <v>1</v>
      </c>
      <c r="P4512">
        <v>0</v>
      </c>
      <c r="Q4512">
        <v>0</v>
      </c>
      <c r="R4512">
        <v>0</v>
      </c>
    </row>
    <row r="4513" spans="1:18" x14ac:dyDescent="0.25">
      <c r="A4513" t="s">
        <v>326</v>
      </c>
      <c r="B4513" t="s">
        <v>8</v>
      </c>
      <c r="C4513">
        <v>3</v>
      </c>
      <c r="D4513">
        <v>4</v>
      </c>
      <c r="E4513">
        <v>1</v>
      </c>
      <c r="F4513" s="15">
        <v>46174</v>
      </c>
      <c r="G4513" t="s">
        <v>560</v>
      </c>
      <c r="H4513">
        <v>3</v>
      </c>
      <c r="I4513">
        <v>2026</v>
      </c>
      <c r="J4513">
        <v>6</v>
      </c>
      <c r="K4513" t="s">
        <v>87</v>
      </c>
      <c r="L4513" t="s">
        <v>554</v>
      </c>
      <c r="M4513" t="s">
        <v>6</v>
      </c>
      <c r="N4513" t="b">
        <v>0</v>
      </c>
      <c r="O4513">
        <v>1</v>
      </c>
      <c r="P4513">
        <v>0</v>
      </c>
      <c r="Q4513">
        <v>0</v>
      </c>
      <c r="R4513">
        <v>0</v>
      </c>
    </row>
    <row r="4514" spans="1:18" x14ac:dyDescent="0.25">
      <c r="A4514" t="s">
        <v>555</v>
      </c>
      <c r="B4514" t="s">
        <v>6</v>
      </c>
      <c r="C4514">
        <v>1</v>
      </c>
      <c r="D4514">
        <v>5</v>
      </c>
      <c r="E4514">
        <v>1</v>
      </c>
      <c r="F4514" s="15">
        <v>46174</v>
      </c>
      <c r="G4514" t="s">
        <v>561</v>
      </c>
      <c r="H4514">
        <v>3</v>
      </c>
      <c r="I4514">
        <v>2026</v>
      </c>
      <c r="J4514">
        <v>6</v>
      </c>
      <c r="K4514" t="s">
        <v>87</v>
      </c>
      <c r="L4514" t="s">
        <v>405</v>
      </c>
      <c r="M4514" t="s">
        <v>8</v>
      </c>
      <c r="N4514" t="b">
        <v>0</v>
      </c>
      <c r="O4514">
        <v>0</v>
      </c>
      <c r="P4514">
        <v>1</v>
      </c>
      <c r="Q4514">
        <v>0</v>
      </c>
      <c r="R4514">
        <v>1</v>
      </c>
    </row>
    <row r="4515" spans="1:18" x14ac:dyDescent="0.25">
      <c r="A4515" t="s">
        <v>555</v>
      </c>
      <c r="B4515" t="s">
        <v>6</v>
      </c>
      <c r="C4515">
        <v>1</v>
      </c>
      <c r="D4515">
        <v>5</v>
      </c>
      <c r="E4515">
        <v>1</v>
      </c>
      <c r="F4515" s="15">
        <v>46174</v>
      </c>
      <c r="G4515" t="s">
        <v>561</v>
      </c>
      <c r="H4515">
        <v>3</v>
      </c>
      <c r="I4515">
        <v>2026</v>
      </c>
      <c r="J4515">
        <v>6</v>
      </c>
      <c r="K4515" t="s">
        <v>87</v>
      </c>
      <c r="L4515" t="s">
        <v>13</v>
      </c>
      <c r="M4515" t="s">
        <v>6</v>
      </c>
      <c r="N4515" t="b">
        <v>0</v>
      </c>
      <c r="O4515">
        <v>0</v>
      </c>
      <c r="P4515">
        <v>1</v>
      </c>
      <c r="Q4515">
        <v>0</v>
      </c>
      <c r="R4515">
        <v>0</v>
      </c>
    </row>
    <row r="4516" spans="1:18" x14ac:dyDescent="0.25">
      <c r="A4516" t="s">
        <v>405</v>
      </c>
      <c r="B4516" t="s">
        <v>8</v>
      </c>
      <c r="C4516">
        <v>2</v>
      </c>
      <c r="D4516">
        <v>5</v>
      </c>
      <c r="E4516">
        <v>1</v>
      </c>
      <c r="F4516" s="15">
        <v>46174</v>
      </c>
      <c r="G4516" t="s">
        <v>561</v>
      </c>
      <c r="H4516">
        <v>3</v>
      </c>
      <c r="I4516">
        <v>2026</v>
      </c>
      <c r="J4516">
        <v>6</v>
      </c>
      <c r="K4516" t="s">
        <v>87</v>
      </c>
      <c r="L4516" t="s">
        <v>555</v>
      </c>
      <c r="M4516" t="s">
        <v>6</v>
      </c>
      <c r="N4516" t="b">
        <v>0</v>
      </c>
      <c r="O4516">
        <v>1</v>
      </c>
      <c r="P4516">
        <v>0</v>
      </c>
      <c r="Q4516">
        <v>0</v>
      </c>
      <c r="R4516">
        <v>0</v>
      </c>
    </row>
    <row r="4517" spans="1:18" x14ac:dyDescent="0.25">
      <c r="A4517" t="s">
        <v>405</v>
      </c>
      <c r="B4517" t="s">
        <v>8</v>
      </c>
      <c r="C4517">
        <v>2</v>
      </c>
      <c r="D4517">
        <v>5</v>
      </c>
      <c r="E4517">
        <v>1</v>
      </c>
      <c r="F4517" s="15">
        <v>46174</v>
      </c>
      <c r="G4517" t="s">
        <v>561</v>
      </c>
      <c r="H4517">
        <v>3</v>
      </c>
      <c r="I4517">
        <v>2026</v>
      </c>
      <c r="J4517">
        <v>6</v>
      </c>
      <c r="K4517" t="s">
        <v>87</v>
      </c>
      <c r="L4517" t="s">
        <v>13</v>
      </c>
      <c r="M4517" t="s">
        <v>6</v>
      </c>
      <c r="N4517" t="b">
        <v>0</v>
      </c>
      <c r="O4517">
        <v>1</v>
      </c>
      <c r="P4517">
        <v>0</v>
      </c>
      <c r="Q4517">
        <v>0</v>
      </c>
      <c r="R4517">
        <v>0</v>
      </c>
    </row>
    <row r="4518" spans="1:18" x14ac:dyDescent="0.25">
      <c r="A4518" t="s">
        <v>13</v>
      </c>
      <c r="B4518" t="s">
        <v>6</v>
      </c>
      <c r="C4518">
        <v>3</v>
      </c>
      <c r="D4518">
        <v>5</v>
      </c>
      <c r="E4518">
        <v>1</v>
      </c>
      <c r="F4518" s="15">
        <v>46174</v>
      </c>
      <c r="G4518" t="s">
        <v>561</v>
      </c>
      <c r="H4518">
        <v>3</v>
      </c>
      <c r="I4518">
        <v>2026</v>
      </c>
      <c r="J4518">
        <v>6</v>
      </c>
      <c r="K4518" t="s">
        <v>87</v>
      </c>
      <c r="L4518" t="s">
        <v>555</v>
      </c>
      <c r="M4518" t="s">
        <v>6</v>
      </c>
      <c r="N4518" t="b">
        <v>0</v>
      </c>
      <c r="O4518">
        <v>0</v>
      </c>
      <c r="P4518">
        <v>1</v>
      </c>
      <c r="Q4518">
        <v>0</v>
      </c>
      <c r="R4518">
        <v>0</v>
      </c>
    </row>
    <row r="4519" spans="1:18" x14ac:dyDescent="0.25">
      <c r="A4519" t="s">
        <v>13</v>
      </c>
      <c r="B4519" t="s">
        <v>6</v>
      </c>
      <c r="C4519">
        <v>3</v>
      </c>
      <c r="D4519">
        <v>5</v>
      </c>
      <c r="E4519">
        <v>1</v>
      </c>
      <c r="F4519" s="15">
        <v>46174</v>
      </c>
      <c r="G4519" t="s">
        <v>561</v>
      </c>
      <c r="H4519">
        <v>3</v>
      </c>
      <c r="I4519">
        <v>2026</v>
      </c>
      <c r="J4519">
        <v>6</v>
      </c>
      <c r="K4519" t="s">
        <v>87</v>
      </c>
      <c r="L4519" t="s">
        <v>405</v>
      </c>
      <c r="M4519" t="s">
        <v>8</v>
      </c>
      <c r="N4519" t="b">
        <v>0</v>
      </c>
      <c r="O4519">
        <v>0</v>
      </c>
      <c r="P4519">
        <v>1</v>
      </c>
      <c r="Q4519">
        <v>0</v>
      </c>
      <c r="R4519">
        <v>1</v>
      </c>
    </row>
    <row r="4520" spans="1:18" x14ac:dyDescent="0.25">
      <c r="A4520" t="s">
        <v>556</v>
      </c>
      <c r="B4520" t="s">
        <v>8</v>
      </c>
      <c r="C4520">
        <v>1</v>
      </c>
      <c r="D4520">
        <v>6</v>
      </c>
      <c r="E4520">
        <v>1</v>
      </c>
      <c r="F4520" s="15">
        <v>46174</v>
      </c>
      <c r="G4520" t="s">
        <v>562</v>
      </c>
      <c r="H4520">
        <v>3</v>
      </c>
      <c r="I4520">
        <v>2026</v>
      </c>
      <c r="J4520">
        <v>6</v>
      </c>
      <c r="K4520" t="s">
        <v>87</v>
      </c>
      <c r="L4520" t="s">
        <v>52</v>
      </c>
      <c r="M4520" t="s">
        <v>6</v>
      </c>
      <c r="N4520" t="b">
        <v>0</v>
      </c>
      <c r="O4520">
        <v>1</v>
      </c>
      <c r="P4520">
        <v>0</v>
      </c>
      <c r="Q4520">
        <v>0</v>
      </c>
      <c r="R4520">
        <v>0</v>
      </c>
    </row>
    <row r="4521" spans="1:18" x14ac:dyDescent="0.25">
      <c r="A4521" t="s">
        <v>556</v>
      </c>
      <c r="B4521" t="s">
        <v>8</v>
      </c>
      <c r="C4521">
        <v>1</v>
      </c>
      <c r="D4521">
        <v>6</v>
      </c>
      <c r="E4521">
        <v>1</v>
      </c>
      <c r="F4521" s="15">
        <v>46174</v>
      </c>
      <c r="G4521" t="s">
        <v>562</v>
      </c>
      <c r="H4521">
        <v>3</v>
      </c>
      <c r="I4521">
        <v>2026</v>
      </c>
      <c r="J4521">
        <v>6</v>
      </c>
      <c r="K4521" t="s">
        <v>87</v>
      </c>
      <c r="L4521" t="s">
        <v>363</v>
      </c>
      <c r="M4521" t="s">
        <v>6</v>
      </c>
      <c r="N4521" t="b">
        <v>0</v>
      </c>
      <c r="O4521">
        <v>1</v>
      </c>
      <c r="P4521">
        <v>0</v>
      </c>
      <c r="Q4521">
        <v>0</v>
      </c>
      <c r="R4521">
        <v>0</v>
      </c>
    </row>
    <row r="4522" spans="1:18" x14ac:dyDescent="0.25">
      <c r="A4522" t="s">
        <v>52</v>
      </c>
      <c r="B4522" t="s">
        <v>6</v>
      </c>
      <c r="C4522">
        <v>2</v>
      </c>
      <c r="D4522">
        <v>6</v>
      </c>
      <c r="E4522">
        <v>1</v>
      </c>
      <c r="F4522" s="15">
        <v>46174</v>
      </c>
      <c r="G4522" t="s">
        <v>562</v>
      </c>
      <c r="H4522">
        <v>3</v>
      </c>
      <c r="I4522">
        <v>2026</v>
      </c>
      <c r="J4522">
        <v>6</v>
      </c>
      <c r="K4522" t="s">
        <v>87</v>
      </c>
      <c r="L4522" t="s">
        <v>556</v>
      </c>
      <c r="M4522" t="s">
        <v>8</v>
      </c>
      <c r="N4522" t="b">
        <v>0</v>
      </c>
      <c r="O4522">
        <v>0</v>
      </c>
      <c r="P4522">
        <v>1</v>
      </c>
      <c r="Q4522">
        <v>0</v>
      </c>
      <c r="R4522">
        <v>1</v>
      </c>
    </row>
    <row r="4523" spans="1:18" x14ac:dyDescent="0.25">
      <c r="A4523" t="s">
        <v>52</v>
      </c>
      <c r="B4523" t="s">
        <v>6</v>
      </c>
      <c r="C4523">
        <v>2</v>
      </c>
      <c r="D4523">
        <v>6</v>
      </c>
      <c r="E4523">
        <v>1</v>
      </c>
      <c r="F4523" s="15">
        <v>46174</v>
      </c>
      <c r="G4523" t="s">
        <v>562</v>
      </c>
      <c r="H4523">
        <v>3</v>
      </c>
      <c r="I4523">
        <v>2026</v>
      </c>
      <c r="J4523">
        <v>6</v>
      </c>
      <c r="K4523" t="s">
        <v>87</v>
      </c>
      <c r="L4523" t="s">
        <v>363</v>
      </c>
      <c r="M4523" t="s">
        <v>6</v>
      </c>
      <c r="N4523" t="b">
        <v>0</v>
      </c>
      <c r="O4523">
        <v>0</v>
      </c>
      <c r="P4523">
        <v>1</v>
      </c>
      <c r="Q4523">
        <v>0</v>
      </c>
      <c r="R4523">
        <v>0</v>
      </c>
    </row>
    <row r="4524" spans="1:18" x14ac:dyDescent="0.25">
      <c r="A4524" t="s">
        <v>363</v>
      </c>
      <c r="B4524" t="s">
        <v>6</v>
      </c>
      <c r="C4524">
        <v>3</v>
      </c>
      <c r="D4524">
        <v>6</v>
      </c>
      <c r="E4524">
        <v>1</v>
      </c>
      <c r="F4524" s="15">
        <v>46174</v>
      </c>
      <c r="G4524" t="s">
        <v>562</v>
      </c>
      <c r="H4524">
        <v>3</v>
      </c>
      <c r="I4524">
        <v>2026</v>
      </c>
      <c r="J4524">
        <v>6</v>
      </c>
      <c r="K4524" t="s">
        <v>87</v>
      </c>
      <c r="L4524" t="s">
        <v>556</v>
      </c>
      <c r="M4524" t="s">
        <v>8</v>
      </c>
      <c r="N4524" t="b">
        <v>0</v>
      </c>
      <c r="O4524">
        <v>0</v>
      </c>
      <c r="P4524">
        <v>1</v>
      </c>
      <c r="Q4524">
        <v>0</v>
      </c>
      <c r="R4524">
        <v>1</v>
      </c>
    </row>
    <row r="4525" spans="1:18" x14ac:dyDescent="0.25">
      <c r="A4525" t="s">
        <v>363</v>
      </c>
      <c r="B4525" t="s">
        <v>6</v>
      </c>
      <c r="C4525">
        <v>3</v>
      </c>
      <c r="D4525">
        <v>6</v>
      </c>
      <c r="E4525">
        <v>1</v>
      </c>
      <c r="F4525" s="15">
        <v>46174</v>
      </c>
      <c r="G4525" t="s">
        <v>562</v>
      </c>
      <c r="H4525">
        <v>3</v>
      </c>
      <c r="I4525">
        <v>2026</v>
      </c>
      <c r="J4525">
        <v>6</v>
      </c>
      <c r="K4525" t="s">
        <v>87</v>
      </c>
      <c r="L4525" t="s">
        <v>52</v>
      </c>
      <c r="M4525" t="s">
        <v>6</v>
      </c>
      <c r="N4525" t="b">
        <v>0</v>
      </c>
      <c r="O4525">
        <v>0</v>
      </c>
      <c r="P4525">
        <v>1</v>
      </c>
      <c r="Q4525">
        <v>0</v>
      </c>
      <c r="R4525">
        <v>0</v>
      </c>
    </row>
    <row r="4526" spans="1:18" x14ac:dyDescent="0.25">
      <c r="A4526" t="s">
        <v>519</v>
      </c>
      <c r="B4526" t="s">
        <v>8</v>
      </c>
      <c r="C4526">
        <v>1</v>
      </c>
      <c r="D4526">
        <v>1</v>
      </c>
      <c r="E4526">
        <v>2</v>
      </c>
      <c r="F4526" s="15">
        <v>46174</v>
      </c>
      <c r="G4526" t="s">
        <v>563</v>
      </c>
      <c r="H4526">
        <v>3</v>
      </c>
      <c r="I4526">
        <v>2026</v>
      </c>
      <c r="J4526">
        <v>6</v>
      </c>
      <c r="K4526" t="s">
        <v>87</v>
      </c>
      <c r="L4526" t="s">
        <v>20</v>
      </c>
      <c r="M4526" t="s">
        <v>6</v>
      </c>
      <c r="N4526" t="b">
        <v>0</v>
      </c>
      <c r="O4526">
        <v>1</v>
      </c>
      <c r="P4526">
        <v>0</v>
      </c>
      <c r="Q4526">
        <v>0</v>
      </c>
      <c r="R4526">
        <v>0</v>
      </c>
    </row>
    <row r="4527" spans="1:18" x14ac:dyDescent="0.25">
      <c r="A4527" t="s">
        <v>519</v>
      </c>
      <c r="B4527" t="s">
        <v>8</v>
      </c>
      <c r="C4527">
        <v>1</v>
      </c>
      <c r="D4527">
        <v>1</v>
      </c>
      <c r="E4527">
        <v>2</v>
      </c>
      <c r="F4527" s="15">
        <v>46174</v>
      </c>
      <c r="G4527" t="s">
        <v>563</v>
      </c>
      <c r="H4527">
        <v>3</v>
      </c>
      <c r="I4527">
        <v>2026</v>
      </c>
      <c r="J4527">
        <v>6</v>
      </c>
      <c r="K4527" t="s">
        <v>87</v>
      </c>
      <c r="L4527" t="s">
        <v>9</v>
      </c>
      <c r="M4527" t="s">
        <v>6</v>
      </c>
      <c r="N4527" t="b">
        <v>0</v>
      </c>
      <c r="O4527">
        <v>1</v>
      </c>
      <c r="P4527">
        <v>0</v>
      </c>
      <c r="Q4527">
        <v>0</v>
      </c>
      <c r="R4527">
        <v>0</v>
      </c>
    </row>
    <row r="4528" spans="1:18" x14ac:dyDescent="0.25">
      <c r="A4528" t="s">
        <v>20</v>
      </c>
      <c r="B4528" t="s">
        <v>6</v>
      </c>
      <c r="C4528">
        <v>2</v>
      </c>
      <c r="D4528">
        <v>1</v>
      </c>
      <c r="E4528">
        <v>2</v>
      </c>
      <c r="F4528" s="15">
        <v>46174</v>
      </c>
      <c r="G4528" t="s">
        <v>563</v>
      </c>
      <c r="H4528">
        <v>3</v>
      </c>
      <c r="I4528">
        <v>2026</v>
      </c>
      <c r="J4528">
        <v>6</v>
      </c>
      <c r="K4528" t="s">
        <v>87</v>
      </c>
      <c r="L4528" t="s">
        <v>519</v>
      </c>
      <c r="M4528" t="s">
        <v>8</v>
      </c>
      <c r="N4528" t="b">
        <v>0</v>
      </c>
      <c r="O4528">
        <v>0</v>
      </c>
      <c r="P4528">
        <v>1</v>
      </c>
      <c r="Q4528">
        <v>0</v>
      </c>
      <c r="R4528">
        <v>1</v>
      </c>
    </row>
    <row r="4529" spans="1:18" x14ac:dyDescent="0.25">
      <c r="A4529" t="s">
        <v>20</v>
      </c>
      <c r="B4529" t="s">
        <v>6</v>
      </c>
      <c r="C4529">
        <v>2</v>
      </c>
      <c r="D4529">
        <v>1</v>
      </c>
      <c r="E4529">
        <v>2</v>
      </c>
      <c r="F4529" s="15">
        <v>46174</v>
      </c>
      <c r="G4529" t="s">
        <v>563</v>
      </c>
      <c r="H4529">
        <v>3</v>
      </c>
      <c r="I4529">
        <v>2026</v>
      </c>
      <c r="J4529">
        <v>6</v>
      </c>
      <c r="K4529" t="s">
        <v>87</v>
      </c>
      <c r="L4529" t="s">
        <v>9</v>
      </c>
      <c r="M4529" t="s">
        <v>6</v>
      </c>
      <c r="N4529" t="b">
        <v>0</v>
      </c>
      <c r="O4529">
        <v>0</v>
      </c>
      <c r="P4529">
        <v>1</v>
      </c>
      <c r="Q4529">
        <v>0</v>
      </c>
      <c r="R4529">
        <v>0</v>
      </c>
    </row>
    <row r="4530" spans="1:18" x14ac:dyDescent="0.25">
      <c r="A4530" t="s">
        <v>9</v>
      </c>
      <c r="B4530" t="s">
        <v>6</v>
      </c>
      <c r="C4530">
        <v>3</v>
      </c>
      <c r="D4530">
        <v>1</v>
      </c>
      <c r="E4530">
        <v>2</v>
      </c>
      <c r="F4530" s="15">
        <v>46174</v>
      </c>
      <c r="G4530" t="s">
        <v>563</v>
      </c>
      <c r="H4530">
        <v>3</v>
      </c>
      <c r="I4530">
        <v>2026</v>
      </c>
      <c r="J4530">
        <v>6</v>
      </c>
      <c r="K4530" t="s">
        <v>87</v>
      </c>
      <c r="L4530" t="s">
        <v>519</v>
      </c>
      <c r="M4530" t="s">
        <v>8</v>
      </c>
      <c r="N4530" t="b">
        <v>0</v>
      </c>
      <c r="O4530">
        <v>0</v>
      </c>
      <c r="P4530">
        <v>1</v>
      </c>
      <c r="Q4530">
        <v>0</v>
      </c>
      <c r="R4530">
        <v>1</v>
      </c>
    </row>
    <row r="4531" spans="1:18" x14ac:dyDescent="0.25">
      <c r="A4531" t="s">
        <v>9</v>
      </c>
      <c r="B4531" t="s">
        <v>6</v>
      </c>
      <c r="C4531">
        <v>3</v>
      </c>
      <c r="D4531">
        <v>1</v>
      </c>
      <c r="E4531">
        <v>2</v>
      </c>
      <c r="F4531" s="15">
        <v>46174</v>
      </c>
      <c r="G4531" t="s">
        <v>563</v>
      </c>
      <c r="H4531">
        <v>3</v>
      </c>
      <c r="I4531">
        <v>2026</v>
      </c>
      <c r="J4531">
        <v>6</v>
      </c>
      <c r="K4531" t="s">
        <v>87</v>
      </c>
      <c r="L4531" t="s">
        <v>20</v>
      </c>
      <c r="M4531" t="s">
        <v>6</v>
      </c>
      <c r="N4531" t="b">
        <v>0</v>
      </c>
      <c r="O4531">
        <v>0</v>
      </c>
      <c r="P4531">
        <v>1</v>
      </c>
      <c r="Q4531">
        <v>0</v>
      </c>
      <c r="R4531">
        <v>0</v>
      </c>
    </row>
    <row r="4532" spans="1:18" x14ac:dyDescent="0.25">
      <c r="A4532" t="s">
        <v>465</v>
      </c>
      <c r="B4532" t="s">
        <v>63</v>
      </c>
      <c r="C4532">
        <v>1</v>
      </c>
      <c r="D4532">
        <v>2</v>
      </c>
      <c r="E4532">
        <v>2</v>
      </c>
      <c r="F4532" s="15">
        <v>46174</v>
      </c>
      <c r="G4532" t="s">
        <v>564</v>
      </c>
      <c r="H4532">
        <v>3</v>
      </c>
      <c r="I4532">
        <v>2026</v>
      </c>
      <c r="J4532">
        <v>6</v>
      </c>
      <c r="K4532" t="s">
        <v>87</v>
      </c>
      <c r="L4532" t="s">
        <v>17</v>
      </c>
      <c r="M4532" t="s">
        <v>63</v>
      </c>
      <c r="N4532" t="b">
        <v>0</v>
      </c>
      <c r="O4532">
        <v>0</v>
      </c>
      <c r="P4532">
        <v>0</v>
      </c>
      <c r="Q4532">
        <v>1</v>
      </c>
      <c r="R4532">
        <v>0</v>
      </c>
    </row>
    <row r="4533" spans="1:18" x14ac:dyDescent="0.25">
      <c r="A4533" t="s">
        <v>465</v>
      </c>
      <c r="B4533" t="s">
        <v>63</v>
      </c>
      <c r="C4533">
        <v>1</v>
      </c>
      <c r="D4533">
        <v>2</v>
      </c>
      <c r="E4533">
        <v>2</v>
      </c>
      <c r="F4533" s="15">
        <v>46174</v>
      </c>
      <c r="G4533" t="s">
        <v>564</v>
      </c>
      <c r="H4533">
        <v>3</v>
      </c>
      <c r="I4533">
        <v>2026</v>
      </c>
      <c r="J4533">
        <v>6</v>
      </c>
      <c r="K4533" t="s">
        <v>87</v>
      </c>
      <c r="L4533" t="s">
        <v>51</v>
      </c>
      <c r="M4533" t="s">
        <v>63</v>
      </c>
      <c r="N4533" t="b">
        <v>0</v>
      </c>
      <c r="O4533">
        <v>0</v>
      </c>
      <c r="P4533">
        <v>0</v>
      </c>
      <c r="Q4533">
        <v>1</v>
      </c>
      <c r="R4533">
        <v>0</v>
      </c>
    </row>
    <row r="4534" spans="1:18" x14ac:dyDescent="0.25">
      <c r="A4534" t="s">
        <v>17</v>
      </c>
      <c r="B4534" t="s">
        <v>63</v>
      </c>
      <c r="C4534">
        <v>2</v>
      </c>
      <c r="D4534">
        <v>2</v>
      </c>
      <c r="E4534">
        <v>2</v>
      </c>
      <c r="F4534" s="15">
        <v>46174</v>
      </c>
      <c r="G4534" t="s">
        <v>564</v>
      </c>
      <c r="H4534">
        <v>3</v>
      </c>
      <c r="I4534">
        <v>2026</v>
      </c>
      <c r="J4534">
        <v>6</v>
      </c>
      <c r="K4534" t="s">
        <v>87</v>
      </c>
      <c r="L4534" t="s">
        <v>465</v>
      </c>
      <c r="M4534" t="s">
        <v>63</v>
      </c>
      <c r="N4534" t="b">
        <v>0</v>
      </c>
      <c r="O4534">
        <v>0</v>
      </c>
      <c r="P4534">
        <v>0</v>
      </c>
      <c r="Q4534">
        <v>1</v>
      </c>
      <c r="R4534">
        <v>0</v>
      </c>
    </row>
    <row r="4535" spans="1:18" x14ac:dyDescent="0.25">
      <c r="A4535" t="s">
        <v>17</v>
      </c>
      <c r="B4535" t="s">
        <v>63</v>
      </c>
      <c r="C4535">
        <v>2</v>
      </c>
      <c r="D4535">
        <v>2</v>
      </c>
      <c r="E4535">
        <v>2</v>
      </c>
      <c r="F4535" s="15">
        <v>46174</v>
      </c>
      <c r="G4535" t="s">
        <v>564</v>
      </c>
      <c r="H4535">
        <v>3</v>
      </c>
      <c r="I4535">
        <v>2026</v>
      </c>
      <c r="J4535">
        <v>6</v>
      </c>
      <c r="K4535" t="s">
        <v>87</v>
      </c>
      <c r="L4535" t="s">
        <v>51</v>
      </c>
      <c r="M4535" t="s">
        <v>63</v>
      </c>
      <c r="N4535" t="b">
        <v>0</v>
      </c>
      <c r="O4535">
        <v>0</v>
      </c>
      <c r="P4535">
        <v>0</v>
      </c>
      <c r="Q4535">
        <v>1</v>
      </c>
      <c r="R4535">
        <v>0</v>
      </c>
    </row>
    <row r="4536" spans="1:18" x14ac:dyDescent="0.25">
      <c r="A4536" t="s">
        <v>51</v>
      </c>
      <c r="B4536" t="s">
        <v>63</v>
      </c>
      <c r="C4536">
        <v>3</v>
      </c>
      <c r="D4536">
        <v>2</v>
      </c>
      <c r="E4536">
        <v>2</v>
      </c>
      <c r="F4536" s="15">
        <v>46174</v>
      </c>
      <c r="G4536" t="s">
        <v>564</v>
      </c>
      <c r="H4536">
        <v>3</v>
      </c>
      <c r="I4536">
        <v>2026</v>
      </c>
      <c r="J4536">
        <v>6</v>
      </c>
      <c r="K4536" t="s">
        <v>87</v>
      </c>
      <c r="L4536" t="s">
        <v>465</v>
      </c>
      <c r="M4536" t="s">
        <v>63</v>
      </c>
      <c r="N4536" t="b">
        <v>0</v>
      </c>
      <c r="O4536">
        <v>0</v>
      </c>
      <c r="P4536">
        <v>0</v>
      </c>
      <c r="Q4536">
        <v>1</v>
      </c>
      <c r="R4536">
        <v>0</v>
      </c>
    </row>
    <row r="4537" spans="1:18" x14ac:dyDescent="0.25">
      <c r="A4537" t="s">
        <v>51</v>
      </c>
      <c r="B4537" t="s">
        <v>63</v>
      </c>
      <c r="C4537">
        <v>3</v>
      </c>
      <c r="D4537">
        <v>2</v>
      </c>
      <c r="E4537">
        <v>2</v>
      </c>
      <c r="F4537" s="15">
        <v>46174</v>
      </c>
      <c r="G4537" t="s">
        <v>564</v>
      </c>
      <c r="H4537">
        <v>3</v>
      </c>
      <c r="I4537">
        <v>2026</v>
      </c>
      <c r="J4537">
        <v>6</v>
      </c>
      <c r="K4537" t="s">
        <v>87</v>
      </c>
      <c r="L4537" t="s">
        <v>17</v>
      </c>
      <c r="M4537" t="s">
        <v>63</v>
      </c>
      <c r="N4537" t="b">
        <v>0</v>
      </c>
      <c r="O4537">
        <v>0</v>
      </c>
      <c r="P4537">
        <v>0</v>
      </c>
      <c r="Q4537">
        <v>1</v>
      </c>
      <c r="R4537">
        <v>0</v>
      </c>
    </row>
    <row r="4538" spans="1:18" x14ac:dyDescent="0.25">
      <c r="A4538" t="s">
        <v>7</v>
      </c>
      <c r="B4538" t="s">
        <v>6</v>
      </c>
      <c r="C4538">
        <v>1</v>
      </c>
      <c r="D4538">
        <v>3</v>
      </c>
      <c r="E4538">
        <v>2</v>
      </c>
      <c r="F4538" s="15">
        <v>46174</v>
      </c>
      <c r="G4538" t="s">
        <v>565</v>
      </c>
      <c r="H4538">
        <v>3</v>
      </c>
      <c r="I4538">
        <v>2026</v>
      </c>
      <c r="J4538">
        <v>6</v>
      </c>
      <c r="K4538" t="s">
        <v>87</v>
      </c>
      <c r="L4538" t="s">
        <v>352</v>
      </c>
      <c r="M4538" t="s">
        <v>8</v>
      </c>
      <c r="N4538" t="b">
        <v>0</v>
      </c>
      <c r="O4538">
        <v>0</v>
      </c>
      <c r="P4538">
        <v>1</v>
      </c>
      <c r="Q4538">
        <v>0</v>
      </c>
      <c r="R4538">
        <v>1</v>
      </c>
    </row>
    <row r="4539" spans="1:18" x14ac:dyDescent="0.25">
      <c r="A4539" t="s">
        <v>7</v>
      </c>
      <c r="B4539" t="s">
        <v>6</v>
      </c>
      <c r="C4539">
        <v>1</v>
      </c>
      <c r="D4539">
        <v>3</v>
      </c>
      <c r="E4539">
        <v>2</v>
      </c>
      <c r="F4539" s="15">
        <v>46174</v>
      </c>
      <c r="G4539" t="s">
        <v>565</v>
      </c>
      <c r="H4539">
        <v>3</v>
      </c>
      <c r="I4539">
        <v>2026</v>
      </c>
      <c r="J4539">
        <v>6</v>
      </c>
      <c r="K4539" t="s">
        <v>87</v>
      </c>
      <c r="L4539" t="s">
        <v>351</v>
      </c>
      <c r="M4539" t="s">
        <v>6</v>
      </c>
      <c r="N4539" t="b">
        <v>0</v>
      </c>
      <c r="O4539">
        <v>0</v>
      </c>
      <c r="P4539">
        <v>1</v>
      </c>
      <c r="Q4539">
        <v>0</v>
      </c>
      <c r="R4539">
        <v>0</v>
      </c>
    </row>
    <row r="4540" spans="1:18" x14ac:dyDescent="0.25">
      <c r="A4540" t="s">
        <v>352</v>
      </c>
      <c r="B4540" t="s">
        <v>8</v>
      </c>
      <c r="C4540">
        <v>2</v>
      </c>
      <c r="D4540">
        <v>3</v>
      </c>
      <c r="E4540">
        <v>2</v>
      </c>
      <c r="F4540" s="15">
        <v>46174</v>
      </c>
      <c r="G4540" t="s">
        <v>565</v>
      </c>
      <c r="H4540">
        <v>3</v>
      </c>
      <c r="I4540">
        <v>2026</v>
      </c>
      <c r="J4540">
        <v>6</v>
      </c>
      <c r="K4540" t="s">
        <v>87</v>
      </c>
      <c r="L4540" t="s">
        <v>7</v>
      </c>
      <c r="M4540" t="s">
        <v>6</v>
      </c>
      <c r="N4540" t="b">
        <v>0</v>
      </c>
      <c r="O4540">
        <v>1</v>
      </c>
      <c r="P4540">
        <v>0</v>
      </c>
      <c r="Q4540">
        <v>0</v>
      </c>
      <c r="R4540">
        <v>0</v>
      </c>
    </row>
    <row r="4541" spans="1:18" x14ac:dyDescent="0.25">
      <c r="A4541" t="s">
        <v>352</v>
      </c>
      <c r="B4541" t="s">
        <v>8</v>
      </c>
      <c r="C4541">
        <v>2</v>
      </c>
      <c r="D4541">
        <v>3</v>
      </c>
      <c r="E4541">
        <v>2</v>
      </c>
      <c r="F4541" s="15">
        <v>46174</v>
      </c>
      <c r="G4541" t="s">
        <v>565</v>
      </c>
      <c r="H4541">
        <v>3</v>
      </c>
      <c r="I4541">
        <v>2026</v>
      </c>
      <c r="J4541">
        <v>6</v>
      </c>
      <c r="K4541" t="s">
        <v>87</v>
      </c>
      <c r="L4541" t="s">
        <v>351</v>
      </c>
      <c r="M4541" t="s">
        <v>6</v>
      </c>
      <c r="N4541" t="b">
        <v>0</v>
      </c>
      <c r="O4541">
        <v>1</v>
      </c>
      <c r="P4541">
        <v>0</v>
      </c>
      <c r="Q4541">
        <v>0</v>
      </c>
      <c r="R4541">
        <v>0</v>
      </c>
    </row>
    <row r="4542" spans="1:18" x14ac:dyDescent="0.25">
      <c r="A4542" t="s">
        <v>351</v>
      </c>
      <c r="B4542" t="s">
        <v>6</v>
      </c>
      <c r="C4542">
        <v>3</v>
      </c>
      <c r="D4542">
        <v>3</v>
      </c>
      <c r="E4542">
        <v>2</v>
      </c>
      <c r="F4542" s="15">
        <v>46174</v>
      </c>
      <c r="G4542" t="s">
        <v>565</v>
      </c>
      <c r="H4542">
        <v>3</v>
      </c>
      <c r="I4542">
        <v>2026</v>
      </c>
      <c r="J4542">
        <v>6</v>
      </c>
      <c r="K4542" t="s">
        <v>87</v>
      </c>
      <c r="L4542" t="s">
        <v>7</v>
      </c>
      <c r="M4542" t="s">
        <v>6</v>
      </c>
      <c r="N4542" t="b">
        <v>0</v>
      </c>
      <c r="O4542">
        <v>0</v>
      </c>
      <c r="P4542">
        <v>1</v>
      </c>
      <c r="Q4542">
        <v>0</v>
      </c>
      <c r="R4542">
        <v>0</v>
      </c>
    </row>
    <row r="4543" spans="1:18" x14ac:dyDescent="0.25">
      <c r="A4543" t="s">
        <v>351</v>
      </c>
      <c r="B4543" t="s">
        <v>6</v>
      </c>
      <c r="C4543">
        <v>3</v>
      </c>
      <c r="D4543">
        <v>3</v>
      </c>
      <c r="E4543">
        <v>2</v>
      </c>
      <c r="F4543" s="15">
        <v>46174</v>
      </c>
      <c r="G4543" t="s">
        <v>565</v>
      </c>
      <c r="H4543">
        <v>3</v>
      </c>
      <c r="I4543">
        <v>2026</v>
      </c>
      <c r="J4543">
        <v>6</v>
      </c>
      <c r="K4543" t="s">
        <v>87</v>
      </c>
      <c r="L4543" t="s">
        <v>352</v>
      </c>
      <c r="M4543" t="s">
        <v>8</v>
      </c>
      <c r="N4543" t="b">
        <v>0</v>
      </c>
      <c r="O4543">
        <v>0</v>
      </c>
      <c r="P4543">
        <v>1</v>
      </c>
      <c r="Q4543">
        <v>0</v>
      </c>
      <c r="R4543">
        <v>1</v>
      </c>
    </row>
    <row r="4544" spans="1:18" x14ac:dyDescent="0.25">
      <c r="A4544" t="s">
        <v>405</v>
      </c>
      <c r="B4544" t="s">
        <v>8</v>
      </c>
      <c r="C4544">
        <v>1</v>
      </c>
      <c r="D4544">
        <v>4</v>
      </c>
      <c r="E4544">
        <v>2</v>
      </c>
      <c r="F4544" s="15">
        <v>46174</v>
      </c>
      <c r="G4544" t="s">
        <v>566</v>
      </c>
      <c r="H4544">
        <v>4</v>
      </c>
      <c r="I4544">
        <v>2026</v>
      </c>
      <c r="J4544">
        <v>6</v>
      </c>
      <c r="K4544" t="s">
        <v>87</v>
      </c>
      <c r="L4544" t="s">
        <v>52</v>
      </c>
      <c r="M4544" t="s">
        <v>6</v>
      </c>
      <c r="N4544" t="b">
        <v>0</v>
      </c>
      <c r="O4544">
        <v>1</v>
      </c>
      <c r="P4544">
        <v>0</v>
      </c>
      <c r="Q4544">
        <v>0</v>
      </c>
      <c r="R4544">
        <v>0</v>
      </c>
    </row>
    <row r="4545" spans="1:18" x14ac:dyDescent="0.25">
      <c r="A4545" t="s">
        <v>405</v>
      </c>
      <c r="B4545" t="s">
        <v>8</v>
      </c>
      <c r="C4545">
        <v>1</v>
      </c>
      <c r="D4545">
        <v>4</v>
      </c>
      <c r="E4545">
        <v>2</v>
      </c>
      <c r="F4545" s="15">
        <v>46174</v>
      </c>
      <c r="G4545" t="s">
        <v>566</v>
      </c>
      <c r="H4545">
        <v>4</v>
      </c>
      <c r="I4545">
        <v>2026</v>
      </c>
      <c r="J4545">
        <v>6</v>
      </c>
      <c r="K4545" t="s">
        <v>87</v>
      </c>
      <c r="L4545" t="s">
        <v>325</v>
      </c>
      <c r="M4545" t="s">
        <v>6</v>
      </c>
      <c r="N4545" t="b">
        <v>0</v>
      </c>
      <c r="O4545">
        <v>1</v>
      </c>
      <c r="P4545">
        <v>0</v>
      </c>
      <c r="Q4545">
        <v>0</v>
      </c>
      <c r="R4545">
        <v>0</v>
      </c>
    </row>
    <row r="4546" spans="1:18" x14ac:dyDescent="0.25">
      <c r="A4546" t="s">
        <v>405</v>
      </c>
      <c r="B4546" t="s">
        <v>8</v>
      </c>
      <c r="C4546">
        <v>1</v>
      </c>
      <c r="D4546">
        <v>4</v>
      </c>
      <c r="E4546">
        <v>2</v>
      </c>
      <c r="F4546" s="15">
        <v>46174</v>
      </c>
      <c r="G4546" t="s">
        <v>566</v>
      </c>
      <c r="H4546">
        <v>4</v>
      </c>
      <c r="I4546">
        <v>2026</v>
      </c>
      <c r="J4546">
        <v>6</v>
      </c>
      <c r="K4546" t="s">
        <v>87</v>
      </c>
      <c r="L4546" t="s">
        <v>554</v>
      </c>
      <c r="M4546" t="s">
        <v>6</v>
      </c>
      <c r="N4546" t="b">
        <v>0</v>
      </c>
      <c r="O4546">
        <v>1</v>
      </c>
      <c r="P4546">
        <v>0</v>
      </c>
      <c r="Q4546">
        <v>0</v>
      </c>
      <c r="R4546">
        <v>0</v>
      </c>
    </row>
    <row r="4547" spans="1:18" x14ac:dyDescent="0.25">
      <c r="A4547" t="s">
        <v>52</v>
      </c>
      <c r="B4547" t="s">
        <v>6</v>
      </c>
      <c r="C4547">
        <v>2</v>
      </c>
      <c r="D4547">
        <v>4</v>
      </c>
      <c r="E4547">
        <v>2</v>
      </c>
      <c r="F4547" s="15">
        <v>46174</v>
      </c>
      <c r="G4547" t="s">
        <v>566</v>
      </c>
      <c r="H4547">
        <v>4</v>
      </c>
      <c r="I4547">
        <v>2026</v>
      </c>
      <c r="J4547">
        <v>6</v>
      </c>
      <c r="K4547" t="s">
        <v>87</v>
      </c>
      <c r="L4547" t="s">
        <v>405</v>
      </c>
      <c r="M4547" t="s">
        <v>8</v>
      </c>
      <c r="N4547" t="b">
        <v>0</v>
      </c>
      <c r="O4547">
        <v>0</v>
      </c>
      <c r="P4547">
        <v>1</v>
      </c>
      <c r="Q4547">
        <v>0</v>
      </c>
      <c r="R4547">
        <v>1</v>
      </c>
    </row>
    <row r="4548" spans="1:18" x14ac:dyDescent="0.25">
      <c r="A4548" t="s">
        <v>52</v>
      </c>
      <c r="B4548" t="s">
        <v>6</v>
      </c>
      <c r="C4548">
        <v>2</v>
      </c>
      <c r="D4548">
        <v>4</v>
      </c>
      <c r="E4548">
        <v>2</v>
      </c>
      <c r="F4548" s="15">
        <v>46174</v>
      </c>
      <c r="G4548" t="s">
        <v>566</v>
      </c>
      <c r="H4548">
        <v>4</v>
      </c>
      <c r="I4548">
        <v>2026</v>
      </c>
      <c r="J4548">
        <v>6</v>
      </c>
      <c r="K4548" t="s">
        <v>87</v>
      </c>
      <c r="L4548" t="s">
        <v>325</v>
      </c>
      <c r="M4548" t="s">
        <v>6</v>
      </c>
      <c r="N4548" t="b">
        <v>0</v>
      </c>
      <c r="O4548">
        <v>0</v>
      </c>
      <c r="P4548">
        <v>1</v>
      </c>
      <c r="Q4548">
        <v>0</v>
      </c>
      <c r="R4548">
        <v>0</v>
      </c>
    </row>
    <row r="4549" spans="1:18" x14ac:dyDescent="0.25">
      <c r="A4549" t="s">
        <v>52</v>
      </c>
      <c r="B4549" t="s">
        <v>6</v>
      </c>
      <c r="C4549">
        <v>2</v>
      </c>
      <c r="D4549">
        <v>4</v>
      </c>
      <c r="E4549">
        <v>2</v>
      </c>
      <c r="F4549" s="15">
        <v>46174</v>
      </c>
      <c r="G4549" t="s">
        <v>566</v>
      </c>
      <c r="H4549">
        <v>4</v>
      </c>
      <c r="I4549">
        <v>2026</v>
      </c>
      <c r="J4549">
        <v>6</v>
      </c>
      <c r="K4549" t="s">
        <v>87</v>
      </c>
      <c r="L4549" t="s">
        <v>554</v>
      </c>
      <c r="M4549" t="s">
        <v>6</v>
      </c>
      <c r="N4549" t="b">
        <v>0</v>
      </c>
      <c r="O4549">
        <v>0</v>
      </c>
      <c r="P4549">
        <v>1</v>
      </c>
      <c r="Q4549">
        <v>0</v>
      </c>
      <c r="R4549">
        <v>0</v>
      </c>
    </row>
    <row r="4550" spans="1:18" x14ac:dyDescent="0.25">
      <c r="A4550" t="s">
        <v>325</v>
      </c>
      <c r="B4550" t="s">
        <v>6</v>
      </c>
      <c r="C4550">
        <v>3</v>
      </c>
      <c r="D4550">
        <v>4</v>
      </c>
      <c r="E4550">
        <v>2</v>
      </c>
      <c r="F4550" s="15">
        <v>46174</v>
      </c>
      <c r="G4550" t="s">
        <v>566</v>
      </c>
      <c r="H4550">
        <v>4</v>
      </c>
      <c r="I4550">
        <v>2026</v>
      </c>
      <c r="J4550">
        <v>6</v>
      </c>
      <c r="K4550" t="s">
        <v>87</v>
      </c>
      <c r="L4550" t="s">
        <v>405</v>
      </c>
      <c r="M4550" t="s">
        <v>8</v>
      </c>
      <c r="N4550" t="b">
        <v>0</v>
      </c>
      <c r="O4550">
        <v>0</v>
      </c>
      <c r="P4550">
        <v>1</v>
      </c>
      <c r="Q4550">
        <v>0</v>
      </c>
      <c r="R4550">
        <v>1</v>
      </c>
    </row>
    <row r="4551" spans="1:18" x14ac:dyDescent="0.25">
      <c r="A4551" t="s">
        <v>325</v>
      </c>
      <c r="B4551" t="s">
        <v>6</v>
      </c>
      <c r="C4551">
        <v>3</v>
      </c>
      <c r="D4551">
        <v>4</v>
      </c>
      <c r="E4551">
        <v>2</v>
      </c>
      <c r="F4551" s="15">
        <v>46174</v>
      </c>
      <c r="G4551" t="s">
        <v>566</v>
      </c>
      <c r="H4551">
        <v>4</v>
      </c>
      <c r="I4551">
        <v>2026</v>
      </c>
      <c r="J4551">
        <v>6</v>
      </c>
      <c r="K4551" t="s">
        <v>87</v>
      </c>
      <c r="L4551" t="s">
        <v>52</v>
      </c>
      <c r="M4551" t="s">
        <v>6</v>
      </c>
      <c r="N4551" t="b">
        <v>0</v>
      </c>
      <c r="O4551">
        <v>0</v>
      </c>
      <c r="P4551">
        <v>1</v>
      </c>
      <c r="Q4551">
        <v>0</v>
      </c>
      <c r="R4551">
        <v>0</v>
      </c>
    </row>
    <row r="4552" spans="1:18" x14ac:dyDescent="0.25">
      <c r="A4552" t="s">
        <v>325</v>
      </c>
      <c r="B4552" t="s">
        <v>6</v>
      </c>
      <c r="C4552">
        <v>3</v>
      </c>
      <c r="D4552">
        <v>4</v>
      </c>
      <c r="E4552">
        <v>2</v>
      </c>
      <c r="F4552" s="15">
        <v>46174</v>
      </c>
      <c r="G4552" t="s">
        <v>566</v>
      </c>
      <c r="H4552">
        <v>4</v>
      </c>
      <c r="I4552">
        <v>2026</v>
      </c>
      <c r="J4552">
        <v>6</v>
      </c>
      <c r="K4552" t="s">
        <v>87</v>
      </c>
      <c r="L4552" t="s">
        <v>554</v>
      </c>
      <c r="M4552" t="s">
        <v>6</v>
      </c>
      <c r="N4552" t="b">
        <v>0</v>
      </c>
      <c r="O4552">
        <v>0</v>
      </c>
      <c r="P4552">
        <v>1</v>
      </c>
      <c r="Q4552">
        <v>0</v>
      </c>
      <c r="R4552">
        <v>0</v>
      </c>
    </row>
    <row r="4553" spans="1:18" x14ac:dyDescent="0.25">
      <c r="A4553" t="s">
        <v>554</v>
      </c>
      <c r="B4553" t="s">
        <v>6</v>
      </c>
      <c r="C4553">
        <v>4</v>
      </c>
      <c r="D4553">
        <v>4</v>
      </c>
      <c r="E4553">
        <v>2</v>
      </c>
      <c r="F4553" s="15">
        <v>46174</v>
      </c>
      <c r="G4553" t="s">
        <v>566</v>
      </c>
      <c r="H4553">
        <v>4</v>
      </c>
      <c r="I4553">
        <v>2026</v>
      </c>
      <c r="J4553">
        <v>6</v>
      </c>
      <c r="K4553" t="s">
        <v>87</v>
      </c>
      <c r="L4553" t="s">
        <v>405</v>
      </c>
      <c r="M4553" t="s">
        <v>8</v>
      </c>
      <c r="N4553" t="b">
        <v>0</v>
      </c>
      <c r="O4553">
        <v>0</v>
      </c>
      <c r="P4553">
        <v>1</v>
      </c>
      <c r="Q4553">
        <v>0</v>
      </c>
      <c r="R4553">
        <v>1</v>
      </c>
    </row>
    <row r="4554" spans="1:18" x14ac:dyDescent="0.25">
      <c r="A4554" t="s">
        <v>554</v>
      </c>
      <c r="B4554" t="s">
        <v>6</v>
      </c>
      <c r="C4554">
        <v>4</v>
      </c>
      <c r="D4554">
        <v>4</v>
      </c>
      <c r="E4554">
        <v>2</v>
      </c>
      <c r="F4554" s="15">
        <v>46174</v>
      </c>
      <c r="G4554" t="s">
        <v>566</v>
      </c>
      <c r="H4554">
        <v>4</v>
      </c>
      <c r="I4554">
        <v>2026</v>
      </c>
      <c r="J4554">
        <v>6</v>
      </c>
      <c r="K4554" t="s">
        <v>87</v>
      </c>
      <c r="L4554" t="s">
        <v>52</v>
      </c>
      <c r="M4554" t="s">
        <v>6</v>
      </c>
      <c r="N4554" t="b">
        <v>0</v>
      </c>
      <c r="O4554">
        <v>0</v>
      </c>
      <c r="P4554">
        <v>1</v>
      </c>
      <c r="Q4554">
        <v>0</v>
      </c>
      <c r="R4554">
        <v>0</v>
      </c>
    </row>
    <row r="4555" spans="1:18" x14ac:dyDescent="0.25">
      <c r="A4555" t="s">
        <v>554</v>
      </c>
      <c r="B4555" t="s">
        <v>6</v>
      </c>
      <c r="C4555">
        <v>4</v>
      </c>
      <c r="D4555">
        <v>4</v>
      </c>
      <c r="E4555">
        <v>2</v>
      </c>
      <c r="F4555" s="15">
        <v>46174</v>
      </c>
      <c r="G4555" t="s">
        <v>566</v>
      </c>
      <c r="H4555">
        <v>4</v>
      </c>
      <c r="I4555">
        <v>2026</v>
      </c>
      <c r="J4555">
        <v>6</v>
      </c>
      <c r="K4555" t="s">
        <v>87</v>
      </c>
      <c r="L4555" t="s">
        <v>325</v>
      </c>
      <c r="M4555" t="s">
        <v>6</v>
      </c>
      <c r="N4555" t="b">
        <v>0</v>
      </c>
      <c r="O4555">
        <v>0</v>
      </c>
      <c r="P4555">
        <v>1</v>
      </c>
      <c r="Q4555">
        <v>0</v>
      </c>
      <c r="R4555">
        <v>0</v>
      </c>
    </row>
    <row r="4556" spans="1:18" x14ac:dyDescent="0.25">
      <c r="A4556" t="s">
        <v>28</v>
      </c>
      <c r="B4556" t="s">
        <v>6</v>
      </c>
      <c r="C4556">
        <v>1</v>
      </c>
      <c r="D4556">
        <v>5</v>
      </c>
      <c r="E4556">
        <v>2</v>
      </c>
      <c r="F4556" s="15">
        <v>46174</v>
      </c>
      <c r="G4556" t="s">
        <v>567</v>
      </c>
      <c r="H4556">
        <v>4</v>
      </c>
      <c r="I4556">
        <v>2026</v>
      </c>
      <c r="J4556">
        <v>6</v>
      </c>
      <c r="K4556" t="s">
        <v>87</v>
      </c>
      <c r="L4556" t="s">
        <v>555</v>
      </c>
      <c r="M4556" t="s">
        <v>6</v>
      </c>
      <c r="N4556" t="b">
        <v>0</v>
      </c>
      <c r="O4556">
        <v>0</v>
      </c>
      <c r="P4556">
        <v>1</v>
      </c>
      <c r="Q4556">
        <v>0</v>
      </c>
      <c r="R4556">
        <v>0</v>
      </c>
    </row>
    <row r="4557" spans="1:18" x14ac:dyDescent="0.25">
      <c r="A4557" t="s">
        <v>28</v>
      </c>
      <c r="B4557" t="s">
        <v>6</v>
      </c>
      <c r="C4557">
        <v>1</v>
      </c>
      <c r="D4557">
        <v>5</v>
      </c>
      <c r="E4557">
        <v>2</v>
      </c>
      <c r="F4557" s="15">
        <v>46174</v>
      </c>
      <c r="G4557" t="s">
        <v>567</v>
      </c>
      <c r="H4557">
        <v>4</v>
      </c>
      <c r="I4557">
        <v>2026</v>
      </c>
      <c r="J4557">
        <v>6</v>
      </c>
      <c r="K4557" t="s">
        <v>87</v>
      </c>
      <c r="L4557" t="s">
        <v>556</v>
      </c>
      <c r="M4557" t="s">
        <v>6</v>
      </c>
      <c r="N4557" t="b">
        <v>0</v>
      </c>
      <c r="O4557">
        <v>0</v>
      </c>
      <c r="P4557">
        <v>1</v>
      </c>
      <c r="Q4557">
        <v>0</v>
      </c>
      <c r="R4557">
        <v>0</v>
      </c>
    </row>
    <row r="4558" spans="1:18" x14ac:dyDescent="0.25">
      <c r="A4558" t="s">
        <v>28</v>
      </c>
      <c r="B4558" t="s">
        <v>6</v>
      </c>
      <c r="C4558">
        <v>1</v>
      </c>
      <c r="D4558">
        <v>5</v>
      </c>
      <c r="E4558">
        <v>2</v>
      </c>
      <c r="F4558" s="15">
        <v>46174</v>
      </c>
      <c r="G4558" t="s">
        <v>567</v>
      </c>
      <c r="H4558">
        <v>4</v>
      </c>
      <c r="I4558">
        <v>2026</v>
      </c>
      <c r="J4558">
        <v>6</v>
      </c>
      <c r="K4558" t="s">
        <v>87</v>
      </c>
      <c r="L4558" t="s">
        <v>19</v>
      </c>
      <c r="M4558" t="s">
        <v>8</v>
      </c>
      <c r="N4558" t="b">
        <v>0</v>
      </c>
      <c r="O4558">
        <v>0</v>
      </c>
      <c r="P4558">
        <v>1</v>
      </c>
      <c r="Q4558">
        <v>0</v>
      </c>
      <c r="R4558">
        <v>1</v>
      </c>
    </row>
    <row r="4559" spans="1:18" x14ac:dyDescent="0.25">
      <c r="A4559" t="s">
        <v>555</v>
      </c>
      <c r="B4559" t="s">
        <v>6</v>
      </c>
      <c r="C4559">
        <v>2</v>
      </c>
      <c r="D4559">
        <v>5</v>
      </c>
      <c r="E4559">
        <v>2</v>
      </c>
      <c r="F4559" s="15">
        <v>46174</v>
      </c>
      <c r="G4559" t="s">
        <v>567</v>
      </c>
      <c r="H4559">
        <v>4</v>
      </c>
      <c r="I4559">
        <v>2026</v>
      </c>
      <c r="J4559">
        <v>6</v>
      </c>
      <c r="K4559" t="s">
        <v>87</v>
      </c>
      <c r="L4559" t="s">
        <v>28</v>
      </c>
      <c r="M4559" t="s">
        <v>6</v>
      </c>
      <c r="N4559" t="b">
        <v>0</v>
      </c>
      <c r="O4559">
        <v>0</v>
      </c>
      <c r="P4559">
        <v>1</v>
      </c>
      <c r="Q4559">
        <v>0</v>
      </c>
      <c r="R4559">
        <v>0</v>
      </c>
    </row>
    <row r="4560" spans="1:18" x14ac:dyDescent="0.25">
      <c r="A4560" t="s">
        <v>555</v>
      </c>
      <c r="B4560" t="s">
        <v>6</v>
      </c>
      <c r="C4560">
        <v>2</v>
      </c>
      <c r="D4560">
        <v>5</v>
      </c>
      <c r="E4560">
        <v>2</v>
      </c>
      <c r="F4560" s="15">
        <v>46174</v>
      </c>
      <c r="G4560" t="s">
        <v>567</v>
      </c>
      <c r="H4560">
        <v>4</v>
      </c>
      <c r="I4560">
        <v>2026</v>
      </c>
      <c r="J4560">
        <v>6</v>
      </c>
      <c r="K4560" t="s">
        <v>87</v>
      </c>
      <c r="L4560" t="s">
        <v>556</v>
      </c>
      <c r="M4560" t="s">
        <v>6</v>
      </c>
      <c r="N4560" t="b">
        <v>0</v>
      </c>
      <c r="O4560">
        <v>0</v>
      </c>
      <c r="P4560">
        <v>1</v>
      </c>
      <c r="Q4560">
        <v>0</v>
      </c>
      <c r="R4560">
        <v>0</v>
      </c>
    </row>
    <row r="4561" spans="1:18" x14ac:dyDescent="0.25">
      <c r="A4561" t="s">
        <v>555</v>
      </c>
      <c r="B4561" t="s">
        <v>6</v>
      </c>
      <c r="C4561">
        <v>2</v>
      </c>
      <c r="D4561">
        <v>5</v>
      </c>
      <c r="E4561">
        <v>2</v>
      </c>
      <c r="F4561" s="15">
        <v>46174</v>
      </c>
      <c r="G4561" t="s">
        <v>567</v>
      </c>
      <c r="H4561">
        <v>4</v>
      </c>
      <c r="I4561">
        <v>2026</v>
      </c>
      <c r="J4561">
        <v>6</v>
      </c>
      <c r="K4561" t="s">
        <v>87</v>
      </c>
      <c r="L4561" t="s">
        <v>19</v>
      </c>
      <c r="M4561" t="s">
        <v>8</v>
      </c>
      <c r="N4561" t="b">
        <v>0</v>
      </c>
      <c r="O4561">
        <v>0</v>
      </c>
      <c r="P4561">
        <v>1</v>
      </c>
      <c r="Q4561">
        <v>0</v>
      </c>
      <c r="R4561">
        <v>1</v>
      </c>
    </row>
    <row r="4562" spans="1:18" x14ac:dyDescent="0.25">
      <c r="A4562" t="s">
        <v>556</v>
      </c>
      <c r="B4562" t="s">
        <v>6</v>
      </c>
      <c r="C4562">
        <v>3</v>
      </c>
      <c r="D4562">
        <v>5</v>
      </c>
      <c r="E4562">
        <v>2</v>
      </c>
      <c r="F4562" s="15">
        <v>46174</v>
      </c>
      <c r="G4562" t="s">
        <v>567</v>
      </c>
      <c r="H4562">
        <v>4</v>
      </c>
      <c r="I4562">
        <v>2026</v>
      </c>
      <c r="J4562">
        <v>6</v>
      </c>
      <c r="K4562" t="s">
        <v>87</v>
      </c>
      <c r="L4562" t="s">
        <v>28</v>
      </c>
      <c r="M4562" t="s">
        <v>6</v>
      </c>
      <c r="N4562" t="b">
        <v>0</v>
      </c>
      <c r="O4562">
        <v>0</v>
      </c>
      <c r="P4562">
        <v>1</v>
      </c>
      <c r="Q4562">
        <v>0</v>
      </c>
      <c r="R4562">
        <v>0</v>
      </c>
    </row>
    <row r="4563" spans="1:18" x14ac:dyDescent="0.25">
      <c r="A4563" t="s">
        <v>556</v>
      </c>
      <c r="B4563" t="s">
        <v>6</v>
      </c>
      <c r="C4563">
        <v>3</v>
      </c>
      <c r="D4563">
        <v>5</v>
      </c>
      <c r="E4563">
        <v>2</v>
      </c>
      <c r="F4563" s="15">
        <v>46174</v>
      </c>
      <c r="G4563" t="s">
        <v>567</v>
      </c>
      <c r="H4563">
        <v>4</v>
      </c>
      <c r="I4563">
        <v>2026</v>
      </c>
      <c r="J4563">
        <v>6</v>
      </c>
      <c r="K4563" t="s">
        <v>87</v>
      </c>
      <c r="L4563" t="s">
        <v>555</v>
      </c>
      <c r="M4563" t="s">
        <v>6</v>
      </c>
      <c r="N4563" t="b">
        <v>0</v>
      </c>
      <c r="O4563">
        <v>0</v>
      </c>
      <c r="P4563">
        <v>1</v>
      </c>
      <c r="Q4563">
        <v>0</v>
      </c>
      <c r="R4563">
        <v>0</v>
      </c>
    </row>
    <row r="4564" spans="1:18" x14ac:dyDescent="0.25">
      <c r="A4564" t="s">
        <v>556</v>
      </c>
      <c r="B4564" t="s">
        <v>6</v>
      </c>
      <c r="C4564">
        <v>3</v>
      </c>
      <c r="D4564">
        <v>5</v>
      </c>
      <c r="E4564">
        <v>2</v>
      </c>
      <c r="F4564" s="15">
        <v>46174</v>
      </c>
      <c r="G4564" t="s">
        <v>567</v>
      </c>
      <c r="H4564">
        <v>4</v>
      </c>
      <c r="I4564">
        <v>2026</v>
      </c>
      <c r="J4564">
        <v>6</v>
      </c>
      <c r="K4564" t="s">
        <v>87</v>
      </c>
      <c r="L4564" t="s">
        <v>19</v>
      </c>
      <c r="M4564" t="s">
        <v>8</v>
      </c>
      <c r="N4564" t="b">
        <v>0</v>
      </c>
      <c r="O4564">
        <v>0</v>
      </c>
      <c r="P4564">
        <v>1</v>
      </c>
      <c r="Q4564">
        <v>0</v>
      </c>
      <c r="R4564">
        <v>1</v>
      </c>
    </row>
    <row r="4565" spans="1:18" x14ac:dyDescent="0.25">
      <c r="A4565" t="s">
        <v>19</v>
      </c>
      <c r="B4565" t="s">
        <v>8</v>
      </c>
      <c r="C4565">
        <v>4</v>
      </c>
      <c r="D4565">
        <v>5</v>
      </c>
      <c r="E4565">
        <v>2</v>
      </c>
      <c r="F4565" s="15">
        <v>46174</v>
      </c>
      <c r="G4565" t="s">
        <v>567</v>
      </c>
      <c r="H4565">
        <v>4</v>
      </c>
      <c r="I4565">
        <v>2026</v>
      </c>
      <c r="J4565">
        <v>6</v>
      </c>
      <c r="K4565" t="s">
        <v>87</v>
      </c>
      <c r="L4565" t="s">
        <v>28</v>
      </c>
      <c r="M4565" t="s">
        <v>6</v>
      </c>
      <c r="N4565" t="b">
        <v>0</v>
      </c>
      <c r="O4565">
        <v>1</v>
      </c>
      <c r="P4565">
        <v>0</v>
      </c>
      <c r="Q4565">
        <v>0</v>
      </c>
      <c r="R4565">
        <v>0</v>
      </c>
    </row>
    <row r="4566" spans="1:18" x14ac:dyDescent="0.25">
      <c r="A4566" t="s">
        <v>19</v>
      </c>
      <c r="B4566" t="s">
        <v>8</v>
      </c>
      <c r="C4566">
        <v>4</v>
      </c>
      <c r="D4566">
        <v>5</v>
      </c>
      <c r="E4566">
        <v>2</v>
      </c>
      <c r="F4566" s="15">
        <v>46174</v>
      </c>
      <c r="G4566" t="s">
        <v>567</v>
      </c>
      <c r="H4566">
        <v>4</v>
      </c>
      <c r="I4566">
        <v>2026</v>
      </c>
      <c r="J4566">
        <v>6</v>
      </c>
      <c r="K4566" t="s">
        <v>87</v>
      </c>
      <c r="L4566" t="s">
        <v>555</v>
      </c>
      <c r="M4566" t="s">
        <v>6</v>
      </c>
      <c r="N4566" t="b">
        <v>0</v>
      </c>
      <c r="O4566">
        <v>1</v>
      </c>
      <c r="P4566">
        <v>0</v>
      </c>
      <c r="Q4566">
        <v>0</v>
      </c>
      <c r="R4566">
        <v>0</v>
      </c>
    </row>
    <row r="4567" spans="1:18" x14ac:dyDescent="0.25">
      <c r="A4567" t="s">
        <v>19</v>
      </c>
      <c r="B4567" t="s">
        <v>8</v>
      </c>
      <c r="C4567">
        <v>4</v>
      </c>
      <c r="D4567">
        <v>5</v>
      </c>
      <c r="E4567">
        <v>2</v>
      </c>
      <c r="F4567" s="15">
        <v>46174</v>
      </c>
      <c r="G4567" t="s">
        <v>567</v>
      </c>
      <c r="H4567">
        <v>4</v>
      </c>
      <c r="I4567">
        <v>2026</v>
      </c>
      <c r="J4567">
        <v>6</v>
      </c>
      <c r="K4567" t="s">
        <v>87</v>
      </c>
      <c r="L4567" t="s">
        <v>556</v>
      </c>
      <c r="M4567" t="s">
        <v>6</v>
      </c>
      <c r="N4567" t="b">
        <v>0</v>
      </c>
      <c r="O4567">
        <v>1</v>
      </c>
      <c r="P4567">
        <v>0</v>
      </c>
      <c r="Q4567">
        <v>0</v>
      </c>
      <c r="R4567">
        <v>0</v>
      </c>
    </row>
    <row r="4568" spans="1:18" x14ac:dyDescent="0.25">
      <c r="A4568" t="s">
        <v>13</v>
      </c>
      <c r="B4568" t="s">
        <v>63</v>
      </c>
      <c r="C4568">
        <v>1</v>
      </c>
      <c r="D4568">
        <v>6</v>
      </c>
      <c r="E4568">
        <v>2</v>
      </c>
      <c r="F4568" s="15">
        <v>46174</v>
      </c>
      <c r="G4568" t="s">
        <v>568</v>
      </c>
      <c r="H4568">
        <v>4</v>
      </c>
      <c r="I4568">
        <v>2026</v>
      </c>
      <c r="J4568">
        <v>6</v>
      </c>
      <c r="K4568" t="s">
        <v>87</v>
      </c>
      <c r="L4568" t="s">
        <v>326</v>
      </c>
      <c r="M4568" t="s">
        <v>63</v>
      </c>
      <c r="N4568" t="b">
        <v>0</v>
      </c>
      <c r="O4568">
        <v>0</v>
      </c>
      <c r="P4568">
        <v>0</v>
      </c>
      <c r="Q4568">
        <v>1</v>
      </c>
      <c r="R4568">
        <v>0</v>
      </c>
    </row>
    <row r="4569" spans="1:18" x14ac:dyDescent="0.25">
      <c r="A4569" t="s">
        <v>13</v>
      </c>
      <c r="B4569" t="s">
        <v>63</v>
      </c>
      <c r="C4569">
        <v>1</v>
      </c>
      <c r="D4569">
        <v>6</v>
      </c>
      <c r="E4569">
        <v>2</v>
      </c>
      <c r="F4569" s="15">
        <v>46174</v>
      </c>
      <c r="G4569" t="s">
        <v>568</v>
      </c>
      <c r="H4569">
        <v>4</v>
      </c>
      <c r="I4569">
        <v>2026</v>
      </c>
      <c r="J4569">
        <v>6</v>
      </c>
      <c r="K4569" t="s">
        <v>87</v>
      </c>
      <c r="L4569" t="s">
        <v>363</v>
      </c>
      <c r="M4569" t="s">
        <v>63</v>
      </c>
      <c r="N4569" t="b">
        <v>0</v>
      </c>
      <c r="O4569">
        <v>0</v>
      </c>
      <c r="P4569">
        <v>0</v>
      </c>
      <c r="Q4569">
        <v>1</v>
      </c>
      <c r="R4569">
        <v>0</v>
      </c>
    </row>
    <row r="4570" spans="1:18" x14ac:dyDescent="0.25">
      <c r="A4570" t="s">
        <v>13</v>
      </c>
      <c r="B4570" t="s">
        <v>63</v>
      </c>
      <c r="C4570">
        <v>1</v>
      </c>
      <c r="D4570">
        <v>6</v>
      </c>
      <c r="E4570">
        <v>2</v>
      </c>
      <c r="F4570" s="15">
        <v>46174</v>
      </c>
      <c r="G4570" t="s">
        <v>568</v>
      </c>
      <c r="H4570">
        <v>4</v>
      </c>
      <c r="I4570">
        <v>2026</v>
      </c>
      <c r="J4570">
        <v>6</v>
      </c>
      <c r="K4570" t="s">
        <v>87</v>
      </c>
      <c r="L4570" t="s">
        <v>14</v>
      </c>
      <c r="M4570" t="s">
        <v>63</v>
      </c>
      <c r="N4570" t="b">
        <v>0</v>
      </c>
      <c r="O4570">
        <v>0</v>
      </c>
      <c r="P4570">
        <v>0</v>
      </c>
      <c r="Q4570">
        <v>1</v>
      </c>
      <c r="R4570">
        <v>0</v>
      </c>
    </row>
    <row r="4571" spans="1:18" x14ac:dyDescent="0.25">
      <c r="A4571" t="s">
        <v>326</v>
      </c>
      <c r="B4571" t="s">
        <v>63</v>
      </c>
      <c r="C4571">
        <v>2</v>
      </c>
      <c r="D4571">
        <v>6</v>
      </c>
      <c r="E4571">
        <v>2</v>
      </c>
      <c r="F4571" s="15">
        <v>46174</v>
      </c>
      <c r="G4571" t="s">
        <v>568</v>
      </c>
      <c r="H4571">
        <v>4</v>
      </c>
      <c r="I4571">
        <v>2026</v>
      </c>
      <c r="J4571">
        <v>6</v>
      </c>
      <c r="K4571" t="s">
        <v>87</v>
      </c>
      <c r="L4571" t="s">
        <v>13</v>
      </c>
      <c r="M4571" t="s">
        <v>63</v>
      </c>
      <c r="N4571" t="b">
        <v>0</v>
      </c>
      <c r="O4571">
        <v>0</v>
      </c>
      <c r="P4571">
        <v>0</v>
      </c>
      <c r="Q4571">
        <v>1</v>
      </c>
      <c r="R4571">
        <v>0</v>
      </c>
    </row>
    <row r="4572" spans="1:18" x14ac:dyDescent="0.25">
      <c r="A4572" t="s">
        <v>326</v>
      </c>
      <c r="B4572" t="s">
        <v>63</v>
      </c>
      <c r="C4572">
        <v>2</v>
      </c>
      <c r="D4572">
        <v>6</v>
      </c>
      <c r="E4572">
        <v>2</v>
      </c>
      <c r="F4572" s="15">
        <v>46174</v>
      </c>
      <c r="G4572" t="s">
        <v>568</v>
      </c>
      <c r="H4572">
        <v>4</v>
      </c>
      <c r="I4572">
        <v>2026</v>
      </c>
      <c r="J4572">
        <v>6</v>
      </c>
      <c r="K4572" t="s">
        <v>87</v>
      </c>
      <c r="L4572" t="s">
        <v>363</v>
      </c>
      <c r="M4572" t="s">
        <v>63</v>
      </c>
      <c r="N4572" t="b">
        <v>0</v>
      </c>
      <c r="O4572">
        <v>0</v>
      </c>
      <c r="P4572">
        <v>0</v>
      </c>
      <c r="Q4572">
        <v>1</v>
      </c>
      <c r="R4572">
        <v>0</v>
      </c>
    </row>
    <row r="4573" spans="1:18" x14ac:dyDescent="0.25">
      <c r="A4573" t="s">
        <v>326</v>
      </c>
      <c r="B4573" t="s">
        <v>63</v>
      </c>
      <c r="C4573">
        <v>2</v>
      </c>
      <c r="D4573">
        <v>6</v>
      </c>
      <c r="E4573">
        <v>2</v>
      </c>
      <c r="F4573" s="15">
        <v>46174</v>
      </c>
      <c r="G4573" t="s">
        <v>568</v>
      </c>
      <c r="H4573">
        <v>4</v>
      </c>
      <c r="I4573">
        <v>2026</v>
      </c>
      <c r="J4573">
        <v>6</v>
      </c>
      <c r="K4573" t="s">
        <v>87</v>
      </c>
      <c r="L4573" t="s">
        <v>14</v>
      </c>
      <c r="M4573" t="s">
        <v>63</v>
      </c>
      <c r="N4573" t="b">
        <v>0</v>
      </c>
      <c r="O4573">
        <v>0</v>
      </c>
      <c r="P4573">
        <v>0</v>
      </c>
      <c r="Q4573">
        <v>1</v>
      </c>
      <c r="R4573">
        <v>0</v>
      </c>
    </row>
    <row r="4574" spans="1:18" x14ac:dyDescent="0.25">
      <c r="A4574" t="s">
        <v>363</v>
      </c>
      <c r="B4574" t="s">
        <v>63</v>
      </c>
      <c r="C4574">
        <v>3</v>
      </c>
      <c r="D4574">
        <v>6</v>
      </c>
      <c r="E4574">
        <v>2</v>
      </c>
      <c r="F4574" s="15">
        <v>46174</v>
      </c>
      <c r="G4574" t="s">
        <v>568</v>
      </c>
      <c r="H4574">
        <v>4</v>
      </c>
      <c r="I4574">
        <v>2026</v>
      </c>
      <c r="J4574">
        <v>6</v>
      </c>
      <c r="K4574" t="s">
        <v>87</v>
      </c>
      <c r="L4574" t="s">
        <v>13</v>
      </c>
      <c r="M4574" t="s">
        <v>63</v>
      </c>
      <c r="N4574" t="b">
        <v>0</v>
      </c>
      <c r="O4574">
        <v>0</v>
      </c>
      <c r="P4574">
        <v>0</v>
      </c>
      <c r="Q4574">
        <v>1</v>
      </c>
      <c r="R4574">
        <v>0</v>
      </c>
    </row>
    <row r="4575" spans="1:18" x14ac:dyDescent="0.25">
      <c r="A4575" t="s">
        <v>363</v>
      </c>
      <c r="B4575" t="s">
        <v>63</v>
      </c>
      <c r="C4575">
        <v>3</v>
      </c>
      <c r="D4575">
        <v>6</v>
      </c>
      <c r="E4575">
        <v>2</v>
      </c>
      <c r="F4575" s="15">
        <v>46174</v>
      </c>
      <c r="G4575" t="s">
        <v>568</v>
      </c>
      <c r="H4575">
        <v>4</v>
      </c>
      <c r="I4575">
        <v>2026</v>
      </c>
      <c r="J4575">
        <v>6</v>
      </c>
      <c r="K4575" t="s">
        <v>87</v>
      </c>
      <c r="L4575" t="s">
        <v>326</v>
      </c>
      <c r="M4575" t="s">
        <v>63</v>
      </c>
      <c r="N4575" t="b">
        <v>0</v>
      </c>
      <c r="O4575">
        <v>0</v>
      </c>
      <c r="P4575">
        <v>0</v>
      </c>
      <c r="Q4575">
        <v>1</v>
      </c>
      <c r="R4575">
        <v>0</v>
      </c>
    </row>
    <row r="4576" spans="1:18" x14ac:dyDescent="0.25">
      <c r="A4576" t="s">
        <v>363</v>
      </c>
      <c r="B4576" t="s">
        <v>63</v>
      </c>
      <c r="C4576">
        <v>3</v>
      </c>
      <c r="D4576">
        <v>6</v>
      </c>
      <c r="E4576">
        <v>2</v>
      </c>
      <c r="F4576" s="15">
        <v>46174</v>
      </c>
      <c r="G4576" t="s">
        <v>568</v>
      </c>
      <c r="H4576">
        <v>4</v>
      </c>
      <c r="I4576">
        <v>2026</v>
      </c>
      <c r="J4576">
        <v>6</v>
      </c>
      <c r="K4576" t="s">
        <v>87</v>
      </c>
      <c r="L4576" t="s">
        <v>14</v>
      </c>
      <c r="M4576" t="s">
        <v>63</v>
      </c>
      <c r="N4576" t="b">
        <v>0</v>
      </c>
      <c r="O4576">
        <v>0</v>
      </c>
      <c r="P4576">
        <v>0</v>
      </c>
      <c r="Q4576">
        <v>1</v>
      </c>
      <c r="R4576">
        <v>0</v>
      </c>
    </row>
    <row r="4577" spans="1:18" x14ac:dyDescent="0.25">
      <c r="A4577" t="s">
        <v>14</v>
      </c>
      <c r="B4577" t="s">
        <v>63</v>
      </c>
      <c r="C4577">
        <v>4</v>
      </c>
      <c r="D4577">
        <v>6</v>
      </c>
      <c r="E4577">
        <v>2</v>
      </c>
      <c r="F4577" s="15">
        <v>46174</v>
      </c>
      <c r="G4577" t="s">
        <v>568</v>
      </c>
      <c r="H4577">
        <v>4</v>
      </c>
      <c r="I4577">
        <v>2026</v>
      </c>
      <c r="J4577">
        <v>6</v>
      </c>
      <c r="K4577" t="s">
        <v>87</v>
      </c>
      <c r="L4577" t="s">
        <v>13</v>
      </c>
      <c r="M4577" t="s">
        <v>63</v>
      </c>
      <c r="N4577" t="b">
        <v>0</v>
      </c>
      <c r="O4577">
        <v>0</v>
      </c>
      <c r="P4577">
        <v>0</v>
      </c>
      <c r="Q4577">
        <v>1</v>
      </c>
      <c r="R4577">
        <v>0</v>
      </c>
    </row>
    <row r="4578" spans="1:18" x14ac:dyDescent="0.25">
      <c r="A4578" t="s">
        <v>14</v>
      </c>
      <c r="B4578" t="s">
        <v>63</v>
      </c>
      <c r="C4578">
        <v>4</v>
      </c>
      <c r="D4578">
        <v>6</v>
      </c>
      <c r="E4578">
        <v>2</v>
      </c>
      <c r="F4578" s="15">
        <v>46174</v>
      </c>
      <c r="G4578" t="s">
        <v>568</v>
      </c>
      <c r="H4578">
        <v>4</v>
      </c>
      <c r="I4578">
        <v>2026</v>
      </c>
      <c r="J4578">
        <v>6</v>
      </c>
      <c r="K4578" t="s">
        <v>87</v>
      </c>
      <c r="L4578" t="s">
        <v>326</v>
      </c>
      <c r="M4578" t="s">
        <v>63</v>
      </c>
      <c r="N4578" t="b">
        <v>0</v>
      </c>
      <c r="O4578">
        <v>0</v>
      </c>
      <c r="P4578">
        <v>0</v>
      </c>
      <c r="Q4578">
        <v>1</v>
      </c>
      <c r="R4578">
        <v>0</v>
      </c>
    </row>
    <row r="4579" spans="1:18" x14ac:dyDescent="0.25">
      <c r="A4579" t="s">
        <v>14</v>
      </c>
      <c r="B4579" t="s">
        <v>63</v>
      </c>
      <c r="C4579">
        <v>4</v>
      </c>
      <c r="D4579">
        <v>6</v>
      </c>
      <c r="E4579">
        <v>2</v>
      </c>
      <c r="F4579" s="15">
        <v>46174</v>
      </c>
      <c r="G4579" t="s">
        <v>568</v>
      </c>
      <c r="H4579">
        <v>4</v>
      </c>
      <c r="I4579">
        <v>2026</v>
      </c>
      <c r="J4579">
        <v>6</v>
      </c>
      <c r="K4579" t="s">
        <v>87</v>
      </c>
      <c r="L4579" t="s">
        <v>363</v>
      </c>
      <c r="M4579" t="s">
        <v>63</v>
      </c>
      <c r="N4579" t="b">
        <v>0</v>
      </c>
      <c r="O4579">
        <v>0</v>
      </c>
      <c r="P4579">
        <v>0</v>
      </c>
      <c r="Q4579">
        <v>1</v>
      </c>
      <c r="R4579">
        <v>0</v>
      </c>
    </row>
    <row r="4580" spans="1:18" x14ac:dyDescent="0.25">
      <c r="A4580" t="s">
        <v>13</v>
      </c>
      <c r="B4580" t="s">
        <v>8</v>
      </c>
      <c r="C4580">
        <v>1</v>
      </c>
      <c r="D4580">
        <v>1</v>
      </c>
      <c r="E4580">
        <v>1</v>
      </c>
      <c r="F4580" s="15">
        <v>46182</v>
      </c>
      <c r="G4580" t="s">
        <v>570</v>
      </c>
      <c r="H4580">
        <v>4</v>
      </c>
      <c r="I4580">
        <v>2026</v>
      </c>
      <c r="J4580">
        <v>6</v>
      </c>
      <c r="K4580" t="s">
        <v>87</v>
      </c>
      <c r="L4580" t="s">
        <v>433</v>
      </c>
      <c r="M4580" t="s">
        <v>6</v>
      </c>
      <c r="N4580" t="b">
        <v>0</v>
      </c>
      <c r="O4580">
        <v>1</v>
      </c>
      <c r="P4580">
        <v>0</v>
      </c>
      <c r="Q4580">
        <v>0</v>
      </c>
      <c r="R4580">
        <v>0</v>
      </c>
    </row>
    <row r="4581" spans="1:18" x14ac:dyDescent="0.25">
      <c r="A4581" t="s">
        <v>13</v>
      </c>
      <c r="B4581" t="s">
        <v>8</v>
      </c>
      <c r="C4581">
        <v>1</v>
      </c>
      <c r="D4581">
        <v>1</v>
      </c>
      <c r="E4581">
        <v>1</v>
      </c>
      <c r="F4581" s="15">
        <v>46182</v>
      </c>
      <c r="G4581" t="s">
        <v>570</v>
      </c>
      <c r="H4581">
        <v>4</v>
      </c>
      <c r="I4581">
        <v>2026</v>
      </c>
      <c r="J4581">
        <v>6</v>
      </c>
      <c r="K4581" t="s">
        <v>87</v>
      </c>
      <c r="L4581" t="s">
        <v>352</v>
      </c>
      <c r="M4581" t="s">
        <v>6</v>
      </c>
      <c r="N4581" t="b">
        <v>0</v>
      </c>
      <c r="O4581">
        <v>1</v>
      </c>
      <c r="P4581">
        <v>0</v>
      </c>
      <c r="Q4581">
        <v>0</v>
      </c>
      <c r="R4581">
        <v>0</v>
      </c>
    </row>
    <row r="4582" spans="1:18" x14ac:dyDescent="0.25">
      <c r="A4582" t="s">
        <v>13</v>
      </c>
      <c r="B4582" t="s">
        <v>8</v>
      </c>
      <c r="C4582">
        <v>1</v>
      </c>
      <c r="D4582">
        <v>1</v>
      </c>
      <c r="E4582">
        <v>1</v>
      </c>
      <c r="F4582" s="15">
        <v>46182</v>
      </c>
      <c r="G4582" t="s">
        <v>570</v>
      </c>
      <c r="H4582">
        <v>4</v>
      </c>
      <c r="I4582">
        <v>2026</v>
      </c>
      <c r="J4582">
        <v>6</v>
      </c>
      <c r="K4582" t="s">
        <v>87</v>
      </c>
      <c r="L4582" t="s">
        <v>363</v>
      </c>
      <c r="M4582" t="s">
        <v>6</v>
      </c>
      <c r="N4582" t="b">
        <v>0</v>
      </c>
      <c r="O4582">
        <v>1</v>
      </c>
      <c r="P4582">
        <v>0</v>
      </c>
      <c r="Q4582">
        <v>0</v>
      </c>
      <c r="R4582">
        <v>0</v>
      </c>
    </row>
    <row r="4583" spans="1:18" x14ac:dyDescent="0.25">
      <c r="A4583" t="s">
        <v>433</v>
      </c>
      <c r="B4583" t="s">
        <v>6</v>
      </c>
      <c r="C4583">
        <v>2</v>
      </c>
      <c r="D4583">
        <v>1</v>
      </c>
      <c r="E4583">
        <v>1</v>
      </c>
      <c r="F4583" s="15">
        <v>46182</v>
      </c>
      <c r="G4583" t="s">
        <v>570</v>
      </c>
      <c r="H4583">
        <v>4</v>
      </c>
      <c r="I4583">
        <v>2026</v>
      </c>
      <c r="J4583">
        <v>6</v>
      </c>
      <c r="K4583" t="s">
        <v>87</v>
      </c>
      <c r="L4583" t="s">
        <v>13</v>
      </c>
      <c r="M4583" t="s">
        <v>8</v>
      </c>
      <c r="N4583" t="b">
        <v>0</v>
      </c>
      <c r="O4583">
        <v>0</v>
      </c>
      <c r="P4583">
        <v>1</v>
      </c>
      <c r="Q4583">
        <v>0</v>
      </c>
      <c r="R4583">
        <v>1</v>
      </c>
    </row>
    <row r="4584" spans="1:18" x14ac:dyDescent="0.25">
      <c r="A4584" t="s">
        <v>433</v>
      </c>
      <c r="B4584" t="s">
        <v>6</v>
      </c>
      <c r="C4584">
        <v>2</v>
      </c>
      <c r="D4584">
        <v>1</v>
      </c>
      <c r="E4584">
        <v>1</v>
      </c>
      <c r="F4584" s="15">
        <v>46182</v>
      </c>
      <c r="G4584" t="s">
        <v>570</v>
      </c>
      <c r="H4584">
        <v>4</v>
      </c>
      <c r="I4584">
        <v>2026</v>
      </c>
      <c r="J4584">
        <v>6</v>
      </c>
      <c r="K4584" t="s">
        <v>87</v>
      </c>
      <c r="L4584" t="s">
        <v>352</v>
      </c>
      <c r="M4584" t="s">
        <v>6</v>
      </c>
      <c r="N4584" t="b">
        <v>0</v>
      </c>
      <c r="O4584">
        <v>0</v>
      </c>
      <c r="P4584">
        <v>1</v>
      </c>
      <c r="Q4584">
        <v>0</v>
      </c>
      <c r="R4584">
        <v>0</v>
      </c>
    </row>
    <row r="4585" spans="1:18" x14ac:dyDescent="0.25">
      <c r="A4585" t="s">
        <v>433</v>
      </c>
      <c r="B4585" t="s">
        <v>6</v>
      </c>
      <c r="C4585">
        <v>2</v>
      </c>
      <c r="D4585">
        <v>1</v>
      </c>
      <c r="E4585">
        <v>1</v>
      </c>
      <c r="F4585" s="15">
        <v>46182</v>
      </c>
      <c r="G4585" t="s">
        <v>570</v>
      </c>
      <c r="H4585">
        <v>4</v>
      </c>
      <c r="I4585">
        <v>2026</v>
      </c>
      <c r="J4585">
        <v>6</v>
      </c>
      <c r="K4585" t="s">
        <v>87</v>
      </c>
      <c r="L4585" t="s">
        <v>363</v>
      </c>
      <c r="M4585" t="s">
        <v>6</v>
      </c>
      <c r="N4585" t="b">
        <v>0</v>
      </c>
      <c r="O4585">
        <v>0</v>
      </c>
      <c r="P4585">
        <v>1</v>
      </c>
      <c r="Q4585">
        <v>0</v>
      </c>
      <c r="R4585">
        <v>0</v>
      </c>
    </row>
    <row r="4586" spans="1:18" x14ac:dyDescent="0.25">
      <c r="A4586" t="s">
        <v>352</v>
      </c>
      <c r="B4586" t="s">
        <v>6</v>
      </c>
      <c r="C4586">
        <v>3</v>
      </c>
      <c r="D4586">
        <v>1</v>
      </c>
      <c r="E4586">
        <v>1</v>
      </c>
      <c r="F4586" s="15">
        <v>46182</v>
      </c>
      <c r="G4586" t="s">
        <v>570</v>
      </c>
      <c r="H4586">
        <v>4</v>
      </c>
      <c r="I4586">
        <v>2026</v>
      </c>
      <c r="J4586">
        <v>6</v>
      </c>
      <c r="K4586" t="s">
        <v>87</v>
      </c>
      <c r="L4586" t="s">
        <v>13</v>
      </c>
      <c r="M4586" t="s">
        <v>8</v>
      </c>
      <c r="N4586" t="b">
        <v>0</v>
      </c>
      <c r="O4586">
        <v>0</v>
      </c>
      <c r="P4586">
        <v>1</v>
      </c>
      <c r="Q4586">
        <v>0</v>
      </c>
      <c r="R4586">
        <v>1</v>
      </c>
    </row>
    <row r="4587" spans="1:18" x14ac:dyDescent="0.25">
      <c r="A4587" t="s">
        <v>352</v>
      </c>
      <c r="B4587" t="s">
        <v>6</v>
      </c>
      <c r="C4587">
        <v>3</v>
      </c>
      <c r="D4587">
        <v>1</v>
      </c>
      <c r="E4587">
        <v>1</v>
      </c>
      <c r="F4587" s="15">
        <v>46182</v>
      </c>
      <c r="G4587" t="s">
        <v>570</v>
      </c>
      <c r="H4587">
        <v>4</v>
      </c>
      <c r="I4587">
        <v>2026</v>
      </c>
      <c r="J4587">
        <v>6</v>
      </c>
      <c r="K4587" t="s">
        <v>87</v>
      </c>
      <c r="L4587" t="s">
        <v>433</v>
      </c>
      <c r="M4587" t="s">
        <v>6</v>
      </c>
      <c r="N4587" t="b">
        <v>0</v>
      </c>
      <c r="O4587">
        <v>0</v>
      </c>
      <c r="P4587">
        <v>1</v>
      </c>
      <c r="Q4587">
        <v>0</v>
      </c>
      <c r="R4587">
        <v>0</v>
      </c>
    </row>
    <row r="4588" spans="1:18" x14ac:dyDescent="0.25">
      <c r="A4588" t="s">
        <v>352</v>
      </c>
      <c r="B4588" t="s">
        <v>6</v>
      </c>
      <c r="C4588">
        <v>3</v>
      </c>
      <c r="D4588">
        <v>1</v>
      </c>
      <c r="E4588">
        <v>1</v>
      </c>
      <c r="F4588" s="15">
        <v>46182</v>
      </c>
      <c r="G4588" t="s">
        <v>570</v>
      </c>
      <c r="H4588">
        <v>4</v>
      </c>
      <c r="I4588">
        <v>2026</v>
      </c>
      <c r="J4588">
        <v>6</v>
      </c>
      <c r="K4588" t="s">
        <v>87</v>
      </c>
      <c r="L4588" t="s">
        <v>363</v>
      </c>
      <c r="M4588" t="s">
        <v>6</v>
      </c>
      <c r="N4588" t="b">
        <v>0</v>
      </c>
      <c r="O4588">
        <v>0</v>
      </c>
      <c r="P4588">
        <v>1</v>
      </c>
      <c r="Q4588">
        <v>0</v>
      </c>
      <c r="R4588">
        <v>0</v>
      </c>
    </row>
    <row r="4589" spans="1:18" x14ac:dyDescent="0.25">
      <c r="A4589" t="s">
        <v>363</v>
      </c>
      <c r="B4589" t="s">
        <v>6</v>
      </c>
      <c r="C4589">
        <v>4</v>
      </c>
      <c r="D4589">
        <v>1</v>
      </c>
      <c r="E4589">
        <v>1</v>
      </c>
      <c r="F4589" s="15">
        <v>46182</v>
      </c>
      <c r="G4589" t="s">
        <v>570</v>
      </c>
      <c r="H4589">
        <v>4</v>
      </c>
      <c r="I4589">
        <v>2026</v>
      </c>
      <c r="J4589">
        <v>6</v>
      </c>
      <c r="K4589" t="s">
        <v>87</v>
      </c>
      <c r="L4589" t="s">
        <v>13</v>
      </c>
      <c r="M4589" t="s">
        <v>8</v>
      </c>
      <c r="N4589" t="b">
        <v>0</v>
      </c>
      <c r="O4589">
        <v>0</v>
      </c>
      <c r="P4589">
        <v>1</v>
      </c>
      <c r="Q4589">
        <v>0</v>
      </c>
      <c r="R4589">
        <v>1</v>
      </c>
    </row>
    <row r="4590" spans="1:18" x14ac:dyDescent="0.25">
      <c r="A4590" t="s">
        <v>363</v>
      </c>
      <c r="B4590" t="s">
        <v>6</v>
      </c>
      <c r="C4590">
        <v>4</v>
      </c>
      <c r="D4590">
        <v>1</v>
      </c>
      <c r="E4590">
        <v>1</v>
      </c>
      <c r="F4590" s="15">
        <v>46182</v>
      </c>
      <c r="G4590" t="s">
        <v>570</v>
      </c>
      <c r="H4590">
        <v>4</v>
      </c>
      <c r="I4590">
        <v>2026</v>
      </c>
      <c r="J4590">
        <v>6</v>
      </c>
      <c r="K4590" t="s">
        <v>87</v>
      </c>
      <c r="L4590" t="s">
        <v>433</v>
      </c>
      <c r="M4590" t="s">
        <v>6</v>
      </c>
      <c r="N4590" t="b">
        <v>0</v>
      </c>
      <c r="O4590">
        <v>0</v>
      </c>
      <c r="P4590">
        <v>1</v>
      </c>
      <c r="Q4590">
        <v>0</v>
      </c>
      <c r="R4590">
        <v>0</v>
      </c>
    </row>
    <row r="4591" spans="1:18" x14ac:dyDescent="0.25">
      <c r="A4591" t="s">
        <v>363</v>
      </c>
      <c r="B4591" t="s">
        <v>6</v>
      </c>
      <c r="C4591">
        <v>4</v>
      </c>
      <c r="D4591">
        <v>1</v>
      </c>
      <c r="E4591">
        <v>1</v>
      </c>
      <c r="F4591" s="15">
        <v>46182</v>
      </c>
      <c r="G4591" t="s">
        <v>570</v>
      </c>
      <c r="H4591">
        <v>4</v>
      </c>
      <c r="I4591">
        <v>2026</v>
      </c>
      <c r="J4591">
        <v>6</v>
      </c>
      <c r="K4591" t="s">
        <v>87</v>
      </c>
      <c r="L4591" t="s">
        <v>352</v>
      </c>
      <c r="M4591" t="s">
        <v>6</v>
      </c>
      <c r="N4591" t="b">
        <v>0</v>
      </c>
      <c r="O4591">
        <v>0</v>
      </c>
      <c r="P4591">
        <v>1</v>
      </c>
      <c r="Q4591">
        <v>0</v>
      </c>
      <c r="R4591">
        <v>0</v>
      </c>
    </row>
    <row r="4592" spans="1:18" x14ac:dyDescent="0.25">
      <c r="A4592" t="s">
        <v>9</v>
      </c>
      <c r="B4592" t="s">
        <v>6</v>
      </c>
      <c r="C4592">
        <v>1</v>
      </c>
      <c r="D4592">
        <v>2</v>
      </c>
      <c r="E4592">
        <v>1</v>
      </c>
      <c r="F4592" s="15">
        <v>46182</v>
      </c>
      <c r="G4592" t="s">
        <v>571</v>
      </c>
      <c r="H4592">
        <v>4</v>
      </c>
      <c r="I4592">
        <v>2026</v>
      </c>
      <c r="J4592">
        <v>6</v>
      </c>
      <c r="K4592" t="s">
        <v>87</v>
      </c>
      <c r="L4592" t="s">
        <v>14</v>
      </c>
      <c r="M4592" t="s">
        <v>8</v>
      </c>
      <c r="N4592" t="b">
        <v>0</v>
      </c>
      <c r="O4592">
        <v>0</v>
      </c>
      <c r="P4592">
        <v>1</v>
      </c>
      <c r="Q4592">
        <v>0</v>
      </c>
      <c r="R4592">
        <v>1</v>
      </c>
    </row>
    <row r="4593" spans="1:18" x14ac:dyDescent="0.25">
      <c r="A4593" t="s">
        <v>9</v>
      </c>
      <c r="B4593" t="s">
        <v>6</v>
      </c>
      <c r="C4593">
        <v>1</v>
      </c>
      <c r="D4593">
        <v>2</v>
      </c>
      <c r="E4593">
        <v>1</v>
      </c>
      <c r="F4593" s="15">
        <v>46182</v>
      </c>
      <c r="G4593" t="s">
        <v>571</v>
      </c>
      <c r="H4593">
        <v>4</v>
      </c>
      <c r="I4593">
        <v>2026</v>
      </c>
      <c r="J4593">
        <v>6</v>
      </c>
      <c r="K4593" t="s">
        <v>87</v>
      </c>
      <c r="L4593" t="s">
        <v>7</v>
      </c>
      <c r="M4593" t="s">
        <v>6</v>
      </c>
      <c r="N4593" t="b">
        <v>0</v>
      </c>
      <c r="O4593">
        <v>0</v>
      </c>
      <c r="P4593">
        <v>1</v>
      </c>
      <c r="Q4593">
        <v>0</v>
      </c>
      <c r="R4593">
        <v>0</v>
      </c>
    </row>
    <row r="4594" spans="1:18" x14ac:dyDescent="0.25">
      <c r="A4594" t="s">
        <v>9</v>
      </c>
      <c r="B4594" t="s">
        <v>6</v>
      </c>
      <c r="C4594">
        <v>1</v>
      </c>
      <c r="D4594">
        <v>2</v>
      </c>
      <c r="E4594">
        <v>1</v>
      </c>
      <c r="F4594" s="15">
        <v>46182</v>
      </c>
      <c r="G4594" t="s">
        <v>571</v>
      </c>
      <c r="H4594">
        <v>4</v>
      </c>
      <c r="I4594">
        <v>2026</v>
      </c>
      <c r="J4594">
        <v>6</v>
      </c>
      <c r="K4594" t="s">
        <v>87</v>
      </c>
      <c r="L4594" t="s">
        <v>541</v>
      </c>
      <c r="M4594" t="s">
        <v>6</v>
      </c>
      <c r="N4594" t="b">
        <v>0</v>
      </c>
      <c r="O4594">
        <v>0</v>
      </c>
      <c r="P4594">
        <v>1</v>
      </c>
      <c r="Q4594">
        <v>0</v>
      </c>
      <c r="R4594">
        <v>0</v>
      </c>
    </row>
    <row r="4595" spans="1:18" x14ac:dyDescent="0.25">
      <c r="A4595" t="s">
        <v>14</v>
      </c>
      <c r="B4595" t="s">
        <v>8</v>
      </c>
      <c r="C4595">
        <v>2</v>
      </c>
      <c r="D4595">
        <v>2</v>
      </c>
      <c r="E4595">
        <v>1</v>
      </c>
      <c r="F4595" s="15">
        <v>46182</v>
      </c>
      <c r="G4595" t="s">
        <v>571</v>
      </c>
      <c r="H4595">
        <v>4</v>
      </c>
      <c r="I4595">
        <v>2026</v>
      </c>
      <c r="J4595">
        <v>6</v>
      </c>
      <c r="K4595" t="s">
        <v>87</v>
      </c>
      <c r="L4595" t="s">
        <v>9</v>
      </c>
      <c r="M4595" t="s">
        <v>6</v>
      </c>
      <c r="N4595" t="b">
        <v>0</v>
      </c>
      <c r="O4595">
        <v>1</v>
      </c>
      <c r="P4595">
        <v>0</v>
      </c>
      <c r="Q4595">
        <v>0</v>
      </c>
      <c r="R4595">
        <v>0</v>
      </c>
    </row>
    <row r="4596" spans="1:18" x14ac:dyDescent="0.25">
      <c r="A4596" t="s">
        <v>14</v>
      </c>
      <c r="B4596" t="s">
        <v>8</v>
      </c>
      <c r="C4596">
        <v>2</v>
      </c>
      <c r="D4596">
        <v>2</v>
      </c>
      <c r="E4596">
        <v>1</v>
      </c>
      <c r="F4596" s="15">
        <v>46182</v>
      </c>
      <c r="G4596" t="s">
        <v>571</v>
      </c>
      <c r="H4596">
        <v>4</v>
      </c>
      <c r="I4596">
        <v>2026</v>
      </c>
      <c r="J4596">
        <v>6</v>
      </c>
      <c r="K4596" t="s">
        <v>87</v>
      </c>
      <c r="L4596" t="s">
        <v>7</v>
      </c>
      <c r="M4596" t="s">
        <v>6</v>
      </c>
      <c r="N4596" t="b">
        <v>0</v>
      </c>
      <c r="O4596">
        <v>1</v>
      </c>
      <c r="P4596">
        <v>0</v>
      </c>
      <c r="Q4596">
        <v>0</v>
      </c>
      <c r="R4596">
        <v>0</v>
      </c>
    </row>
    <row r="4597" spans="1:18" x14ac:dyDescent="0.25">
      <c r="A4597" t="s">
        <v>14</v>
      </c>
      <c r="B4597" t="s">
        <v>8</v>
      </c>
      <c r="C4597">
        <v>2</v>
      </c>
      <c r="D4597">
        <v>2</v>
      </c>
      <c r="E4597">
        <v>1</v>
      </c>
      <c r="F4597" s="15">
        <v>46182</v>
      </c>
      <c r="G4597" t="s">
        <v>571</v>
      </c>
      <c r="H4597">
        <v>4</v>
      </c>
      <c r="I4597">
        <v>2026</v>
      </c>
      <c r="J4597">
        <v>6</v>
      </c>
      <c r="K4597" t="s">
        <v>87</v>
      </c>
      <c r="L4597" t="s">
        <v>541</v>
      </c>
      <c r="M4597" t="s">
        <v>6</v>
      </c>
      <c r="N4597" t="b">
        <v>0</v>
      </c>
      <c r="O4597">
        <v>1</v>
      </c>
      <c r="P4597">
        <v>0</v>
      </c>
      <c r="Q4597">
        <v>0</v>
      </c>
      <c r="R4597">
        <v>0</v>
      </c>
    </row>
    <row r="4598" spans="1:18" x14ac:dyDescent="0.25">
      <c r="A4598" t="s">
        <v>7</v>
      </c>
      <c r="B4598" t="s">
        <v>6</v>
      </c>
      <c r="C4598">
        <v>3</v>
      </c>
      <c r="D4598">
        <v>2</v>
      </c>
      <c r="E4598">
        <v>1</v>
      </c>
      <c r="F4598" s="15">
        <v>46182</v>
      </c>
      <c r="G4598" t="s">
        <v>571</v>
      </c>
      <c r="H4598">
        <v>4</v>
      </c>
      <c r="I4598">
        <v>2026</v>
      </c>
      <c r="J4598">
        <v>6</v>
      </c>
      <c r="K4598" t="s">
        <v>87</v>
      </c>
      <c r="L4598" t="s">
        <v>9</v>
      </c>
      <c r="M4598" t="s">
        <v>6</v>
      </c>
      <c r="N4598" t="b">
        <v>0</v>
      </c>
      <c r="O4598">
        <v>0</v>
      </c>
      <c r="P4598">
        <v>1</v>
      </c>
      <c r="Q4598">
        <v>0</v>
      </c>
      <c r="R4598">
        <v>0</v>
      </c>
    </row>
    <row r="4599" spans="1:18" x14ac:dyDescent="0.25">
      <c r="A4599" t="s">
        <v>7</v>
      </c>
      <c r="B4599" t="s">
        <v>6</v>
      </c>
      <c r="C4599">
        <v>3</v>
      </c>
      <c r="D4599">
        <v>2</v>
      </c>
      <c r="E4599">
        <v>1</v>
      </c>
      <c r="F4599" s="15">
        <v>46182</v>
      </c>
      <c r="G4599" t="s">
        <v>571</v>
      </c>
      <c r="H4599">
        <v>4</v>
      </c>
      <c r="I4599">
        <v>2026</v>
      </c>
      <c r="J4599">
        <v>6</v>
      </c>
      <c r="K4599" t="s">
        <v>87</v>
      </c>
      <c r="L4599" t="s">
        <v>14</v>
      </c>
      <c r="M4599" t="s">
        <v>8</v>
      </c>
      <c r="N4599" t="b">
        <v>0</v>
      </c>
      <c r="O4599">
        <v>0</v>
      </c>
      <c r="P4599">
        <v>1</v>
      </c>
      <c r="Q4599">
        <v>0</v>
      </c>
      <c r="R4599">
        <v>1</v>
      </c>
    </row>
    <row r="4600" spans="1:18" x14ac:dyDescent="0.25">
      <c r="A4600" t="s">
        <v>7</v>
      </c>
      <c r="B4600" t="s">
        <v>6</v>
      </c>
      <c r="C4600">
        <v>3</v>
      </c>
      <c r="D4600">
        <v>2</v>
      </c>
      <c r="E4600">
        <v>1</v>
      </c>
      <c r="F4600" s="15">
        <v>46182</v>
      </c>
      <c r="G4600" t="s">
        <v>571</v>
      </c>
      <c r="H4600">
        <v>4</v>
      </c>
      <c r="I4600">
        <v>2026</v>
      </c>
      <c r="J4600">
        <v>6</v>
      </c>
      <c r="K4600" t="s">
        <v>87</v>
      </c>
      <c r="L4600" t="s">
        <v>541</v>
      </c>
      <c r="M4600" t="s">
        <v>6</v>
      </c>
      <c r="N4600" t="b">
        <v>0</v>
      </c>
      <c r="O4600">
        <v>0</v>
      </c>
      <c r="P4600">
        <v>1</v>
      </c>
      <c r="Q4600">
        <v>0</v>
      </c>
      <c r="R4600">
        <v>0</v>
      </c>
    </row>
    <row r="4601" spans="1:18" x14ac:dyDescent="0.25">
      <c r="A4601" t="s">
        <v>541</v>
      </c>
      <c r="B4601" t="s">
        <v>6</v>
      </c>
      <c r="C4601">
        <v>4</v>
      </c>
      <c r="D4601">
        <v>2</v>
      </c>
      <c r="E4601">
        <v>1</v>
      </c>
      <c r="F4601" s="15">
        <v>46182</v>
      </c>
      <c r="G4601" t="s">
        <v>571</v>
      </c>
      <c r="H4601">
        <v>4</v>
      </c>
      <c r="I4601">
        <v>2026</v>
      </c>
      <c r="J4601">
        <v>6</v>
      </c>
      <c r="K4601" t="s">
        <v>87</v>
      </c>
      <c r="L4601" t="s">
        <v>9</v>
      </c>
      <c r="M4601" t="s">
        <v>6</v>
      </c>
      <c r="N4601" t="b">
        <v>0</v>
      </c>
      <c r="O4601">
        <v>0</v>
      </c>
      <c r="P4601">
        <v>1</v>
      </c>
      <c r="Q4601">
        <v>0</v>
      </c>
      <c r="R4601">
        <v>0</v>
      </c>
    </row>
    <row r="4602" spans="1:18" x14ac:dyDescent="0.25">
      <c r="A4602" t="s">
        <v>541</v>
      </c>
      <c r="B4602" t="s">
        <v>6</v>
      </c>
      <c r="C4602">
        <v>4</v>
      </c>
      <c r="D4602">
        <v>2</v>
      </c>
      <c r="E4602">
        <v>1</v>
      </c>
      <c r="F4602" s="15">
        <v>46182</v>
      </c>
      <c r="G4602" t="s">
        <v>571</v>
      </c>
      <c r="H4602">
        <v>4</v>
      </c>
      <c r="I4602">
        <v>2026</v>
      </c>
      <c r="J4602">
        <v>6</v>
      </c>
      <c r="K4602" t="s">
        <v>87</v>
      </c>
      <c r="L4602" t="s">
        <v>14</v>
      </c>
      <c r="M4602" t="s">
        <v>8</v>
      </c>
      <c r="N4602" t="b">
        <v>0</v>
      </c>
      <c r="O4602">
        <v>0</v>
      </c>
      <c r="P4602">
        <v>1</v>
      </c>
      <c r="Q4602">
        <v>0</v>
      </c>
      <c r="R4602">
        <v>1</v>
      </c>
    </row>
    <row r="4603" spans="1:18" x14ac:dyDescent="0.25">
      <c r="A4603" t="s">
        <v>541</v>
      </c>
      <c r="B4603" t="s">
        <v>6</v>
      </c>
      <c r="C4603">
        <v>4</v>
      </c>
      <c r="D4603">
        <v>2</v>
      </c>
      <c r="E4603">
        <v>1</v>
      </c>
      <c r="F4603" s="15">
        <v>46182</v>
      </c>
      <c r="G4603" t="s">
        <v>571</v>
      </c>
      <c r="H4603">
        <v>4</v>
      </c>
      <c r="I4603">
        <v>2026</v>
      </c>
      <c r="J4603">
        <v>6</v>
      </c>
      <c r="K4603" t="s">
        <v>87</v>
      </c>
      <c r="L4603" t="s">
        <v>7</v>
      </c>
      <c r="M4603" t="s">
        <v>6</v>
      </c>
      <c r="N4603" t="b">
        <v>0</v>
      </c>
      <c r="O4603">
        <v>0</v>
      </c>
      <c r="P4603">
        <v>1</v>
      </c>
      <c r="Q4603">
        <v>0</v>
      </c>
      <c r="R4603">
        <v>0</v>
      </c>
    </row>
    <row r="4604" spans="1:18" x14ac:dyDescent="0.25">
      <c r="A4604" t="s">
        <v>19</v>
      </c>
      <c r="B4604" t="s">
        <v>63</v>
      </c>
      <c r="C4604">
        <v>1</v>
      </c>
      <c r="D4604">
        <v>3</v>
      </c>
      <c r="E4604">
        <v>1</v>
      </c>
      <c r="F4604" s="15">
        <v>46182</v>
      </c>
      <c r="G4604" t="s">
        <v>572</v>
      </c>
      <c r="H4604">
        <v>4</v>
      </c>
      <c r="I4604">
        <v>2026</v>
      </c>
      <c r="J4604">
        <v>6</v>
      </c>
      <c r="K4604" t="s">
        <v>87</v>
      </c>
      <c r="L4604" t="s">
        <v>519</v>
      </c>
      <c r="M4604" t="s">
        <v>63</v>
      </c>
      <c r="N4604" t="b">
        <v>0</v>
      </c>
      <c r="O4604">
        <v>0</v>
      </c>
      <c r="P4604">
        <v>0</v>
      </c>
      <c r="Q4604">
        <v>1</v>
      </c>
      <c r="R4604">
        <v>0</v>
      </c>
    </row>
    <row r="4605" spans="1:18" x14ac:dyDescent="0.25">
      <c r="A4605" t="s">
        <v>19</v>
      </c>
      <c r="B4605" t="s">
        <v>63</v>
      </c>
      <c r="C4605">
        <v>1</v>
      </c>
      <c r="D4605">
        <v>3</v>
      </c>
      <c r="E4605">
        <v>1</v>
      </c>
      <c r="F4605" s="15">
        <v>46182</v>
      </c>
      <c r="G4605" t="s">
        <v>572</v>
      </c>
      <c r="H4605">
        <v>4</v>
      </c>
      <c r="I4605">
        <v>2026</v>
      </c>
      <c r="J4605">
        <v>6</v>
      </c>
      <c r="K4605" t="s">
        <v>87</v>
      </c>
      <c r="L4605" t="s">
        <v>10</v>
      </c>
      <c r="M4605" t="s">
        <v>63</v>
      </c>
      <c r="N4605" t="b">
        <v>0</v>
      </c>
      <c r="O4605">
        <v>0</v>
      </c>
      <c r="P4605">
        <v>0</v>
      </c>
      <c r="Q4605">
        <v>1</v>
      </c>
      <c r="R4605">
        <v>0</v>
      </c>
    </row>
    <row r="4606" spans="1:18" x14ac:dyDescent="0.25">
      <c r="A4606" t="s">
        <v>19</v>
      </c>
      <c r="B4606" t="s">
        <v>63</v>
      </c>
      <c r="C4606">
        <v>1</v>
      </c>
      <c r="D4606">
        <v>3</v>
      </c>
      <c r="E4606">
        <v>1</v>
      </c>
      <c r="F4606" s="15">
        <v>46182</v>
      </c>
      <c r="G4606" t="s">
        <v>572</v>
      </c>
      <c r="H4606">
        <v>4</v>
      </c>
      <c r="I4606">
        <v>2026</v>
      </c>
      <c r="J4606">
        <v>6</v>
      </c>
      <c r="K4606" t="s">
        <v>87</v>
      </c>
      <c r="L4606" t="s">
        <v>17</v>
      </c>
      <c r="M4606" t="s">
        <v>63</v>
      </c>
      <c r="N4606" t="b">
        <v>0</v>
      </c>
      <c r="O4606">
        <v>0</v>
      </c>
      <c r="P4606">
        <v>0</v>
      </c>
      <c r="Q4606">
        <v>1</v>
      </c>
      <c r="R4606">
        <v>0</v>
      </c>
    </row>
    <row r="4607" spans="1:18" x14ac:dyDescent="0.25">
      <c r="A4607" t="s">
        <v>519</v>
      </c>
      <c r="B4607" t="s">
        <v>63</v>
      </c>
      <c r="C4607">
        <v>2</v>
      </c>
      <c r="D4607">
        <v>3</v>
      </c>
      <c r="E4607">
        <v>1</v>
      </c>
      <c r="F4607" s="15">
        <v>46182</v>
      </c>
      <c r="G4607" t="s">
        <v>572</v>
      </c>
      <c r="H4607">
        <v>4</v>
      </c>
      <c r="I4607">
        <v>2026</v>
      </c>
      <c r="J4607">
        <v>6</v>
      </c>
      <c r="K4607" t="s">
        <v>87</v>
      </c>
      <c r="L4607" t="s">
        <v>19</v>
      </c>
      <c r="M4607" t="s">
        <v>63</v>
      </c>
      <c r="N4607" t="b">
        <v>0</v>
      </c>
      <c r="O4607">
        <v>0</v>
      </c>
      <c r="P4607">
        <v>0</v>
      </c>
      <c r="Q4607">
        <v>1</v>
      </c>
      <c r="R4607">
        <v>0</v>
      </c>
    </row>
    <row r="4608" spans="1:18" x14ac:dyDescent="0.25">
      <c r="A4608" t="s">
        <v>519</v>
      </c>
      <c r="B4608" t="s">
        <v>63</v>
      </c>
      <c r="C4608">
        <v>2</v>
      </c>
      <c r="D4608">
        <v>3</v>
      </c>
      <c r="E4608">
        <v>1</v>
      </c>
      <c r="F4608" s="15">
        <v>46182</v>
      </c>
      <c r="G4608" t="s">
        <v>572</v>
      </c>
      <c r="H4608">
        <v>4</v>
      </c>
      <c r="I4608">
        <v>2026</v>
      </c>
      <c r="J4608">
        <v>6</v>
      </c>
      <c r="K4608" t="s">
        <v>87</v>
      </c>
      <c r="L4608" t="s">
        <v>10</v>
      </c>
      <c r="M4608" t="s">
        <v>63</v>
      </c>
      <c r="N4608" t="b">
        <v>0</v>
      </c>
      <c r="O4608">
        <v>0</v>
      </c>
      <c r="P4608">
        <v>0</v>
      </c>
      <c r="Q4608">
        <v>1</v>
      </c>
      <c r="R4608">
        <v>0</v>
      </c>
    </row>
    <row r="4609" spans="1:18" x14ac:dyDescent="0.25">
      <c r="A4609" t="s">
        <v>519</v>
      </c>
      <c r="B4609" t="s">
        <v>63</v>
      </c>
      <c r="C4609">
        <v>2</v>
      </c>
      <c r="D4609">
        <v>3</v>
      </c>
      <c r="E4609">
        <v>1</v>
      </c>
      <c r="F4609" s="15">
        <v>46182</v>
      </c>
      <c r="G4609" t="s">
        <v>572</v>
      </c>
      <c r="H4609">
        <v>4</v>
      </c>
      <c r="I4609">
        <v>2026</v>
      </c>
      <c r="J4609">
        <v>6</v>
      </c>
      <c r="K4609" t="s">
        <v>87</v>
      </c>
      <c r="L4609" t="s">
        <v>17</v>
      </c>
      <c r="M4609" t="s">
        <v>63</v>
      </c>
      <c r="N4609" t="b">
        <v>0</v>
      </c>
      <c r="O4609">
        <v>0</v>
      </c>
      <c r="P4609">
        <v>0</v>
      </c>
      <c r="Q4609">
        <v>1</v>
      </c>
      <c r="R4609">
        <v>0</v>
      </c>
    </row>
    <row r="4610" spans="1:18" x14ac:dyDescent="0.25">
      <c r="A4610" t="s">
        <v>10</v>
      </c>
      <c r="B4610" t="s">
        <v>63</v>
      </c>
      <c r="C4610">
        <v>3</v>
      </c>
      <c r="D4610">
        <v>3</v>
      </c>
      <c r="E4610">
        <v>1</v>
      </c>
      <c r="F4610" s="15">
        <v>46182</v>
      </c>
      <c r="G4610" t="s">
        <v>572</v>
      </c>
      <c r="H4610">
        <v>4</v>
      </c>
      <c r="I4610">
        <v>2026</v>
      </c>
      <c r="J4610">
        <v>6</v>
      </c>
      <c r="K4610" t="s">
        <v>87</v>
      </c>
      <c r="L4610" t="s">
        <v>19</v>
      </c>
      <c r="M4610" t="s">
        <v>63</v>
      </c>
      <c r="N4610" t="b">
        <v>0</v>
      </c>
      <c r="O4610">
        <v>0</v>
      </c>
      <c r="P4610">
        <v>0</v>
      </c>
      <c r="Q4610">
        <v>1</v>
      </c>
      <c r="R4610">
        <v>0</v>
      </c>
    </row>
    <row r="4611" spans="1:18" x14ac:dyDescent="0.25">
      <c r="A4611" t="s">
        <v>10</v>
      </c>
      <c r="B4611" t="s">
        <v>63</v>
      </c>
      <c r="C4611">
        <v>3</v>
      </c>
      <c r="D4611">
        <v>3</v>
      </c>
      <c r="E4611">
        <v>1</v>
      </c>
      <c r="F4611" s="15">
        <v>46182</v>
      </c>
      <c r="G4611" t="s">
        <v>572</v>
      </c>
      <c r="H4611">
        <v>4</v>
      </c>
      <c r="I4611">
        <v>2026</v>
      </c>
      <c r="J4611">
        <v>6</v>
      </c>
      <c r="K4611" t="s">
        <v>87</v>
      </c>
      <c r="L4611" t="s">
        <v>519</v>
      </c>
      <c r="M4611" t="s">
        <v>63</v>
      </c>
      <c r="N4611" t="b">
        <v>0</v>
      </c>
      <c r="O4611">
        <v>0</v>
      </c>
      <c r="P4611">
        <v>0</v>
      </c>
      <c r="Q4611">
        <v>1</v>
      </c>
      <c r="R4611">
        <v>0</v>
      </c>
    </row>
    <row r="4612" spans="1:18" x14ac:dyDescent="0.25">
      <c r="A4612" t="s">
        <v>10</v>
      </c>
      <c r="B4612" t="s">
        <v>63</v>
      </c>
      <c r="C4612">
        <v>3</v>
      </c>
      <c r="D4612">
        <v>3</v>
      </c>
      <c r="E4612">
        <v>1</v>
      </c>
      <c r="F4612" s="15">
        <v>46182</v>
      </c>
      <c r="G4612" t="s">
        <v>572</v>
      </c>
      <c r="H4612">
        <v>4</v>
      </c>
      <c r="I4612">
        <v>2026</v>
      </c>
      <c r="J4612">
        <v>6</v>
      </c>
      <c r="K4612" t="s">
        <v>87</v>
      </c>
      <c r="L4612" t="s">
        <v>17</v>
      </c>
      <c r="M4612" t="s">
        <v>63</v>
      </c>
      <c r="N4612" t="b">
        <v>0</v>
      </c>
      <c r="O4612">
        <v>0</v>
      </c>
      <c r="P4612">
        <v>0</v>
      </c>
      <c r="Q4612">
        <v>1</v>
      </c>
      <c r="R4612">
        <v>0</v>
      </c>
    </row>
    <row r="4613" spans="1:18" x14ac:dyDescent="0.25">
      <c r="A4613" t="s">
        <v>17</v>
      </c>
      <c r="B4613" t="s">
        <v>63</v>
      </c>
      <c r="C4613">
        <v>4</v>
      </c>
      <c r="D4613">
        <v>3</v>
      </c>
      <c r="E4613">
        <v>1</v>
      </c>
      <c r="F4613" s="15">
        <v>46182</v>
      </c>
      <c r="G4613" t="s">
        <v>572</v>
      </c>
      <c r="H4613">
        <v>4</v>
      </c>
      <c r="I4613">
        <v>2026</v>
      </c>
      <c r="J4613">
        <v>6</v>
      </c>
      <c r="K4613" t="s">
        <v>87</v>
      </c>
      <c r="L4613" t="s">
        <v>19</v>
      </c>
      <c r="M4613" t="s">
        <v>63</v>
      </c>
      <c r="N4613" t="b">
        <v>0</v>
      </c>
      <c r="O4613">
        <v>0</v>
      </c>
      <c r="P4613">
        <v>0</v>
      </c>
      <c r="Q4613">
        <v>1</v>
      </c>
      <c r="R4613">
        <v>0</v>
      </c>
    </row>
    <row r="4614" spans="1:18" x14ac:dyDescent="0.25">
      <c r="A4614" t="s">
        <v>17</v>
      </c>
      <c r="B4614" t="s">
        <v>63</v>
      </c>
      <c r="C4614">
        <v>4</v>
      </c>
      <c r="D4614">
        <v>3</v>
      </c>
      <c r="E4614">
        <v>1</v>
      </c>
      <c r="F4614" s="15">
        <v>46182</v>
      </c>
      <c r="G4614" t="s">
        <v>572</v>
      </c>
      <c r="H4614">
        <v>4</v>
      </c>
      <c r="I4614">
        <v>2026</v>
      </c>
      <c r="J4614">
        <v>6</v>
      </c>
      <c r="K4614" t="s">
        <v>87</v>
      </c>
      <c r="L4614" t="s">
        <v>519</v>
      </c>
      <c r="M4614" t="s">
        <v>63</v>
      </c>
      <c r="N4614" t="b">
        <v>0</v>
      </c>
      <c r="O4614">
        <v>0</v>
      </c>
      <c r="P4614">
        <v>0</v>
      </c>
      <c r="Q4614">
        <v>1</v>
      </c>
      <c r="R4614">
        <v>0</v>
      </c>
    </row>
    <row r="4615" spans="1:18" x14ac:dyDescent="0.25">
      <c r="A4615" t="s">
        <v>17</v>
      </c>
      <c r="B4615" t="s">
        <v>63</v>
      </c>
      <c r="C4615">
        <v>4</v>
      </c>
      <c r="D4615">
        <v>3</v>
      </c>
      <c r="E4615">
        <v>1</v>
      </c>
      <c r="F4615" s="15">
        <v>46182</v>
      </c>
      <c r="G4615" t="s">
        <v>572</v>
      </c>
      <c r="H4615">
        <v>4</v>
      </c>
      <c r="I4615">
        <v>2026</v>
      </c>
      <c r="J4615">
        <v>6</v>
      </c>
      <c r="K4615" t="s">
        <v>87</v>
      </c>
      <c r="L4615" t="s">
        <v>10</v>
      </c>
      <c r="M4615" t="s">
        <v>63</v>
      </c>
      <c r="N4615" t="b">
        <v>0</v>
      </c>
      <c r="O4615">
        <v>0</v>
      </c>
      <c r="P4615">
        <v>0</v>
      </c>
      <c r="Q4615">
        <v>1</v>
      </c>
      <c r="R4615">
        <v>0</v>
      </c>
    </row>
    <row r="4616" spans="1:18" x14ac:dyDescent="0.25">
      <c r="A4616" t="s">
        <v>28</v>
      </c>
      <c r="B4616" t="s">
        <v>63</v>
      </c>
      <c r="C4616">
        <v>1</v>
      </c>
      <c r="D4616">
        <v>4</v>
      </c>
      <c r="E4616">
        <v>1</v>
      </c>
      <c r="F4616" s="15">
        <v>46182</v>
      </c>
      <c r="G4616" t="s">
        <v>573</v>
      </c>
      <c r="H4616">
        <v>4</v>
      </c>
      <c r="I4616">
        <v>2026</v>
      </c>
      <c r="J4616">
        <v>6</v>
      </c>
      <c r="K4616" t="s">
        <v>87</v>
      </c>
      <c r="L4616" t="s">
        <v>20</v>
      </c>
      <c r="M4616" t="s">
        <v>63</v>
      </c>
      <c r="N4616" t="b">
        <v>0</v>
      </c>
      <c r="O4616">
        <v>0</v>
      </c>
      <c r="P4616">
        <v>0</v>
      </c>
      <c r="Q4616">
        <v>1</v>
      </c>
      <c r="R4616">
        <v>0</v>
      </c>
    </row>
    <row r="4617" spans="1:18" x14ac:dyDescent="0.25">
      <c r="A4617" t="s">
        <v>28</v>
      </c>
      <c r="B4617" t="s">
        <v>63</v>
      </c>
      <c r="C4617">
        <v>1</v>
      </c>
      <c r="D4617">
        <v>4</v>
      </c>
      <c r="E4617">
        <v>1</v>
      </c>
      <c r="F4617" s="15">
        <v>46182</v>
      </c>
      <c r="G4617" t="s">
        <v>573</v>
      </c>
      <c r="H4617">
        <v>4</v>
      </c>
      <c r="I4617">
        <v>2026</v>
      </c>
      <c r="J4617">
        <v>6</v>
      </c>
      <c r="K4617" t="s">
        <v>87</v>
      </c>
      <c r="L4617" t="s">
        <v>435</v>
      </c>
      <c r="M4617" t="s">
        <v>63</v>
      </c>
      <c r="N4617" t="b">
        <v>0</v>
      </c>
      <c r="O4617">
        <v>0</v>
      </c>
      <c r="P4617">
        <v>0</v>
      </c>
      <c r="Q4617">
        <v>1</v>
      </c>
      <c r="R4617">
        <v>0</v>
      </c>
    </row>
    <row r="4618" spans="1:18" x14ac:dyDescent="0.25">
      <c r="A4618" t="s">
        <v>28</v>
      </c>
      <c r="B4618" t="s">
        <v>63</v>
      </c>
      <c r="C4618">
        <v>1</v>
      </c>
      <c r="D4618">
        <v>4</v>
      </c>
      <c r="E4618">
        <v>1</v>
      </c>
      <c r="F4618" s="15">
        <v>46182</v>
      </c>
      <c r="G4618" t="s">
        <v>573</v>
      </c>
      <c r="H4618">
        <v>4</v>
      </c>
      <c r="I4618">
        <v>2026</v>
      </c>
      <c r="J4618">
        <v>6</v>
      </c>
      <c r="K4618" t="s">
        <v>87</v>
      </c>
      <c r="L4618" t="s">
        <v>351</v>
      </c>
      <c r="M4618" t="s">
        <v>63</v>
      </c>
      <c r="N4618" t="b">
        <v>0</v>
      </c>
      <c r="O4618">
        <v>0</v>
      </c>
      <c r="P4618">
        <v>0</v>
      </c>
      <c r="Q4618">
        <v>1</v>
      </c>
      <c r="R4618">
        <v>0</v>
      </c>
    </row>
    <row r="4619" spans="1:18" x14ac:dyDescent="0.25">
      <c r="A4619" t="s">
        <v>20</v>
      </c>
      <c r="B4619" t="s">
        <v>63</v>
      </c>
      <c r="C4619">
        <v>2</v>
      </c>
      <c r="D4619">
        <v>4</v>
      </c>
      <c r="E4619">
        <v>1</v>
      </c>
      <c r="F4619" s="15">
        <v>46182</v>
      </c>
      <c r="G4619" t="s">
        <v>573</v>
      </c>
      <c r="H4619">
        <v>4</v>
      </c>
      <c r="I4619">
        <v>2026</v>
      </c>
      <c r="J4619">
        <v>6</v>
      </c>
      <c r="K4619" t="s">
        <v>87</v>
      </c>
      <c r="L4619" t="s">
        <v>28</v>
      </c>
      <c r="M4619" t="s">
        <v>63</v>
      </c>
      <c r="N4619" t="b">
        <v>0</v>
      </c>
      <c r="O4619">
        <v>0</v>
      </c>
      <c r="P4619">
        <v>0</v>
      </c>
      <c r="Q4619">
        <v>1</v>
      </c>
      <c r="R4619">
        <v>0</v>
      </c>
    </row>
    <row r="4620" spans="1:18" x14ac:dyDescent="0.25">
      <c r="A4620" t="s">
        <v>20</v>
      </c>
      <c r="B4620" t="s">
        <v>63</v>
      </c>
      <c r="C4620">
        <v>2</v>
      </c>
      <c r="D4620">
        <v>4</v>
      </c>
      <c r="E4620">
        <v>1</v>
      </c>
      <c r="F4620" s="15">
        <v>46182</v>
      </c>
      <c r="G4620" t="s">
        <v>573</v>
      </c>
      <c r="H4620">
        <v>4</v>
      </c>
      <c r="I4620">
        <v>2026</v>
      </c>
      <c r="J4620">
        <v>6</v>
      </c>
      <c r="K4620" t="s">
        <v>87</v>
      </c>
      <c r="L4620" t="s">
        <v>435</v>
      </c>
      <c r="M4620" t="s">
        <v>63</v>
      </c>
      <c r="N4620" t="b">
        <v>0</v>
      </c>
      <c r="O4620">
        <v>0</v>
      </c>
      <c r="P4620">
        <v>0</v>
      </c>
      <c r="Q4620">
        <v>1</v>
      </c>
      <c r="R4620">
        <v>0</v>
      </c>
    </row>
    <row r="4621" spans="1:18" x14ac:dyDescent="0.25">
      <c r="A4621" t="s">
        <v>20</v>
      </c>
      <c r="B4621" t="s">
        <v>63</v>
      </c>
      <c r="C4621">
        <v>2</v>
      </c>
      <c r="D4621">
        <v>4</v>
      </c>
      <c r="E4621">
        <v>1</v>
      </c>
      <c r="F4621" s="15">
        <v>46182</v>
      </c>
      <c r="G4621" t="s">
        <v>573</v>
      </c>
      <c r="H4621">
        <v>4</v>
      </c>
      <c r="I4621">
        <v>2026</v>
      </c>
      <c r="J4621">
        <v>6</v>
      </c>
      <c r="K4621" t="s">
        <v>87</v>
      </c>
      <c r="L4621" t="s">
        <v>351</v>
      </c>
      <c r="M4621" t="s">
        <v>63</v>
      </c>
      <c r="N4621" t="b">
        <v>0</v>
      </c>
      <c r="O4621">
        <v>0</v>
      </c>
      <c r="P4621">
        <v>0</v>
      </c>
      <c r="Q4621">
        <v>1</v>
      </c>
      <c r="R4621">
        <v>0</v>
      </c>
    </row>
    <row r="4622" spans="1:18" x14ac:dyDescent="0.25">
      <c r="A4622" t="s">
        <v>435</v>
      </c>
      <c r="B4622" t="s">
        <v>63</v>
      </c>
      <c r="C4622">
        <v>3</v>
      </c>
      <c r="D4622">
        <v>4</v>
      </c>
      <c r="E4622">
        <v>1</v>
      </c>
      <c r="F4622" s="15">
        <v>46182</v>
      </c>
      <c r="G4622" t="s">
        <v>573</v>
      </c>
      <c r="H4622">
        <v>4</v>
      </c>
      <c r="I4622">
        <v>2026</v>
      </c>
      <c r="J4622">
        <v>6</v>
      </c>
      <c r="K4622" t="s">
        <v>87</v>
      </c>
      <c r="L4622" t="s">
        <v>28</v>
      </c>
      <c r="M4622" t="s">
        <v>63</v>
      </c>
      <c r="N4622" t="b">
        <v>0</v>
      </c>
      <c r="O4622">
        <v>0</v>
      </c>
      <c r="P4622">
        <v>0</v>
      </c>
      <c r="Q4622">
        <v>1</v>
      </c>
      <c r="R4622">
        <v>0</v>
      </c>
    </row>
    <row r="4623" spans="1:18" x14ac:dyDescent="0.25">
      <c r="A4623" t="s">
        <v>435</v>
      </c>
      <c r="B4623" t="s">
        <v>63</v>
      </c>
      <c r="C4623">
        <v>3</v>
      </c>
      <c r="D4623">
        <v>4</v>
      </c>
      <c r="E4623">
        <v>1</v>
      </c>
      <c r="F4623" s="15">
        <v>46182</v>
      </c>
      <c r="G4623" t="s">
        <v>573</v>
      </c>
      <c r="H4623">
        <v>4</v>
      </c>
      <c r="I4623">
        <v>2026</v>
      </c>
      <c r="J4623">
        <v>6</v>
      </c>
      <c r="K4623" t="s">
        <v>87</v>
      </c>
      <c r="L4623" t="s">
        <v>20</v>
      </c>
      <c r="M4623" t="s">
        <v>63</v>
      </c>
      <c r="N4623" t="b">
        <v>0</v>
      </c>
      <c r="O4623">
        <v>0</v>
      </c>
      <c r="P4623">
        <v>0</v>
      </c>
      <c r="Q4623">
        <v>1</v>
      </c>
      <c r="R4623">
        <v>0</v>
      </c>
    </row>
    <row r="4624" spans="1:18" x14ac:dyDescent="0.25">
      <c r="A4624" t="s">
        <v>435</v>
      </c>
      <c r="B4624" t="s">
        <v>63</v>
      </c>
      <c r="C4624">
        <v>3</v>
      </c>
      <c r="D4624">
        <v>4</v>
      </c>
      <c r="E4624">
        <v>1</v>
      </c>
      <c r="F4624" s="15">
        <v>46182</v>
      </c>
      <c r="G4624" t="s">
        <v>573</v>
      </c>
      <c r="H4624">
        <v>4</v>
      </c>
      <c r="I4624">
        <v>2026</v>
      </c>
      <c r="J4624">
        <v>6</v>
      </c>
      <c r="K4624" t="s">
        <v>87</v>
      </c>
      <c r="L4624" t="s">
        <v>351</v>
      </c>
      <c r="M4624" t="s">
        <v>63</v>
      </c>
      <c r="N4624" t="b">
        <v>0</v>
      </c>
      <c r="O4624">
        <v>0</v>
      </c>
      <c r="P4624">
        <v>0</v>
      </c>
      <c r="Q4624">
        <v>1</v>
      </c>
      <c r="R4624">
        <v>0</v>
      </c>
    </row>
    <row r="4625" spans="1:18" x14ac:dyDescent="0.25">
      <c r="A4625" t="s">
        <v>351</v>
      </c>
      <c r="B4625" t="s">
        <v>63</v>
      </c>
      <c r="C4625">
        <v>4</v>
      </c>
      <c r="D4625">
        <v>4</v>
      </c>
      <c r="E4625">
        <v>1</v>
      </c>
      <c r="F4625" s="15">
        <v>46182</v>
      </c>
      <c r="G4625" t="s">
        <v>573</v>
      </c>
      <c r="H4625">
        <v>4</v>
      </c>
      <c r="I4625">
        <v>2026</v>
      </c>
      <c r="J4625">
        <v>6</v>
      </c>
      <c r="K4625" t="s">
        <v>87</v>
      </c>
      <c r="L4625" t="s">
        <v>28</v>
      </c>
      <c r="M4625" t="s">
        <v>63</v>
      </c>
      <c r="N4625" t="b">
        <v>0</v>
      </c>
      <c r="O4625">
        <v>0</v>
      </c>
      <c r="P4625">
        <v>0</v>
      </c>
      <c r="Q4625">
        <v>1</v>
      </c>
      <c r="R4625">
        <v>0</v>
      </c>
    </row>
    <row r="4626" spans="1:18" x14ac:dyDescent="0.25">
      <c r="A4626" t="s">
        <v>351</v>
      </c>
      <c r="B4626" t="s">
        <v>63</v>
      </c>
      <c r="C4626">
        <v>4</v>
      </c>
      <c r="D4626">
        <v>4</v>
      </c>
      <c r="E4626">
        <v>1</v>
      </c>
      <c r="F4626" s="15">
        <v>46182</v>
      </c>
      <c r="G4626" t="s">
        <v>573</v>
      </c>
      <c r="H4626">
        <v>4</v>
      </c>
      <c r="I4626">
        <v>2026</v>
      </c>
      <c r="J4626">
        <v>6</v>
      </c>
      <c r="K4626" t="s">
        <v>87</v>
      </c>
      <c r="L4626" t="s">
        <v>20</v>
      </c>
      <c r="M4626" t="s">
        <v>63</v>
      </c>
      <c r="N4626" t="b">
        <v>0</v>
      </c>
      <c r="O4626">
        <v>0</v>
      </c>
      <c r="P4626">
        <v>0</v>
      </c>
      <c r="Q4626">
        <v>1</v>
      </c>
      <c r="R4626">
        <v>0</v>
      </c>
    </row>
    <row r="4627" spans="1:18" x14ac:dyDescent="0.25">
      <c r="A4627" t="s">
        <v>351</v>
      </c>
      <c r="B4627" t="s">
        <v>63</v>
      </c>
      <c r="C4627">
        <v>4</v>
      </c>
      <c r="D4627">
        <v>4</v>
      </c>
      <c r="E4627">
        <v>1</v>
      </c>
      <c r="F4627" s="15">
        <v>46182</v>
      </c>
      <c r="G4627" t="s">
        <v>573</v>
      </c>
      <c r="H4627">
        <v>4</v>
      </c>
      <c r="I4627">
        <v>2026</v>
      </c>
      <c r="J4627">
        <v>6</v>
      </c>
      <c r="K4627" t="s">
        <v>87</v>
      </c>
      <c r="L4627" t="s">
        <v>435</v>
      </c>
      <c r="M4627" t="s">
        <v>63</v>
      </c>
      <c r="N4627" t="b">
        <v>0</v>
      </c>
      <c r="O4627">
        <v>0</v>
      </c>
      <c r="P4627">
        <v>0</v>
      </c>
      <c r="Q4627">
        <v>1</v>
      </c>
      <c r="R4627">
        <v>0</v>
      </c>
    </row>
    <row r="4628" spans="1:18" x14ac:dyDescent="0.25">
      <c r="A4628" t="s">
        <v>11</v>
      </c>
      <c r="B4628" t="s">
        <v>8</v>
      </c>
      <c r="C4628">
        <v>1</v>
      </c>
      <c r="D4628">
        <v>5</v>
      </c>
      <c r="E4628">
        <v>1</v>
      </c>
      <c r="F4628" s="15">
        <v>46182</v>
      </c>
      <c r="G4628" t="s">
        <v>574</v>
      </c>
      <c r="H4628">
        <v>4</v>
      </c>
      <c r="I4628">
        <v>2026</v>
      </c>
      <c r="J4628">
        <v>6</v>
      </c>
      <c r="K4628" t="s">
        <v>87</v>
      </c>
      <c r="L4628" t="s">
        <v>405</v>
      </c>
      <c r="M4628" t="s">
        <v>6</v>
      </c>
      <c r="N4628" t="b">
        <v>0</v>
      </c>
      <c r="O4628">
        <v>1</v>
      </c>
      <c r="P4628">
        <v>0</v>
      </c>
      <c r="Q4628">
        <v>0</v>
      </c>
      <c r="R4628">
        <v>0</v>
      </c>
    </row>
    <row r="4629" spans="1:18" x14ac:dyDescent="0.25">
      <c r="A4629" t="s">
        <v>11</v>
      </c>
      <c r="B4629" t="s">
        <v>8</v>
      </c>
      <c r="C4629">
        <v>1</v>
      </c>
      <c r="D4629">
        <v>5</v>
      </c>
      <c r="E4629">
        <v>1</v>
      </c>
      <c r="F4629" s="15">
        <v>46182</v>
      </c>
      <c r="G4629" t="s">
        <v>574</v>
      </c>
      <c r="H4629">
        <v>4</v>
      </c>
      <c r="I4629">
        <v>2026</v>
      </c>
      <c r="J4629">
        <v>6</v>
      </c>
      <c r="K4629" t="s">
        <v>87</v>
      </c>
      <c r="L4629" t="s">
        <v>569</v>
      </c>
      <c r="M4629" t="s">
        <v>6</v>
      </c>
      <c r="N4629" t="b">
        <v>0</v>
      </c>
      <c r="O4629">
        <v>1</v>
      </c>
      <c r="P4629">
        <v>0</v>
      </c>
      <c r="Q4629">
        <v>0</v>
      </c>
      <c r="R4629">
        <v>0</v>
      </c>
    </row>
    <row r="4630" spans="1:18" x14ac:dyDescent="0.25">
      <c r="A4630" t="s">
        <v>11</v>
      </c>
      <c r="B4630" t="s">
        <v>8</v>
      </c>
      <c r="C4630">
        <v>1</v>
      </c>
      <c r="D4630">
        <v>5</v>
      </c>
      <c r="E4630">
        <v>1</v>
      </c>
      <c r="F4630" s="15">
        <v>46182</v>
      </c>
      <c r="G4630" t="s">
        <v>574</v>
      </c>
      <c r="H4630">
        <v>4</v>
      </c>
      <c r="I4630">
        <v>2026</v>
      </c>
      <c r="J4630">
        <v>6</v>
      </c>
      <c r="K4630" t="s">
        <v>87</v>
      </c>
      <c r="L4630" t="s">
        <v>41</v>
      </c>
      <c r="M4630" t="s">
        <v>6</v>
      </c>
      <c r="N4630" t="b">
        <v>0</v>
      </c>
      <c r="O4630">
        <v>1</v>
      </c>
      <c r="P4630">
        <v>0</v>
      </c>
      <c r="Q4630">
        <v>0</v>
      </c>
      <c r="R4630">
        <v>0</v>
      </c>
    </row>
    <row r="4631" spans="1:18" x14ac:dyDescent="0.25">
      <c r="A4631" t="s">
        <v>405</v>
      </c>
      <c r="B4631" t="s">
        <v>6</v>
      </c>
      <c r="C4631">
        <v>2</v>
      </c>
      <c r="D4631">
        <v>5</v>
      </c>
      <c r="E4631">
        <v>1</v>
      </c>
      <c r="F4631" s="15">
        <v>46182</v>
      </c>
      <c r="G4631" t="s">
        <v>574</v>
      </c>
      <c r="H4631">
        <v>4</v>
      </c>
      <c r="I4631">
        <v>2026</v>
      </c>
      <c r="J4631">
        <v>6</v>
      </c>
      <c r="K4631" t="s">
        <v>87</v>
      </c>
      <c r="L4631" t="s">
        <v>11</v>
      </c>
      <c r="M4631" t="s">
        <v>8</v>
      </c>
      <c r="N4631" t="b">
        <v>0</v>
      </c>
      <c r="O4631">
        <v>0</v>
      </c>
      <c r="P4631">
        <v>1</v>
      </c>
      <c r="Q4631">
        <v>0</v>
      </c>
      <c r="R4631">
        <v>1</v>
      </c>
    </row>
    <row r="4632" spans="1:18" x14ac:dyDescent="0.25">
      <c r="A4632" t="s">
        <v>405</v>
      </c>
      <c r="B4632" t="s">
        <v>6</v>
      </c>
      <c r="C4632">
        <v>2</v>
      </c>
      <c r="D4632">
        <v>5</v>
      </c>
      <c r="E4632">
        <v>1</v>
      </c>
      <c r="F4632" s="15">
        <v>46182</v>
      </c>
      <c r="G4632" t="s">
        <v>574</v>
      </c>
      <c r="H4632">
        <v>4</v>
      </c>
      <c r="I4632">
        <v>2026</v>
      </c>
      <c r="J4632">
        <v>6</v>
      </c>
      <c r="K4632" t="s">
        <v>87</v>
      </c>
      <c r="L4632" t="s">
        <v>569</v>
      </c>
      <c r="M4632" t="s">
        <v>6</v>
      </c>
      <c r="N4632" t="b">
        <v>0</v>
      </c>
      <c r="O4632">
        <v>0</v>
      </c>
      <c r="P4632">
        <v>1</v>
      </c>
      <c r="Q4632">
        <v>0</v>
      </c>
      <c r="R4632">
        <v>0</v>
      </c>
    </row>
    <row r="4633" spans="1:18" x14ac:dyDescent="0.25">
      <c r="A4633" t="s">
        <v>405</v>
      </c>
      <c r="B4633" t="s">
        <v>6</v>
      </c>
      <c r="C4633">
        <v>2</v>
      </c>
      <c r="D4633">
        <v>5</v>
      </c>
      <c r="E4633">
        <v>1</v>
      </c>
      <c r="F4633" s="15">
        <v>46182</v>
      </c>
      <c r="G4633" t="s">
        <v>574</v>
      </c>
      <c r="H4633">
        <v>4</v>
      </c>
      <c r="I4633">
        <v>2026</v>
      </c>
      <c r="J4633">
        <v>6</v>
      </c>
      <c r="K4633" t="s">
        <v>87</v>
      </c>
      <c r="L4633" t="s">
        <v>41</v>
      </c>
      <c r="M4633" t="s">
        <v>6</v>
      </c>
      <c r="N4633" t="b">
        <v>0</v>
      </c>
      <c r="O4633">
        <v>0</v>
      </c>
      <c r="P4633">
        <v>1</v>
      </c>
      <c r="Q4633">
        <v>0</v>
      </c>
      <c r="R4633">
        <v>0</v>
      </c>
    </row>
    <row r="4634" spans="1:18" x14ac:dyDescent="0.25">
      <c r="A4634" t="s">
        <v>569</v>
      </c>
      <c r="B4634" t="s">
        <v>6</v>
      </c>
      <c r="C4634">
        <v>3</v>
      </c>
      <c r="D4634">
        <v>5</v>
      </c>
      <c r="E4634">
        <v>1</v>
      </c>
      <c r="F4634" s="15">
        <v>46182</v>
      </c>
      <c r="G4634" t="s">
        <v>574</v>
      </c>
      <c r="H4634">
        <v>4</v>
      </c>
      <c r="I4634">
        <v>2026</v>
      </c>
      <c r="J4634">
        <v>6</v>
      </c>
      <c r="K4634" t="s">
        <v>87</v>
      </c>
      <c r="L4634" t="s">
        <v>11</v>
      </c>
      <c r="M4634" t="s">
        <v>8</v>
      </c>
      <c r="N4634" t="b">
        <v>0</v>
      </c>
      <c r="O4634">
        <v>0</v>
      </c>
      <c r="P4634">
        <v>1</v>
      </c>
      <c r="Q4634">
        <v>0</v>
      </c>
      <c r="R4634">
        <v>1</v>
      </c>
    </row>
    <row r="4635" spans="1:18" x14ac:dyDescent="0.25">
      <c r="A4635" t="s">
        <v>569</v>
      </c>
      <c r="B4635" t="s">
        <v>6</v>
      </c>
      <c r="C4635">
        <v>3</v>
      </c>
      <c r="D4635">
        <v>5</v>
      </c>
      <c r="E4635">
        <v>1</v>
      </c>
      <c r="F4635" s="15">
        <v>46182</v>
      </c>
      <c r="G4635" t="s">
        <v>574</v>
      </c>
      <c r="H4635">
        <v>4</v>
      </c>
      <c r="I4635">
        <v>2026</v>
      </c>
      <c r="J4635">
        <v>6</v>
      </c>
      <c r="K4635" t="s">
        <v>87</v>
      </c>
      <c r="L4635" t="s">
        <v>405</v>
      </c>
      <c r="M4635" t="s">
        <v>6</v>
      </c>
      <c r="N4635" t="b">
        <v>0</v>
      </c>
      <c r="O4635">
        <v>0</v>
      </c>
      <c r="P4635">
        <v>1</v>
      </c>
      <c r="Q4635">
        <v>0</v>
      </c>
      <c r="R4635">
        <v>0</v>
      </c>
    </row>
    <row r="4636" spans="1:18" x14ac:dyDescent="0.25">
      <c r="A4636" t="s">
        <v>569</v>
      </c>
      <c r="B4636" t="s">
        <v>6</v>
      </c>
      <c r="C4636">
        <v>3</v>
      </c>
      <c r="D4636">
        <v>5</v>
      </c>
      <c r="E4636">
        <v>1</v>
      </c>
      <c r="F4636" s="15">
        <v>46182</v>
      </c>
      <c r="G4636" t="s">
        <v>574</v>
      </c>
      <c r="H4636">
        <v>4</v>
      </c>
      <c r="I4636">
        <v>2026</v>
      </c>
      <c r="J4636">
        <v>6</v>
      </c>
      <c r="K4636" t="s">
        <v>87</v>
      </c>
      <c r="L4636" t="s">
        <v>41</v>
      </c>
      <c r="M4636" t="s">
        <v>6</v>
      </c>
      <c r="N4636" t="b">
        <v>0</v>
      </c>
      <c r="O4636">
        <v>0</v>
      </c>
      <c r="P4636">
        <v>1</v>
      </c>
      <c r="Q4636">
        <v>0</v>
      </c>
      <c r="R4636">
        <v>0</v>
      </c>
    </row>
    <row r="4637" spans="1:18" x14ac:dyDescent="0.25">
      <c r="A4637" t="s">
        <v>41</v>
      </c>
      <c r="B4637" t="s">
        <v>6</v>
      </c>
      <c r="C4637">
        <v>4</v>
      </c>
      <c r="D4637">
        <v>5</v>
      </c>
      <c r="E4637">
        <v>1</v>
      </c>
      <c r="F4637" s="15">
        <v>46182</v>
      </c>
      <c r="G4637" t="s">
        <v>574</v>
      </c>
      <c r="H4637">
        <v>4</v>
      </c>
      <c r="I4637">
        <v>2026</v>
      </c>
      <c r="J4637">
        <v>6</v>
      </c>
      <c r="K4637" t="s">
        <v>87</v>
      </c>
      <c r="L4637" t="s">
        <v>11</v>
      </c>
      <c r="M4637" t="s">
        <v>8</v>
      </c>
      <c r="N4637" t="b">
        <v>0</v>
      </c>
      <c r="O4637">
        <v>0</v>
      </c>
      <c r="P4637">
        <v>1</v>
      </c>
      <c r="Q4637">
        <v>0</v>
      </c>
      <c r="R4637">
        <v>1</v>
      </c>
    </row>
    <row r="4638" spans="1:18" x14ac:dyDescent="0.25">
      <c r="A4638" t="s">
        <v>41</v>
      </c>
      <c r="B4638" t="s">
        <v>6</v>
      </c>
      <c r="C4638">
        <v>4</v>
      </c>
      <c r="D4638">
        <v>5</v>
      </c>
      <c r="E4638">
        <v>1</v>
      </c>
      <c r="F4638" s="15">
        <v>46182</v>
      </c>
      <c r="G4638" t="s">
        <v>574</v>
      </c>
      <c r="H4638">
        <v>4</v>
      </c>
      <c r="I4638">
        <v>2026</v>
      </c>
      <c r="J4638">
        <v>6</v>
      </c>
      <c r="K4638" t="s">
        <v>87</v>
      </c>
      <c r="L4638" t="s">
        <v>405</v>
      </c>
      <c r="M4638" t="s">
        <v>6</v>
      </c>
      <c r="N4638" t="b">
        <v>0</v>
      </c>
      <c r="O4638">
        <v>0</v>
      </c>
      <c r="P4638">
        <v>1</v>
      </c>
      <c r="Q4638">
        <v>0</v>
      </c>
      <c r="R4638">
        <v>0</v>
      </c>
    </row>
    <row r="4639" spans="1:18" x14ac:dyDescent="0.25">
      <c r="A4639" t="s">
        <v>41</v>
      </c>
      <c r="B4639" t="s">
        <v>6</v>
      </c>
      <c r="C4639">
        <v>4</v>
      </c>
      <c r="D4639">
        <v>5</v>
      </c>
      <c r="E4639">
        <v>1</v>
      </c>
      <c r="F4639" s="15">
        <v>46182</v>
      </c>
      <c r="G4639" t="s">
        <v>574</v>
      </c>
      <c r="H4639">
        <v>4</v>
      </c>
      <c r="I4639">
        <v>2026</v>
      </c>
      <c r="J4639">
        <v>6</v>
      </c>
      <c r="K4639" t="s">
        <v>87</v>
      </c>
      <c r="L4639" t="s">
        <v>569</v>
      </c>
      <c r="M4639" t="s">
        <v>6</v>
      </c>
      <c r="N4639" t="b">
        <v>0</v>
      </c>
      <c r="O4639">
        <v>0</v>
      </c>
      <c r="P4639">
        <v>1</v>
      </c>
      <c r="Q4639">
        <v>0</v>
      </c>
      <c r="R4639">
        <v>0</v>
      </c>
    </row>
    <row r="4640" spans="1:18" x14ac:dyDescent="0.25">
      <c r="A4640" t="s">
        <v>11</v>
      </c>
      <c r="B4640" t="s">
        <v>6</v>
      </c>
      <c r="C4640">
        <v>1</v>
      </c>
      <c r="D4640">
        <v>1</v>
      </c>
      <c r="E4640">
        <v>2</v>
      </c>
      <c r="F4640" s="15">
        <v>46182</v>
      </c>
      <c r="G4640" t="s">
        <v>575</v>
      </c>
      <c r="H4640">
        <v>4</v>
      </c>
      <c r="I4640">
        <v>2026</v>
      </c>
      <c r="J4640">
        <v>6</v>
      </c>
      <c r="K4640" t="s">
        <v>87</v>
      </c>
      <c r="L4640" t="s">
        <v>13</v>
      </c>
      <c r="M4640" t="s">
        <v>8</v>
      </c>
      <c r="N4640" t="b">
        <v>0</v>
      </c>
      <c r="O4640">
        <v>0</v>
      </c>
      <c r="P4640">
        <v>1</v>
      </c>
      <c r="Q4640">
        <v>0</v>
      </c>
      <c r="R4640">
        <v>1</v>
      </c>
    </row>
    <row r="4641" spans="1:18" x14ac:dyDescent="0.25">
      <c r="A4641" t="s">
        <v>11</v>
      </c>
      <c r="B4641" t="s">
        <v>6</v>
      </c>
      <c r="C4641">
        <v>1</v>
      </c>
      <c r="D4641">
        <v>1</v>
      </c>
      <c r="E4641">
        <v>2</v>
      </c>
      <c r="F4641" s="15">
        <v>46182</v>
      </c>
      <c r="G4641" t="s">
        <v>575</v>
      </c>
      <c r="H4641">
        <v>4</v>
      </c>
      <c r="I4641">
        <v>2026</v>
      </c>
      <c r="J4641">
        <v>6</v>
      </c>
      <c r="K4641" t="s">
        <v>87</v>
      </c>
      <c r="L4641" t="s">
        <v>14</v>
      </c>
      <c r="M4641" t="s">
        <v>6</v>
      </c>
      <c r="N4641" t="b">
        <v>0</v>
      </c>
      <c r="O4641">
        <v>0</v>
      </c>
      <c r="P4641">
        <v>1</v>
      </c>
      <c r="Q4641">
        <v>0</v>
      </c>
      <c r="R4641">
        <v>0</v>
      </c>
    </row>
    <row r="4642" spans="1:18" x14ac:dyDescent="0.25">
      <c r="A4642" t="s">
        <v>11</v>
      </c>
      <c r="B4642" t="s">
        <v>6</v>
      </c>
      <c r="C4642">
        <v>1</v>
      </c>
      <c r="D4642">
        <v>1</v>
      </c>
      <c r="E4642">
        <v>2</v>
      </c>
      <c r="F4642" s="15">
        <v>46182</v>
      </c>
      <c r="G4642" t="s">
        <v>575</v>
      </c>
      <c r="H4642">
        <v>4</v>
      </c>
      <c r="I4642">
        <v>2026</v>
      </c>
      <c r="J4642">
        <v>6</v>
      </c>
      <c r="K4642" t="s">
        <v>87</v>
      </c>
      <c r="L4642" t="s">
        <v>20</v>
      </c>
      <c r="M4642" t="s">
        <v>6</v>
      </c>
      <c r="N4642" t="b">
        <v>0</v>
      </c>
      <c r="O4642">
        <v>0</v>
      </c>
      <c r="P4642">
        <v>1</v>
      </c>
      <c r="Q4642">
        <v>0</v>
      </c>
      <c r="R4642">
        <v>0</v>
      </c>
    </row>
    <row r="4643" spans="1:18" x14ac:dyDescent="0.25">
      <c r="A4643" t="s">
        <v>13</v>
      </c>
      <c r="B4643" t="s">
        <v>8</v>
      </c>
      <c r="C4643">
        <v>2</v>
      </c>
      <c r="D4643">
        <v>1</v>
      </c>
      <c r="E4643">
        <v>2</v>
      </c>
      <c r="F4643" s="15">
        <v>46182</v>
      </c>
      <c r="G4643" t="s">
        <v>575</v>
      </c>
      <c r="H4643">
        <v>4</v>
      </c>
      <c r="I4643">
        <v>2026</v>
      </c>
      <c r="J4643">
        <v>6</v>
      </c>
      <c r="K4643" t="s">
        <v>87</v>
      </c>
      <c r="L4643" t="s">
        <v>11</v>
      </c>
      <c r="M4643" t="s">
        <v>6</v>
      </c>
      <c r="N4643" t="b">
        <v>0</v>
      </c>
      <c r="O4643">
        <v>1</v>
      </c>
      <c r="P4643">
        <v>0</v>
      </c>
      <c r="Q4643">
        <v>0</v>
      </c>
      <c r="R4643">
        <v>0</v>
      </c>
    </row>
    <row r="4644" spans="1:18" x14ac:dyDescent="0.25">
      <c r="A4644" t="s">
        <v>13</v>
      </c>
      <c r="B4644" t="s">
        <v>8</v>
      </c>
      <c r="C4644">
        <v>2</v>
      </c>
      <c r="D4644">
        <v>1</v>
      </c>
      <c r="E4644">
        <v>2</v>
      </c>
      <c r="F4644" s="15">
        <v>46182</v>
      </c>
      <c r="G4644" t="s">
        <v>575</v>
      </c>
      <c r="H4644">
        <v>4</v>
      </c>
      <c r="I4644">
        <v>2026</v>
      </c>
      <c r="J4644">
        <v>6</v>
      </c>
      <c r="K4644" t="s">
        <v>87</v>
      </c>
      <c r="L4644" t="s">
        <v>14</v>
      </c>
      <c r="M4644" t="s">
        <v>6</v>
      </c>
      <c r="N4644" t="b">
        <v>0</v>
      </c>
      <c r="O4644">
        <v>1</v>
      </c>
      <c r="P4644">
        <v>0</v>
      </c>
      <c r="Q4644">
        <v>0</v>
      </c>
      <c r="R4644">
        <v>0</v>
      </c>
    </row>
    <row r="4645" spans="1:18" x14ac:dyDescent="0.25">
      <c r="A4645" t="s">
        <v>13</v>
      </c>
      <c r="B4645" t="s">
        <v>8</v>
      </c>
      <c r="C4645">
        <v>2</v>
      </c>
      <c r="D4645">
        <v>1</v>
      </c>
      <c r="E4645">
        <v>2</v>
      </c>
      <c r="F4645" s="15">
        <v>46182</v>
      </c>
      <c r="G4645" t="s">
        <v>575</v>
      </c>
      <c r="H4645">
        <v>4</v>
      </c>
      <c r="I4645">
        <v>2026</v>
      </c>
      <c r="J4645">
        <v>6</v>
      </c>
      <c r="K4645" t="s">
        <v>87</v>
      </c>
      <c r="L4645" t="s">
        <v>20</v>
      </c>
      <c r="M4645" t="s">
        <v>6</v>
      </c>
      <c r="N4645" t="b">
        <v>0</v>
      </c>
      <c r="O4645">
        <v>1</v>
      </c>
      <c r="P4645">
        <v>0</v>
      </c>
      <c r="Q4645">
        <v>0</v>
      </c>
      <c r="R4645">
        <v>0</v>
      </c>
    </row>
    <row r="4646" spans="1:18" x14ac:dyDescent="0.25">
      <c r="A4646" t="s">
        <v>14</v>
      </c>
      <c r="B4646" t="s">
        <v>6</v>
      </c>
      <c r="C4646">
        <v>3</v>
      </c>
      <c r="D4646">
        <v>1</v>
      </c>
      <c r="E4646">
        <v>2</v>
      </c>
      <c r="F4646" s="15">
        <v>46182</v>
      </c>
      <c r="G4646" t="s">
        <v>575</v>
      </c>
      <c r="H4646">
        <v>4</v>
      </c>
      <c r="I4646">
        <v>2026</v>
      </c>
      <c r="J4646">
        <v>6</v>
      </c>
      <c r="K4646" t="s">
        <v>87</v>
      </c>
      <c r="L4646" t="s">
        <v>11</v>
      </c>
      <c r="M4646" t="s">
        <v>6</v>
      </c>
      <c r="N4646" t="b">
        <v>0</v>
      </c>
      <c r="O4646">
        <v>0</v>
      </c>
      <c r="P4646">
        <v>1</v>
      </c>
      <c r="Q4646">
        <v>0</v>
      </c>
      <c r="R4646">
        <v>0</v>
      </c>
    </row>
    <row r="4647" spans="1:18" x14ac:dyDescent="0.25">
      <c r="A4647" t="s">
        <v>14</v>
      </c>
      <c r="B4647" t="s">
        <v>6</v>
      </c>
      <c r="C4647">
        <v>3</v>
      </c>
      <c r="D4647">
        <v>1</v>
      </c>
      <c r="E4647">
        <v>2</v>
      </c>
      <c r="F4647" s="15">
        <v>46182</v>
      </c>
      <c r="G4647" t="s">
        <v>575</v>
      </c>
      <c r="H4647">
        <v>4</v>
      </c>
      <c r="I4647">
        <v>2026</v>
      </c>
      <c r="J4647">
        <v>6</v>
      </c>
      <c r="K4647" t="s">
        <v>87</v>
      </c>
      <c r="L4647" t="s">
        <v>13</v>
      </c>
      <c r="M4647" t="s">
        <v>8</v>
      </c>
      <c r="N4647" t="b">
        <v>0</v>
      </c>
      <c r="O4647">
        <v>0</v>
      </c>
      <c r="P4647">
        <v>1</v>
      </c>
      <c r="Q4647">
        <v>0</v>
      </c>
      <c r="R4647">
        <v>1</v>
      </c>
    </row>
    <row r="4648" spans="1:18" x14ac:dyDescent="0.25">
      <c r="A4648" t="s">
        <v>14</v>
      </c>
      <c r="B4648" t="s">
        <v>6</v>
      </c>
      <c r="C4648">
        <v>3</v>
      </c>
      <c r="D4648">
        <v>1</v>
      </c>
      <c r="E4648">
        <v>2</v>
      </c>
      <c r="F4648" s="15">
        <v>46182</v>
      </c>
      <c r="G4648" t="s">
        <v>575</v>
      </c>
      <c r="H4648">
        <v>4</v>
      </c>
      <c r="I4648">
        <v>2026</v>
      </c>
      <c r="J4648">
        <v>6</v>
      </c>
      <c r="K4648" t="s">
        <v>87</v>
      </c>
      <c r="L4648" t="s">
        <v>20</v>
      </c>
      <c r="M4648" t="s">
        <v>6</v>
      </c>
      <c r="N4648" t="b">
        <v>0</v>
      </c>
      <c r="O4648">
        <v>0</v>
      </c>
      <c r="P4648">
        <v>1</v>
      </c>
      <c r="Q4648">
        <v>0</v>
      </c>
      <c r="R4648">
        <v>0</v>
      </c>
    </row>
    <row r="4649" spans="1:18" x14ac:dyDescent="0.25">
      <c r="A4649" t="s">
        <v>20</v>
      </c>
      <c r="B4649" t="s">
        <v>6</v>
      </c>
      <c r="C4649">
        <v>4</v>
      </c>
      <c r="D4649">
        <v>1</v>
      </c>
      <c r="E4649">
        <v>2</v>
      </c>
      <c r="F4649" s="15">
        <v>46182</v>
      </c>
      <c r="G4649" t="s">
        <v>575</v>
      </c>
      <c r="H4649">
        <v>4</v>
      </c>
      <c r="I4649">
        <v>2026</v>
      </c>
      <c r="J4649">
        <v>6</v>
      </c>
      <c r="K4649" t="s">
        <v>87</v>
      </c>
      <c r="L4649" t="s">
        <v>11</v>
      </c>
      <c r="M4649" t="s">
        <v>6</v>
      </c>
      <c r="N4649" t="b">
        <v>0</v>
      </c>
      <c r="O4649">
        <v>0</v>
      </c>
      <c r="P4649">
        <v>1</v>
      </c>
      <c r="Q4649">
        <v>0</v>
      </c>
      <c r="R4649">
        <v>0</v>
      </c>
    </row>
    <row r="4650" spans="1:18" x14ac:dyDescent="0.25">
      <c r="A4650" t="s">
        <v>20</v>
      </c>
      <c r="B4650" t="s">
        <v>6</v>
      </c>
      <c r="C4650">
        <v>4</v>
      </c>
      <c r="D4650">
        <v>1</v>
      </c>
      <c r="E4650">
        <v>2</v>
      </c>
      <c r="F4650" s="15">
        <v>46182</v>
      </c>
      <c r="G4650" t="s">
        <v>575</v>
      </c>
      <c r="H4650">
        <v>4</v>
      </c>
      <c r="I4650">
        <v>2026</v>
      </c>
      <c r="J4650">
        <v>6</v>
      </c>
      <c r="K4650" t="s">
        <v>87</v>
      </c>
      <c r="L4650" t="s">
        <v>13</v>
      </c>
      <c r="M4650" t="s">
        <v>8</v>
      </c>
      <c r="N4650" t="b">
        <v>0</v>
      </c>
      <c r="O4650">
        <v>0</v>
      </c>
      <c r="P4650">
        <v>1</v>
      </c>
      <c r="Q4650">
        <v>0</v>
      </c>
      <c r="R4650">
        <v>1</v>
      </c>
    </row>
    <row r="4651" spans="1:18" x14ac:dyDescent="0.25">
      <c r="A4651" t="s">
        <v>20</v>
      </c>
      <c r="B4651" t="s">
        <v>6</v>
      </c>
      <c r="C4651">
        <v>4</v>
      </c>
      <c r="D4651">
        <v>1</v>
      </c>
      <c r="E4651">
        <v>2</v>
      </c>
      <c r="F4651" s="15">
        <v>46182</v>
      </c>
      <c r="G4651" t="s">
        <v>575</v>
      </c>
      <c r="H4651">
        <v>4</v>
      </c>
      <c r="I4651">
        <v>2026</v>
      </c>
      <c r="J4651">
        <v>6</v>
      </c>
      <c r="K4651" t="s">
        <v>87</v>
      </c>
      <c r="L4651" t="s">
        <v>14</v>
      </c>
      <c r="M4651" t="s">
        <v>6</v>
      </c>
      <c r="N4651" t="b">
        <v>0</v>
      </c>
      <c r="O4651">
        <v>0</v>
      </c>
      <c r="P4651">
        <v>1</v>
      </c>
      <c r="Q4651">
        <v>0</v>
      </c>
      <c r="R4651">
        <v>0</v>
      </c>
    </row>
    <row r="4652" spans="1:18" x14ac:dyDescent="0.25">
      <c r="A4652" t="s">
        <v>41</v>
      </c>
      <c r="B4652" t="s">
        <v>8</v>
      </c>
      <c r="C4652">
        <v>1</v>
      </c>
      <c r="D4652">
        <v>2</v>
      </c>
      <c r="E4652">
        <v>2</v>
      </c>
      <c r="F4652" s="15">
        <v>46182</v>
      </c>
      <c r="G4652" t="s">
        <v>576</v>
      </c>
      <c r="H4652">
        <v>4</v>
      </c>
      <c r="I4652">
        <v>2026</v>
      </c>
      <c r="J4652">
        <v>6</v>
      </c>
      <c r="K4652" t="s">
        <v>87</v>
      </c>
      <c r="L4652" t="s">
        <v>17</v>
      </c>
      <c r="M4652" t="s">
        <v>6</v>
      </c>
      <c r="N4652" t="b">
        <v>0</v>
      </c>
      <c r="O4652">
        <v>1</v>
      </c>
      <c r="P4652">
        <v>0</v>
      </c>
      <c r="Q4652">
        <v>0</v>
      </c>
      <c r="R4652">
        <v>0</v>
      </c>
    </row>
    <row r="4653" spans="1:18" x14ac:dyDescent="0.25">
      <c r="A4653" t="s">
        <v>41</v>
      </c>
      <c r="B4653" t="s">
        <v>8</v>
      </c>
      <c r="C4653">
        <v>1</v>
      </c>
      <c r="D4653">
        <v>2</v>
      </c>
      <c r="E4653">
        <v>2</v>
      </c>
      <c r="F4653" s="15">
        <v>46182</v>
      </c>
      <c r="G4653" t="s">
        <v>576</v>
      </c>
      <c r="H4653">
        <v>4</v>
      </c>
      <c r="I4653">
        <v>2026</v>
      </c>
      <c r="J4653">
        <v>6</v>
      </c>
      <c r="K4653" t="s">
        <v>87</v>
      </c>
      <c r="L4653" t="s">
        <v>352</v>
      </c>
      <c r="M4653" t="s">
        <v>6</v>
      </c>
      <c r="N4653" t="b">
        <v>0</v>
      </c>
      <c r="O4653">
        <v>1</v>
      </c>
      <c r="P4653">
        <v>0</v>
      </c>
      <c r="Q4653">
        <v>0</v>
      </c>
      <c r="R4653">
        <v>0</v>
      </c>
    </row>
    <row r="4654" spans="1:18" x14ac:dyDescent="0.25">
      <c r="A4654" t="s">
        <v>41</v>
      </c>
      <c r="B4654" t="s">
        <v>8</v>
      </c>
      <c r="C4654">
        <v>1</v>
      </c>
      <c r="D4654">
        <v>2</v>
      </c>
      <c r="E4654">
        <v>2</v>
      </c>
      <c r="F4654" s="15">
        <v>46182</v>
      </c>
      <c r="G4654" t="s">
        <v>576</v>
      </c>
      <c r="H4654">
        <v>4</v>
      </c>
      <c r="I4654">
        <v>2026</v>
      </c>
      <c r="J4654">
        <v>6</v>
      </c>
      <c r="K4654" t="s">
        <v>87</v>
      </c>
      <c r="L4654" t="s">
        <v>435</v>
      </c>
      <c r="M4654" t="s">
        <v>6</v>
      </c>
      <c r="N4654" t="b">
        <v>0</v>
      </c>
      <c r="O4654">
        <v>1</v>
      </c>
      <c r="P4654">
        <v>0</v>
      </c>
      <c r="Q4654">
        <v>0</v>
      </c>
      <c r="R4654">
        <v>0</v>
      </c>
    </row>
    <row r="4655" spans="1:18" x14ac:dyDescent="0.25">
      <c r="A4655" t="s">
        <v>17</v>
      </c>
      <c r="B4655" t="s">
        <v>6</v>
      </c>
      <c r="C4655">
        <v>2</v>
      </c>
      <c r="D4655">
        <v>2</v>
      </c>
      <c r="E4655">
        <v>2</v>
      </c>
      <c r="F4655" s="15">
        <v>46182</v>
      </c>
      <c r="G4655" t="s">
        <v>576</v>
      </c>
      <c r="H4655">
        <v>4</v>
      </c>
      <c r="I4655">
        <v>2026</v>
      </c>
      <c r="J4655">
        <v>6</v>
      </c>
      <c r="K4655" t="s">
        <v>87</v>
      </c>
      <c r="L4655" t="s">
        <v>41</v>
      </c>
      <c r="M4655" t="s">
        <v>8</v>
      </c>
      <c r="N4655" t="b">
        <v>0</v>
      </c>
      <c r="O4655">
        <v>0</v>
      </c>
      <c r="P4655">
        <v>1</v>
      </c>
      <c r="Q4655">
        <v>0</v>
      </c>
      <c r="R4655">
        <v>1</v>
      </c>
    </row>
    <row r="4656" spans="1:18" x14ac:dyDescent="0.25">
      <c r="A4656" t="s">
        <v>17</v>
      </c>
      <c r="B4656" t="s">
        <v>6</v>
      </c>
      <c r="C4656">
        <v>2</v>
      </c>
      <c r="D4656">
        <v>2</v>
      </c>
      <c r="E4656">
        <v>2</v>
      </c>
      <c r="F4656" s="15">
        <v>46182</v>
      </c>
      <c r="G4656" t="s">
        <v>576</v>
      </c>
      <c r="H4656">
        <v>4</v>
      </c>
      <c r="I4656">
        <v>2026</v>
      </c>
      <c r="J4656">
        <v>6</v>
      </c>
      <c r="K4656" t="s">
        <v>87</v>
      </c>
      <c r="L4656" t="s">
        <v>352</v>
      </c>
      <c r="M4656" t="s">
        <v>6</v>
      </c>
      <c r="N4656" t="b">
        <v>0</v>
      </c>
      <c r="O4656">
        <v>0</v>
      </c>
      <c r="P4656">
        <v>1</v>
      </c>
      <c r="Q4656">
        <v>0</v>
      </c>
      <c r="R4656">
        <v>0</v>
      </c>
    </row>
    <row r="4657" spans="1:18" x14ac:dyDescent="0.25">
      <c r="A4657" t="s">
        <v>17</v>
      </c>
      <c r="B4657" t="s">
        <v>6</v>
      </c>
      <c r="C4657">
        <v>2</v>
      </c>
      <c r="D4657">
        <v>2</v>
      </c>
      <c r="E4657">
        <v>2</v>
      </c>
      <c r="F4657" s="15">
        <v>46182</v>
      </c>
      <c r="G4657" t="s">
        <v>576</v>
      </c>
      <c r="H4657">
        <v>4</v>
      </c>
      <c r="I4657">
        <v>2026</v>
      </c>
      <c r="J4657">
        <v>6</v>
      </c>
      <c r="K4657" t="s">
        <v>87</v>
      </c>
      <c r="L4657" t="s">
        <v>435</v>
      </c>
      <c r="M4657" t="s">
        <v>6</v>
      </c>
      <c r="N4657" t="b">
        <v>0</v>
      </c>
      <c r="O4657">
        <v>0</v>
      </c>
      <c r="P4657">
        <v>1</v>
      </c>
      <c r="Q4657">
        <v>0</v>
      </c>
      <c r="R4657">
        <v>0</v>
      </c>
    </row>
    <row r="4658" spans="1:18" x14ac:dyDescent="0.25">
      <c r="A4658" t="s">
        <v>352</v>
      </c>
      <c r="B4658" t="s">
        <v>6</v>
      </c>
      <c r="C4658">
        <v>3</v>
      </c>
      <c r="D4658">
        <v>2</v>
      </c>
      <c r="E4658">
        <v>2</v>
      </c>
      <c r="F4658" s="15">
        <v>46182</v>
      </c>
      <c r="G4658" t="s">
        <v>576</v>
      </c>
      <c r="H4658">
        <v>4</v>
      </c>
      <c r="I4658">
        <v>2026</v>
      </c>
      <c r="J4658">
        <v>6</v>
      </c>
      <c r="K4658" t="s">
        <v>87</v>
      </c>
      <c r="L4658" t="s">
        <v>41</v>
      </c>
      <c r="M4658" t="s">
        <v>8</v>
      </c>
      <c r="N4658" t="b">
        <v>0</v>
      </c>
      <c r="O4658">
        <v>0</v>
      </c>
      <c r="P4658">
        <v>1</v>
      </c>
      <c r="Q4658">
        <v>0</v>
      </c>
      <c r="R4658">
        <v>1</v>
      </c>
    </row>
    <row r="4659" spans="1:18" x14ac:dyDescent="0.25">
      <c r="A4659" t="s">
        <v>352</v>
      </c>
      <c r="B4659" t="s">
        <v>6</v>
      </c>
      <c r="C4659">
        <v>3</v>
      </c>
      <c r="D4659">
        <v>2</v>
      </c>
      <c r="E4659">
        <v>2</v>
      </c>
      <c r="F4659" s="15">
        <v>46182</v>
      </c>
      <c r="G4659" t="s">
        <v>576</v>
      </c>
      <c r="H4659">
        <v>4</v>
      </c>
      <c r="I4659">
        <v>2026</v>
      </c>
      <c r="J4659">
        <v>6</v>
      </c>
      <c r="K4659" t="s">
        <v>87</v>
      </c>
      <c r="L4659" t="s">
        <v>17</v>
      </c>
      <c r="M4659" t="s">
        <v>6</v>
      </c>
      <c r="N4659" t="b">
        <v>0</v>
      </c>
      <c r="O4659">
        <v>0</v>
      </c>
      <c r="P4659">
        <v>1</v>
      </c>
      <c r="Q4659">
        <v>0</v>
      </c>
      <c r="R4659">
        <v>0</v>
      </c>
    </row>
    <row r="4660" spans="1:18" x14ac:dyDescent="0.25">
      <c r="A4660" t="s">
        <v>352</v>
      </c>
      <c r="B4660" t="s">
        <v>6</v>
      </c>
      <c r="C4660">
        <v>3</v>
      </c>
      <c r="D4660">
        <v>2</v>
      </c>
      <c r="E4660">
        <v>2</v>
      </c>
      <c r="F4660" s="15">
        <v>46182</v>
      </c>
      <c r="G4660" t="s">
        <v>576</v>
      </c>
      <c r="H4660">
        <v>4</v>
      </c>
      <c r="I4660">
        <v>2026</v>
      </c>
      <c r="J4660">
        <v>6</v>
      </c>
      <c r="K4660" t="s">
        <v>87</v>
      </c>
      <c r="L4660" t="s">
        <v>435</v>
      </c>
      <c r="M4660" t="s">
        <v>6</v>
      </c>
      <c r="N4660" t="b">
        <v>0</v>
      </c>
      <c r="O4660">
        <v>0</v>
      </c>
      <c r="P4660">
        <v>1</v>
      </c>
      <c r="Q4660">
        <v>0</v>
      </c>
      <c r="R4660">
        <v>0</v>
      </c>
    </row>
    <row r="4661" spans="1:18" x14ac:dyDescent="0.25">
      <c r="A4661" t="s">
        <v>435</v>
      </c>
      <c r="B4661" t="s">
        <v>6</v>
      </c>
      <c r="C4661">
        <v>4</v>
      </c>
      <c r="D4661">
        <v>2</v>
      </c>
      <c r="E4661">
        <v>2</v>
      </c>
      <c r="F4661" s="15">
        <v>46182</v>
      </c>
      <c r="G4661" t="s">
        <v>576</v>
      </c>
      <c r="H4661">
        <v>4</v>
      </c>
      <c r="I4661">
        <v>2026</v>
      </c>
      <c r="J4661">
        <v>6</v>
      </c>
      <c r="K4661" t="s">
        <v>87</v>
      </c>
      <c r="L4661" t="s">
        <v>41</v>
      </c>
      <c r="M4661" t="s">
        <v>8</v>
      </c>
      <c r="N4661" t="b">
        <v>0</v>
      </c>
      <c r="O4661">
        <v>0</v>
      </c>
      <c r="P4661">
        <v>1</v>
      </c>
      <c r="Q4661">
        <v>0</v>
      </c>
      <c r="R4661">
        <v>1</v>
      </c>
    </row>
    <row r="4662" spans="1:18" x14ac:dyDescent="0.25">
      <c r="A4662" t="s">
        <v>435</v>
      </c>
      <c r="B4662" t="s">
        <v>6</v>
      </c>
      <c r="C4662">
        <v>4</v>
      </c>
      <c r="D4662">
        <v>2</v>
      </c>
      <c r="E4662">
        <v>2</v>
      </c>
      <c r="F4662" s="15">
        <v>46182</v>
      </c>
      <c r="G4662" t="s">
        <v>576</v>
      </c>
      <c r="H4662">
        <v>4</v>
      </c>
      <c r="I4662">
        <v>2026</v>
      </c>
      <c r="J4662">
        <v>6</v>
      </c>
      <c r="K4662" t="s">
        <v>87</v>
      </c>
      <c r="L4662" t="s">
        <v>17</v>
      </c>
      <c r="M4662" t="s">
        <v>6</v>
      </c>
      <c r="N4662" t="b">
        <v>0</v>
      </c>
      <c r="O4662">
        <v>0</v>
      </c>
      <c r="P4662">
        <v>1</v>
      </c>
      <c r="Q4662">
        <v>0</v>
      </c>
      <c r="R4662">
        <v>0</v>
      </c>
    </row>
    <row r="4663" spans="1:18" x14ac:dyDescent="0.25">
      <c r="A4663" t="s">
        <v>435</v>
      </c>
      <c r="B4663" t="s">
        <v>6</v>
      </c>
      <c r="C4663">
        <v>4</v>
      </c>
      <c r="D4663">
        <v>2</v>
      </c>
      <c r="E4663">
        <v>2</v>
      </c>
      <c r="F4663" s="15">
        <v>46182</v>
      </c>
      <c r="G4663" t="s">
        <v>576</v>
      </c>
      <c r="H4663">
        <v>4</v>
      </c>
      <c r="I4663">
        <v>2026</v>
      </c>
      <c r="J4663">
        <v>6</v>
      </c>
      <c r="K4663" t="s">
        <v>87</v>
      </c>
      <c r="L4663" t="s">
        <v>352</v>
      </c>
      <c r="M4663" t="s">
        <v>6</v>
      </c>
      <c r="N4663" t="b">
        <v>0</v>
      </c>
      <c r="O4663">
        <v>0</v>
      </c>
      <c r="P4663">
        <v>1</v>
      </c>
      <c r="Q4663">
        <v>0</v>
      </c>
      <c r="R4663">
        <v>0</v>
      </c>
    </row>
    <row r="4664" spans="1:18" x14ac:dyDescent="0.25">
      <c r="A4664" t="s">
        <v>351</v>
      </c>
      <c r="B4664" t="s">
        <v>63</v>
      </c>
      <c r="C4664">
        <v>1</v>
      </c>
      <c r="D4664">
        <v>3</v>
      </c>
      <c r="E4664">
        <v>2</v>
      </c>
      <c r="F4664" s="15">
        <v>46182</v>
      </c>
      <c r="G4664" t="s">
        <v>577</v>
      </c>
      <c r="H4664">
        <v>4</v>
      </c>
      <c r="I4664">
        <v>2026</v>
      </c>
      <c r="J4664">
        <v>6</v>
      </c>
      <c r="K4664" t="s">
        <v>87</v>
      </c>
      <c r="L4664" t="s">
        <v>363</v>
      </c>
      <c r="M4664" t="s">
        <v>63</v>
      </c>
      <c r="N4664" t="b">
        <v>0</v>
      </c>
      <c r="O4664">
        <v>0</v>
      </c>
      <c r="P4664">
        <v>0</v>
      </c>
      <c r="Q4664">
        <v>1</v>
      </c>
      <c r="R4664">
        <v>0</v>
      </c>
    </row>
    <row r="4665" spans="1:18" x14ac:dyDescent="0.25">
      <c r="A4665" t="s">
        <v>351</v>
      </c>
      <c r="B4665" t="s">
        <v>63</v>
      </c>
      <c r="C4665">
        <v>1</v>
      </c>
      <c r="D4665">
        <v>3</v>
      </c>
      <c r="E4665">
        <v>2</v>
      </c>
      <c r="F4665" s="15">
        <v>46182</v>
      </c>
      <c r="G4665" t="s">
        <v>577</v>
      </c>
      <c r="H4665">
        <v>4</v>
      </c>
      <c r="I4665">
        <v>2026</v>
      </c>
      <c r="J4665">
        <v>6</v>
      </c>
      <c r="K4665" t="s">
        <v>87</v>
      </c>
      <c r="L4665" t="s">
        <v>10</v>
      </c>
      <c r="M4665" t="s">
        <v>63</v>
      </c>
      <c r="N4665" t="b">
        <v>0</v>
      </c>
      <c r="O4665">
        <v>0</v>
      </c>
      <c r="P4665">
        <v>0</v>
      </c>
      <c r="Q4665">
        <v>1</v>
      </c>
      <c r="R4665">
        <v>0</v>
      </c>
    </row>
    <row r="4666" spans="1:18" x14ac:dyDescent="0.25">
      <c r="A4666" t="s">
        <v>351</v>
      </c>
      <c r="B4666" t="s">
        <v>63</v>
      </c>
      <c r="C4666">
        <v>1</v>
      </c>
      <c r="D4666">
        <v>3</v>
      </c>
      <c r="E4666">
        <v>2</v>
      </c>
      <c r="F4666" s="15">
        <v>46182</v>
      </c>
      <c r="G4666" t="s">
        <v>577</v>
      </c>
      <c r="H4666">
        <v>4</v>
      </c>
      <c r="I4666">
        <v>2026</v>
      </c>
      <c r="J4666">
        <v>6</v>
      </c>
      <c r="K4666" t="s">
        <v>87</v>
      </c>
      <c r="L4666" t="s">
        <v>9</v>
      </c>
      <c r="M4666" t="s">
        <v>63</v>
      </c>
      <c r="N4666" t="b">
        <v>0</v>
      </c>
      <c r="O4666">
        <v>0</v>
      </c>
      <c r="P4666">
        <v>0</v>
      </c>
      <c r="Q4666">
        <v>1</v>
      </c>
      <c r="R4666">
        <v>0</v>
      </c>
    </row>
    <row r="4667" spans="1:18" x14ac:dyDescent="0.25">
      <c r="A4667" t="s">
        <v>363</v>
      </c>
      <c r="B4667" t="s">
        <v>63</v>
      </c>
      <c r="C4667">
        <v>2</v>
      </c>
      <c r="D4667">
        <v>3</v>
      </c>
      <c r="E4667">
        <v>2</v>
      </c>
      <c r="F4667" s="15">
        <v>46182</v>
      </c>
      <c r="G4667" t="s">
        <v>577</v>
      </c>
      <c r="H4667">
        <v>4</v>
      </c>
      <c r="I4667">
        <v>2026</v>
      </c>
      <c r="J4667">
        <v>6</v>
      </c>
      <c r="K4667" t="s">
        <v>87</v>
      </c>
      <c r="L4667" t="s">
        <v>351</v>
      </c>
      <c r="M4667" t="s">
        <v>63</v>
      </c>
      <c r="N4667" t="b">
        <v>0</v>
      </c>
      <c r="O4667">
        <v>0</v>
      </c>
      <c r="P4667">
        <v>0</v>
      </c>
      <c r="Q4667">
        <v>1</v>
      </c>
      <c r="R4667">
        <v>0</v>
      </c>
    </row>
    <row r="4668" spans="1:18" x14ac:dyDescent="0.25">
      <c r="A4668" t="s">
        <v>363</v>
      </c>
      <c r="B4668" t="s">
        <v>63</v>
      </c>
      <c r="C4668">
        <v>2</v>
      </c>
      <c r="D4668">
        <v>3</v>
      </c>
      <c r="E4668">
        <v>2</v>
      </c>
      <c r="F4668" s="15">
        <v>46182</v>
      </c>
      <c r="G4668" t="s">
        <v>577</v>
      </c>
      <c r="H4668">
        <v>4</v>
      </c>
      <c r="I4668">
        <v>2026</v>
      </c>
      <c r="J4668">
        <v>6</v>
      </c>
      <c r="K4668" t="s">
        <v>87</v>
      </c>
      <c r="L4668" t="s">
        <v>10</v>
      </c>
      <c r="M4668" t="s">
        <v>63</v>
      </c>
      <c r="N4668" t="b">
        <v>0</v>
      </c>
      <c r="O4668">
        <v>0</v>
      </c>
      <c r="P4668">
        <v>0</v>
      </c>
      <c r="Q4668">
        <v>1</v>
      </c>
      <c r="R4668">
        <v>0</v>
      </c>
    </row>
    <row r="4669" spans="1:18" x14ac:dyDescent="0.25">
      <c r="A4669" t="s">
        <v>363</v>
      </c>
      <c r="B4669" t="s">
        <v>63</v>
      </c>
      <c r="C4669">
        <v>2</v>
      </c>
      <c r="D4669">
        <v>3</v>
      </c>
      <c r="E4669">
        <v>2</v>
      </c>
      <c r="F4669" s="15">
        <v>46182</v>
      </c>
      <c r="G4669" t="s">
        <v>577</v>
      </c>
      <c r="H4669">
        <v>4</v>
      </c>
      <c r="I4669">
        <v>2026</v>
      </c>
      <c r="J4669">
        <v>6</v>
      </c>
      <c r="K4669" t="s">
        <v>87</v>
      </c>
      <c r="L4669" t="s">
        <v>9</v>
      </c>
      <c r="M4669" t="s">
        <v>63</v>
      </c>
      <c r="N4669" t="b">
        <v>0</v>
      </c>
      <c r="O4669">
        <v>0</v>
      </c>
      <c r="P4669">
        <v>0</v>
      </c>
      <c r="Q4669">
        <v>1</v>
      </c>
      <c r="R4669">
        <v>0</v>
      </c>
    </row>
    <row r="4670" spans="1:18" x14ac:dyDescent="0.25">
      <c r="A4670" t="s">
        <v>10</v>
      </c>
      <c r="B4670" t="s">
        <v>63</v>
      </c>
      <c r="C4670">
        <v>3</v>
      </c>
      <c r="D4670">
        <v>3</v>
      </c>
      <c r="E4670">
        <v>2</v>
      </c>
      <c r="F4670" s="15">
        <v>46182</v>
      </c>
      <c r="G4670" t="s">
        <v>577</v>
      </c>
      <c r="H4670">
        <v>4</v>
      </c>
      <c r="I4670">
        <v>2026</v>
      </c>
      <c r="J4670">
        <v>6</v>
      </c>
      <c r="K4670" t="s">
        <v>87</v>
      </c>
      <c r="L4670" t="s">
        <v>351</v>
      </c>
      <c r="M4670" t="s">
        <v>63</v>
      </c>
      <c r="N4670" t="b">
        <v>0</v>
      </c>
      <c r="O4670">
        <v>0</v>
      </c>
      <c r="P4670">
        <v>0</v>
      </c>
      <c r="Q4670">
        <v>1</v>
      </c>
      <c r="R4670">
        <v>0</v>
      </c>
    </row>
    <row r="4671" spans="1:18" x14ac:dyDescent="0.25">
      <c r="A4671" t="s">
        <v>10</v>
      </c>
      <c r="B4671" t="s">
        <v>63</v>
      </c>
      <c r="C4671">
        <v>3</v>
      </c>
      <c r="D4671">
        <v>3</v>
      </c>
      <c r="E4671">
        <v>2</v>
      </c>
      <c r="F4671" s="15">
        <v>46182</v>
      </c>
      <c r="G4671" t="s">
        <v>577</v>
      </c>
      <c r="H4671">
        <v>4</v>
      </c>
      <c r="I4671">
        <v>2026</v>
      </c>
      <c r="J4671">
        <v>6</v>
      </c>
      <c r="K4671" t="s">
        <v>87</v>
      </c>
      <c r="L4671" t="s">
        <v>363</v>
      </c>
      <c r="M4671" t="s">
        <v>63</v>
      </c>
      <c r="N4671" t="b">
        <v>0</v>
      </c>
      <c r="O4671">
        <v>0</v>
      </c>
      <c r="P4671">
        <v>0</v>
      </c>
      <c r="Q4671">
        <v>1</v>
      </c>
      <c r="R4671">
        <v>0</v>
      </c>
    </row>
    <row r="4672" spans="1:18" x14ac:dyDescent="0.25">
      <c r="A4672" t="s">
        <v>10</v>
      </c>
      <c r="B4672" t="s">
        <v>63</v>
      </c>
      <c r="C4672">
        <v>3</v>
      </c>
      <c r="D4672">
        <v>3</v>
      </c>
      <c r="E4672">
        <v>2</v>
      </c>
      <c r="F4672" s="15">
        <v>46182</v>
      </c>
      <c r="G4672" t="s">
        <v>577</v>
      </c>
      <c r="H4672">
        <v>4</v>
      </c>
      <c r="I4672">
        <v>2026</v>
      </c>
      <c r="J4672">
        <v>6</v>
      </c>
      <c r="K4672" t="s">
        <v>87</v>
      </c>
      <c r="L4672" t="s">
        <v>9</v>
      </c>
      <c r="M4672" t="s">
        <v>63</v>
      </c>
      <c r="N4672" t="b">
        <v>0</v>
      </c>
      <c r="O4672">
        <v>0</v>
      </c>
      <c r="P4672">
        <v>0</v>
      </c>
      <c r="Q4672">
        <v>1</v>
      </c>
      <c r="R4672">
        <v>0</v>
      </c>
    </row>
    <row r="4673" spans="1:18" x14ac:dyDescent="0.25">
      <c r="A4673" t="s">
        <v>9</v>
      </c>
      <c r="B4673" t="s">
        <v>63</v>
      </c>
      <c r="C4673">
        <v>4</v>
      </c>
      <c r="D4673">
        <v>3</v>
      </c>
      <c r="E4673">
        <v>2</v>
      </c>
      <c r="F4673" s="15">
        <v>46182</v>
      </c>
      <c r="G4673" t="s">
        <v>577</v>
      </c>
      <c r="H4673">
        <v>4</v>
      </c>
      <c r="I4673">
        <v>2026</v>
      </c>
      <c r="J4673">
        <v>6</v>
      </c>
      <c r="K4673" t="s">
        <v>87</v>
      </c>
      <c r="L4673" t="s">
        <v>351</v>
      </c>
      <c r="M4673" t="s">
        <v>63</v>
      </c>
      <c r="N4673" t="b">
        <v>0</v>
      </c>
      <c r="O4673">
        <v>0</v>
      </c>
      <c r="P4673">
        <v>0</v>
      </c>
      <c r="Q4673">
        <v>1</v>
      </c>
      <c r="R4673">
        <v>0</v>
      </c>
    </row>
    <row r="4674" spans="1:18" x14ac:dyDescent="0.25">
      <c r="A4674" t="s">
        <v>9</v>
      </c>
      <c r="B4674" t="s">
        <v>63</v>
      </c>
      <c r="C4674">
        <v>4</v>
      </c>
      <c r="D4674">
        <v>3</v>
      </c>
      <c r="E4674">
        <v>2</v>
      </c>
      <c r="F4674" s="15">
        <v>46182</v>
      </c>
      <c r="G4674" t="s">
        <v>577</v>
      </c>
      <c r="H4674">
        <v>4</v>
      </c>
      <c r="I4674">
        <v>2026</v>
      </c>
      <c r="J4674">
        <v>6</v>
      </c>
      <c r="K4674" t="s">
        <v>87</v>
      </c>
      <c r="L4674" t="s">
        <v>363</v>
      </c>
      <c r="M4674" t="s">
        <v>63</v>
      </c>
      <c r="N4674" t="b">
        <v>0</v>
      </c>
      <c r="O4674">
        <v>0</v>
      </c>
      <c r="P4674">
        <v>0</v>
      </c>
      <c r="Q4674">
        <v>1</v>
      </c>
      <c r="R4674">
        <v>0</v>
      </c>
    </row>
    <row r="4675" spans="1:18" x14ac:dyDescent="0.25">
      <c r="A4675" t="s">
        <v>9</v>
      </c>
      <c r="B4675" t="s">
        <v>63</v>
      </c>
      <c r="C4675">
        <v>4</v>
      </c>
      <c r="D4675">
        <v>3</v>
      </c>
      <c r="E4675">
        <v>2</v>
      </c>
      <c r="F4675" s="15">
        <v>46182</v>
      </c>
      <c r="G4675" t="s">
        <v>577</v>
      </c>
      <c r="H4675">
        <v>4</v>
      </c>
      <c r="I4675">
        <v>2026</v>
      </c>
      <c r="J4675">
        <v>6</v>
      </c>
      <c r="K4675" t="s">
        <v>87</v>
      </c>
      <c r="L4675" t="s">
        <v>10</v>
      </c>
      <c r="M4675" t="s">
        <v>63</v>
      </c>
      <c r="N4675" t="b">
        <v>0</v>
      </c>
      <c r="O4675">
        <v>0</v>
      </c>
      <c r="P4675">
        <v>0</v>
      </c>
      <c r="Q4675">
        <v>1</v>
      </c>
      <c r="R4675">
        <v>0</v>
      </c>
    </row>
    <row r="4676" spans="1:18" x14ac:dyDescent="0.25">
      <c r="A4676" t="s">
        <v>541</v>
      </c>
      <c r="B4676" t="s">
        <v>6</v>
      </c>
      <c r="C4676">
        <v>1</v>
      </c>
      <c r="D4676">
        <v>4</v>
      </c>
      <c r="E4676">
        <v>2</v>
      </c>
      <c r="F4676" s="15">
        <v>46182</v>
      </c>
      <c r="G4676" t="s">
        <v>578</v>
      </c>
      <c r="H4676">
        <v>4</v>
      </c>
      <c r="I4676">
        <v>2026</v>
      </c>
      <c r="J4676">
        <v>6</v>
      </c>
      <c r="K4676" t="s">
        <v>87</v>
      </c>
      <c r="L4676" t="s">
        <v>405</v>
      </c>
      <c r="M4676" t="s">
        <v>8</v>
      </c>
      <c r="N4676" t="b">
        <v>0</v>
      </c>
      <c r="O4676">
        <v>0</v>
      </c>
      <c r="P4676">
        <v>1</v>
      </c>
      <c r="Q4676">
        <v>0</v>
      </c>
      <c r="R4676">
        <v>1</v>
      </c>
    </row>
    <row r="4677" spans="1:18" x14ac:dyDescent="0.25">
      <c r="A4677" t="s">
        <v>541</v>
      </c>
      <c r="B4677" t="s">
        <v>6</v>
      </c>
      <c r="C4677">
        <v>1</v>
      </c>
      <c r="D4677">
        <v>4</v>
      </c>
      <c r="E4677">
        <v>2</v>
      </c>
      <c r="F4677" s="15">
        <v>46182</v>
      </c>
      <c r="G4677" t="s">
        <v>578</v>
      </c>
      <c r="H4677">
        <v>4</v>
      </c>
      <c r="I4677">
        <v>2026</v>
      </c>
      <c r="J4677">
        <v>6</v>
      </c>
      <c r="K4677" t="s">
        <v>87</v>
      </c>
      <c r="L4677" t="s">
        <v>28</v>
      </c>
      <c r="M4677" t="s">
        <v>6</v>
      </c>
      <c r="N4677" t="b">
        <v>0</v>
      </c>
      <c r="O4677">
        <v>0</v>
      </c>
      <c r="P4677">
        <v>1</v>
      </c>
      <c r="Q4677">
        <v>0</v>
      </c>
      <c r="R4677">
        <v>0</v>
      </c>
    </row>
    <row r="4678" spans="1:18" x14ac:dyDescent="0.25">
      <c r="A4678" t="s">
        <v>541</v>
      </c>
      <c r="B4678" t="s">
        <v>6</v>
      </c>
      <c r="C4678">
        <v>1</v>
      </c>
      <c r="D4678">
        <v>4</v>
      </c>
      <c r="E4678">
        <v>2</v>
      </c>
      <c r="F4678" s="15">
        <v>46182</v>
      </c>
      <c r="G4678" t="s">
        <v>578</v>
      </c>
      <c r="H4678">
        <v>4</v>
      </c>
      <c r="I4678">
        <v>2026</v>
      </c>
      <c r="J4678">
        <v>6</v>
      </c>
      <c r="K4678" t="s">
        <v>87</v>
      </c>
      <c r="L4678" t="s">
        <v>19</v>
      </c>
      <c r="M4678" t="s">
        <v>6</v>
      </c>
      <c r="N4678" t="b">
        <v>0</v>
      </c>
      <c r="O4678">
        <v>0</v>
      </c>
      <c r="P4678">
        <v>1</v>
      </c>
      <c r="Q4678">
        <v>0</v>
      </c>
      <c r="R4678">
        <v>0</v>
      </c>
    </row>
    <row r="4679" spans="1:18" x14ac:dyDescent="0.25">
      <c r="A4679" t="s">
        <v>405</v>
      </c>
      <c r="B4679" t="s">
        <v>8</v>
      </c>
      <c r="C4679">
        <v>2</v>
      </c>
      <c r="D4679">
        <v>4</v>
      </c>
      <c r="E4679">
        <v>2</v>
      </c>
      <c r="F4679" s="15">
        <v>46182</v>
      </c>
      <c r="G4679" t="s">
        <v>578</v>
      </c>
      <c r="H4679">
        <v>4</v>
      </c>
      <c r="I4679">
        <v>2026</v>
      </c>
      <c r="J4679">
        <v>6</v>
      </c>
      <c r="K4679" t="s">
        <v>87</v>
      </c>
      <c r="L4679" t="s">
        <v>541</v>
      </c>
      <c r="M4679" t="s">
        <v>6</v>
      </c>
      <c r="N4679" t="b">
        <v>0</v>
      </c>
      <c r="O4679">
        <v>1</v>
      </c>
      <c r="P4679">
        <v>0</v>
      </c>
      <c r="Q4679">
        <v>0</v>
      </c>
      <c r="R4679">
        <v>0</v>
      </c>
    </row>
    <row r="4680" spans="1:18" x14ac:dyDescent="0.25">
      <c r="A4680" t="s">
        <v>405</v>
      </c>
      <c r="B4680" t="s">
        <v>8</v>
      </c>
      <c r="C4680">
        <v>2</v>
      </c>
      <c r="D4680">
        <v>4</v>
      </c>
      <c r="E4680">
        <v>2</v>
      </c>
      <c r="F4680" s="15">
        <v>46182</v>
      </c>
      <c r="G4680" t="s">
        <v>578</v>
      </c>
      <c r="H4680">
        <v>4</v>
      </c>
      <c r="I4680">
        <v>2026</v>
      </c>
      <c r="J4680">
        <v>6</v>
      </c>
      <c r="K4680" t="s">
        <v>87</v>
      </c>
      <c r="L4680" t="s">
        <v>28</v>
      </c>
      <c r="M4680" t="s">
        <v>6</v>
      </c>
      <c r="N4680" t="b">
        <v>0</v>
      </c>
      <c r="O4680">
        <v>1</v>
      </c>
      <c r="P4680">
        <v>0</v>
      </c>
      <c r="Q4680">
        <v>0</v>
      </c>
      <c r="R4680">
        <v>0</v>
      </c>
    </row>
    <row r="4681" spans="1:18" x14ac:dyDescent="0.25">
      <c r="A4681" t="s">
        <v>405</v>
      </c>
      <c r="B4681" t="s">
        <v>8</v>
      </c>
      <c r="C4681">
        <v>2</v>
      </c>
      <c r="D4681">
        <v>4</v>
      </c>
      <c r="E4681">
        <v>2</v>
      </c>
      <c r="F4681" s="15">
        <v>46182</v>
      </c>
      <c r="G4681" t="s">
        <v>578</v>
      </c>
      <c r="H4681">
        <v>4</v>
      </c>
      <c r="I4681">
        <v>2026</v>
      </c>
      <c r="J4681">
        <v>6</v>
      </c>
      <c r="K4681" t="s">
        <v>87</v>
      </c>
      <c r="L4681" t="s">
        <v>19</v>
      </c>
      <c r="M4681" t="s">
        <v>6</v>
      </c>
      <c r="N4681" t="b">
        <v>0</v>
      </c>
      <c r="O4681">
        <v>1</v>
      </c>
      <c r="P4681">
        <v>0</v>
      </c>
      <c r="Q4681">
        <v>0</v>
      </c>
      <c r="R4681">
        <v>0</v>
      </c>
    </row>
    <row r="4682" spans="1:18" x14ac:dyDescent="0.25">
      <c r="A4682" t="s">
        <v>28</v>
      </c>
      <c r="B4682" t="s">
        <v>6</v>
      </c>
      <c r="C4682">
        <v>3</v>
      </c>
      <c r="D4682">
        <v>4</v>
      </c>
      <c r="E4682">
        <v>2</v>
      </c>
      <c r="F4682" s="15">
        <v>46182</v>
      </c>
      <c r="G4682" t="s">
        <v>578</v>
      </c>
      <c r="H4682">
        <v>4</v>
      </c>
      <c r="I4682">
        <v>2026</v>
      </c>
      <c r="J4682">
        <v>6</v>
      </c>
      <c r="K4682" t="s">
        <v>87</v>
      </c>
      <c r="L4682" t="s">
        <v>541</v>
      </c>
      <c r="M4682" t="s">
        <v>6</v>
      </c>
      <c r="N4682" t="b">
        <v>0</v>
      </c>
      <c r="O4682">
        <v>0</v>
      </c>
      <c r="P4682">
        <v>1</v>
      </c>
      <c r="Q4682">
        <v>0</v>
      </c>
      <c r="R4682">
        <v>0</v>
      </c>
    </row>
    <row r="4683" spans="1:18" x14ac:dyDescent="0.25">
      <c r="A4683" t="s">
        <v>28</v>
      </c>
      <c r="B4683" t="s">
        <v>6</v>
      </c>
      <c r="C4683">
        <v>3</v>
      </c>
      <c r="D4683">
        <v>4</v>
      </c>
      <c r="E4683">
        <v>2</v>
      </c>
      <c r="F4683" s="15">
        <v>46182</v>
      </c>
      <c r="G4683" t="s">
        <v>578</v>
      </c>
      <c r="H4683">
        <v>4</v>
      </c>
      <c r="I4683">
        <v>2026</v>
      </c>
      <c r="J4683">
        <v>6</v>
      </c>
      <c r="K4683" t="s">
        <v>87</v>
      </c>
      <c r="L4683" t="s">
        <v>405</v>
      </c>
      <c r="M4683" t="s">
        <v>8</v>
      </c>
      <c r="N4683" t="b">
        <v>0</v>
      </c>
      <c r="O4683">
        <v>0</v>
      </c>
      <c r="P4683">
        <v>1</v>
      </c>
      <c r="Q4683">
        <v>0</v>
      </c>
      <c r="R4683">
        <v>1</v>
      </c>
    </row>
    <row r="4684" spans="1:18" x14ac:dyDescent="0.25">
      <c r="A4684" t="s">
        <v>28</v>
      </c>
      <c r="B4684" t="s">
        <v>6</v>
      </c>
      <c r="C4684">
        <v>3</v>
      </c>
      <c r="D4684">
        <v>4</v>
      </c>
      <c r="E4684">
        <v>2</v>
      </c>
      <c r="F4684" s="15">
        <v>46182</v>
      </c>
      <c r="G4684" t="s">
        <v>578</v>
      </c>
      <c r="H4684">
        <v>4</v>
      </c>
      <c r="I4684">
        <v>2026</v>
      </c>
      <c r="J4684">
        <v>6</v>
      </c>
      <c r="K4684" t="s">
        <v>87</v>
      </c>
      <c r="L4684" t="s">
        <v>19</v>
      </c>
      <c r="M4684" t="s">
        <v>6</v>
      </c>
      <c r="N4684" t="b">
        <v>0</v>
      </c>
      <c r="O4684">
        <v>0</v>
      </c>
      <c r="P4684">
        <v>1</v>
      </c>
      <c r="Q4684">
        <v>0</v>
      </c>
      <c r="R4684">
        <v>0</v>
      </c>
    </row>
    <row r="4685" spans="1:18" x14ac:dyDescent="0.25">
      <c r="A4685" t="s">
        <v>19</v>
      </c>
      <c r="B4685" t="s">
        <v>6</v>
      </c>
      <c r="C4685">
        <v>4</v>
      </c>
      <c r="D4685">
        <v>4</v>
      </c>
      <c r="E4685">
        <v>2</v>
      </c>
      <c r="F4685" s="15">
        <v>46182</v>
      </c>
      <c r="G4685" t="s">
        <v>578</v>
      </c>
      <c r="H4685">
        <v>4</v>
      </c>
      <c r="I4685">
        <v>2026</v>
      </c>
      <c r="J4685">
        <v>6</v>
      </c>
      <c r="K4685" t="s">
        <v>87</v>
      </c>
      <c r="L4685" t="s">
        <v>541</v>
      </c>
      <c r="M4685" t="s">
        <v>6</v>
      </c>
      <c r="N4685" t="b">
        <v>0</v>
      </c>
      <c r="O4685">
        <v>0</v>
      </c>
      <c r="P4685">
        <v>1</v>
      </c>
      <c r="Q4685">
        <v>0</v>
      </c>
      <c r="R4685">
        <v>0</v>
      </c>
    </row>
    <row r="4686" spans="1:18" x14ac:dyDescent="0.25">
      <c r="A4686" t="s">
        <v>19</v>
      </c>
      <c r="B4686" t="s">
        <v>6</v>
      </c>
      <c r="C4686">
        <v>4</v>
      </c>
      <c r="D4686">
        <v>4</v>
      </c>
      <c r="E4686">
        <v>2</v>
      </c>
      <c r="F4686" s="15">
        <v>46182</v>
      </c>
      <c r="G4686" t="s">
        <v>578</v>
      </c>
      <c r="H4686">
        <v>4</v>
      </c>
      <c r="I4686">
        <v>2026</v>
      </c>
      <c r="J4686">
        <v>6</v>
      </c>
      <c r="K4686" t="s">
        <v>87</v>
      </c>
      <c r="L4686" t="s">
        <v>405</v>
      </c>
      <c r="M4686" t="s">
        <v>8</v>
      </c>
      <c r="N4686" t="b">
        <v>0</v>
      </c>
      <c r="O4686">
        <v>0</v>
      </c>
      <c r="P4686">
        <v>1</v>
      </c>
      <c r="Q4686">
        <v>0</v>
      </c>
      <c r="R4686">
        <v>1</v>
      </c>
    </row>
    <row r="4687" spans="1:18" x14ac:dyDescent="0.25">
      <c r="A4687" t="s">
        <v>19</v>
      </c>
      <c r="B4687" t="s">
        <v>6</v>
      </c>
      <c r="C4687">
        <v>4</v>
      </c>
      <c r="D4687">
        <v>4</v>
      </c>
      <c r="E4687">
        <v>2</v>
      </c>
      <c r="F4687" s="15">
        <v>46182</v>
      </c>
      <c r="G4687" t="s">
        <v>578</v>
      </c>
      <c r="H4687">
        <v>4</v>
      </c>
      <c r="I4687">
        <v>2026</v>
      </c>
      <c r="J4687">
        <v>6</v>
      </c>
      <c r="K4687" t="s">
        <v>87</v>
      </c>
      <c r="L4687" t="s">
        <v>28</v>
      </c>
      <c r="M4687" t="s">
        <v>6</v>
      </c>
      <c r="N4687" t="b">
        <v>0</v>
      </c>
      <c r="O4687">
        <v>0</v>
      </c>
      <c r="P4687">
        <v>1</v>
      </c>
      <c r="Q4687">
        <v>0</v>
      </c>
      <c r="R4687">
        <v>0</v>
      </c>
    </row>
    <row r="4688" spans="1:18" x14ac:dyDescent="0.25">
      <c r="A4688" t="s">
        <v>433</v>
      </c>
      <c r="B4688" t="s">
        <v>6</v>
      </c>
      <c r="C4688">
        <v>1</v>
      </c>
      <c r="D4688">
        <v>5</v>
      </c>
      <c r="E4688">
        <v>2</v>
      </c>
      <c r="F4688" s="15">
        <v>46182</v>
      </c>
      <c r="G4688" t="s">
        <v>579</v>
      </c>
      <c r="H4688">
        <v>4</v>
      </c>
      <c r="I4688">
        <v>2026</v>
      </c>
      <c r="J4688">
        <v>6</v>
      </c>
      <c r="K4688" t="s">
        <v>87</v>
      </c>
      <c r="L4688" t="s">
        <v>7</v>
      </c>
      <c r="M4688" t="s">
        <v>8</v>
      </c>
      <c r="N4688" t="b">
        <v>0</v>
      </c>
      <c r="O4688">
        <v>0</v>
      </c>
      <c r="P4688">
        <v>1</v>
      </c>
      <c r="Q4688">
        <v>0</v>
      </c>
      <c r="R4688">
        <v>1</v>
      </c>
    </row>
    <row r="4689" spans="1:18" x14ac:dyDescent="0.25">
      <c r="A4689" t="s">
        <v>433</v>
      </c>
      <c r="B4689" t="s">
        <v>6</v>
      </c>
      <c r="C4689">
        <v>1</v>
      </c>
      <c r="D4689">
        <v>5</v>
      </c>
      <c r="E4689">
        <v>2</v>
      </c>
      <c r="F4689" s="15">
        <v>46182</v>
      </c>
      <c r="G4689" t="s">
        <v>579</v>
      </c>
      <c r="H4689">
        <v>4</v>
      </c>
      <c r="I4689">
        <v>2026</v>
      </c>
      <c r="J4689">
        <v>6</v>
      </c>
      <c r="K4689" t="s">
        <v>87</v>
      </c>
      <c r="L4689" t="s">
        <v>519</v>
      </c>
      <c r="M4689" t="s">
        <v>6</v>
      </c>
      <c r="N4689" t="b">
        <v>0</v>
      </c>
      <c r="O4689">
        <v>0</v>
      </c>
      <c r="P4689">
        <v>1</v>
      </c>
      <c r="Q4689">
        <v>0</v>
      </c>
      <c r="R4689">
        <v>0</v>
      </c>
    </row>
    <row r="4690" spans="1:18" x14ac:dyDescent="0.25">
      <c r="A4690" t="s">
        <v>433</v>
      </c>
      <c r="B4690" t="s">
        <v>6</v>
      </c>
      <c r="C4690">
        <v>1</v>
      </c>
      <c r="D4690">
        <v>5</v>
      </c>
      <c r="E4690">
        <v>2</v>
      </c>
      <c r="F4690" s="15">
        <v>46182</v>
      </c>
      <c r="G4690" t="s">
        <v>579</v>
      </c>
      <c r="H4690">
        <v>4</v>
      </c>
      <c r="I4690">
        <v>2026</v>
      </c>
      <c r="J4690">
        <v>6</v>
      </c>
      <c r="K4690" t="s">
        <v>87</v>
      </c>
      <c r="L4690" t="s">
        <v>569</v>
      </c>
      <c r="M4690" t="s">
        <v>6</v>
      </c>
      <c r="N4690" t="b">
        <v>0</v>
      </c>
      <c r="O4690">
        <v>0</v>
      </c>
      <c r="P4690">
        <v>1</v>
      </c>
      <c r="Q4690">
        <v>0</v>
      </c>
      <c r="R4690">
        <v>0</v>
      </c>
    </row>
    <row r="4691" spans="1:18" x14ac:dyDescent="0.25">
      <c r="A4691" t="s">
        <v>7</v>
      </c>
      <c r="B4691" t="s">
        <v>8</v>
      </c>
      <c r="C4691">
        <v>2</v>
      </c>
      <c r="D4691">
        <v>5</v>
      </c>
      <c r="E4691">
        <v>2</v>
      </c>
      <c r="F4691" s="15">
        <v>46182</v>
      </c>
      <c r="G4691" t="s">
        <v>579</v>
      </c>
      <c r="H4691">
        <v>4</v>
      </c>
      <c r="I4691">
        <v>2026</v>
      </c>
      <c r="J4691">
        <v>6</v>
      </c>
      <c r="K4691" t="s">
        <v>87</v>
      </c>
      <c r="L4691" t="s">
        <v>433</v>
      </c>
      <c r="M4691" t="s">
        <v>6</v>
      </c>
      <c r="N4691" t="b">
        <v>0</v>
      </c>
      <c r="O4691">
        <v>1</v>
      </c>
      <c r="P4691">
        <v>0</v>
      </c>
      <c r="Q4691">
        <v>0</v>
      </c>
      <c r="R4691">
        <v>0</v>
      </c>
    </row>
    <row r="4692" spans="1:18" x14ac:dyDescent="0.25">
      <c r="A4692" t="s">
        <v>7</v>
      </c>
      <c r="B4692" t="s">
        <v>8</v>
      </c>
      <c r="C4692">
        <v>2</v>
      </c>
      <c r="D4692">
        <v>5</v>
      </c>
      <c r="E4692">
        <v>2</v>
      </c>
      <c r="F4692" s="15">
        <v>46182</v>
      </c>
      <c r="G4692" t="s">
        <v>579</v>
      </c>
      <c r="H4692">
        <v>4</v>
      </c>
      <c r="I4692">
        <v>2026</v>
      </c>
      <c r="J4692">
        <v>6</v>
      </c>
      <c r="K4692" t="s">
        <v>87</v>
      </c>
      <c r="L4692" t="s">
        <v>519</v>
      </c>
      <c r="M4692" t="s">
        <v>6</v>
      </c>
      <c r="N4692" t="b">
        <v>0</v>
      </c>
      <c r="O4692">
        <v>1</v>
      </c>
      <c r="P4692">
        <v>0</v>
      </c>
      <c r="Q4692">
        <v>0</v>
      </c>
      <c r="R4692">
        <v>0</v>
      </c>
    </row>
    <row r="4693" spans="1:18" x14ac:dyDescent="0.25">
      <c r="A4693" t="s">
        <v>7</v>
      </c>
      <c r="B4693" t="s">
        <v>8</v>
      </c>
      <c r="C4693">
        <v>2</v>
      </c>
      <c r="D4693">
        <v>5</v>
      </c>
      <c r="E4693">
        <v>2</v>
      </c>
      <c r="F4693" s="15">
        <v>46182</v>
      </c>
      <c r="G4693" t="s">
        <v>579</v>
      </c>
      <c r="H4693">
        <v>4</v>
      </c>
      <c r="I4693">
        <v>2026</v>
      </c>
      <c r="J4693">
        <v>6</v>
      </c>
      <c r="K4693" t="s">
        <v>87</v>
      </c>
      <c r="L4693" t="s">
        <v>569</v>
      </c>
      <c r="M4693" t="s">
        <v>6</v>
      </c>
      <c r="N4693" t="b">
        <v>0</v>
      </c>
      <c r="O4693">
        <v>1</v>
      </c>
      <c r="P4693">
        <v>0</v>
      </c>
      <c r="Q4693">
        <v>0</v>
      </c>
      <c r="R4693">
        <v>0</v>
      </c>
    </row>
    <row r="4694" spans="1:18" x14ac:dyDescent="0.25">
      <c r="A4694" t="s">
        <v>519</v>
      </c>
      <c r="B4694" t="s">
        <v>6</v>
      </c>
      <c r="C4694">
        <v>3</v>
      </c>
      <c r="D4694">
        <v>5</v>
      </c>
      <c r="E4694">
        <v>2</v>
      </c>
      <c r="F4694" s="15">
        <v>46182</v>
      </c>
      <c r="G4694" t="s">
        <v>579</v>
      </c>
      <c r="H4694">
        <v>4</v>
      </c>
      <c r="I4694">
        <v>2026</v>
      </c>
      <c r="J4694">
        <v>6</v>
      </c>
      <c r="K4694" t="s">
        <v>87</v>
      </c>
      <c r="L4694" t="s">
        <v>433</v>
      </c>
      <c r="M4694" t="s">
        <v>6</v>
      </c>
      <c r="N4694" t="b">
        <v>0</v>
      </c>
      <c r="O4694">
        <v>0</v>
      </c>
      <c r="P4694">
        <v>1</v>
      </c>
      <c r="Q4694">
        <v>0</v>
      </c>
      <c r="R4694">
        <v>0</v>
      </c>
    </row>
    <row r="4695" spans="1:18" x14ac:dyDescent="0.25">
      <c r="A4695" t="s">
        <v>519</v>
      </c>
      <c r="B4695" t="s">
        <v>6</v>
      </c>
      <c r="C4695">
        <v>3</v>
      </c>
      <c r="D4695">
        <v>5</v>
      </c>
      <c r="E4695">
        <v>2</v>
      </c>
      <c r="F4695" s="15">
        <v>46182</v>
      </c>
      <c r="G4695" t="s">
        <v>579</v>
      </c>
      <c r="H4695">
        <v>4</v>
      </c>
      <c r="I4695">
        <v>2026</v>
      </c>
      <c r="J4695">
        <v>6</v>
      </c>
      <c r="K4695" t="s">
        <v>87</v>
      </c>
      <c r="L4695" t="s">
        <v>7</v>
      </c>
      <c r="M4695" t="s">
        <v>8</v>
      </c>
      <c r="N4695" t="b">
        <v>0</v>
      </c>
      <c r="O4695">
        <v>0</v>
      </c>
      <c r="P4695">
        <v>1</v>
      </c>
      <c r="Q4695">
        <v>0</v>
      </c>
      <c r="R4695">
        <v>1</v>
      </c>
    </row>
    <row r="4696" spans="1:18" x14ac:dyDescent="0.25">
      <c r="A4696" t="s">
        <v>519</v>
      </c>
      <c r="B4696" t="s">
        <v>6</v>
      </c>
      <c r="C4696">
        <v>3</v>
      </c>
      <c r="D4696">
        <v>5</v>
      </c>
      <c r="E4696">
        <v>2</v>
      </c>
      <c r="F4696" s="15">
        <v>46182</v>
      </c>
      <c r="G4696" t="s">
        <v>579</v>
      </c>
      <c r="H4696">
        <v>4</v>
      </c>
      <c r="I4696">
        <v>2026</v>
      </c>
      <c r="J4696">
        <v>6</v>
      </c>
      <c r="K4696" t="s">
        <v>87</v>
      </c>
      <c r="L4696" t="s">
        <v>569</v>
      </c>
      <c r="M4696" t="s">
        <v>6</v>
      </c>
      <c r="N4696" t="b">
        <v>0</v>
      </c>
      <c r="O4696">
        <v>0</v>
      </c>
      <c r="P4696">
        <v>1</v>
      </c>
      <c r="Q4696">
        <v>0</v>
      </c>
      <c r="R4696">
        <v>0</v>
      </c>
    </row>
    <row r="4697" spans="1:18" x14ac:dyDescent="0.25">
      <c r="A4697" t="s">
        <v>569</v>
      </c>
      <c r="B4697" t="s">
        <v>6</v>
      </c>
      <c r="C4697">
        <v>4</v>
      </c>
      <c r="D4697">
        <v>5</v>
      </c>
      <c r="E4697">
        <v>2</v>
      </c>
      <c r="F4697" s="15">
        <v>46182</v>
      </c>
      <c r="G4697" t="s">
        <v>579</v>
      </c>
      <c r="H4697">
        <v>4</v>
      </c>
      <c r="I4697">
        <v>2026</v>
      </c>
      <c r="J4697">
        <v>6</v>
      </c>
      <c r="K4697" t="s">
        <v>87</v>
      </c>
      <c r="L4697" t="s">
        <v>433</v>
      </c>
      <c r="M4697" t="s">
        <v>6</v>
      </c>
      <c r="N4697" t="b">
        <v>0</v>
      </c>
      <c r="O4697">
        <v>0</v>
      </c>
      <c r="P4697">
        <v>1</v>
      </c>
      <c r="Q4697">
        <v>0</v>
      </c>
      <c r="R4697">
        <v>0</v>
      </c>
    </row>
    <row r="4698" spans="1:18" x14ac:dyDescent="0.25">
      <c r="A4698" t="s">
        <v>569</v>
      </c>
      <c r="B4698" t="s">
        <v>6</v>
      </c>
      <c r="C4698">
        <v>4</v>
      </c>
      <c r="D4698">
        <v>5</v>
      </c>
      <c r="E4698">
        <v>2</v>
      </c>
      <c r="F4698" s="15">
        <v>46182</v>
      </c>
      <c r="G4698" t="s">
        <v>579</v>
      </c>
      <c r="H4698">
        <v>4</v>
      </c>
      <c r="I4698">
        <v>2026</v>
      </c>
      <c r="J4698">
        <v>6</v>
      </c>
      <c r="K4698" t="s">
        <v>87</v>
      </c>
      <c r="L4698" t="s">
        <v>7</v>
      </c>
      <c r="M4698" t="s">
        <v>8</v>
      </c>
      <c r="N4698" t="b">
        <v>0</v>
      </c>
      <c r="O4698">
        <v>0</v>
      </c>
      <c r="P4698">
        <v>1</v>
      </c>
      <c r="Q4698">
        <v>0</v>
      </c>
      <c r="R4698">
        <v>1</v>
      </c>
    </row>
    <row r="4699" spans="1:18" x14ac:dyDescent="0.25">
      <c r="A4699" t="s">
        <v>569</v>
      </c>
      <c r="B4699" t="s">
        <v>6</v>
      </c>
      <c r="C4699">
        <v>4</v>
      </c>
      <c r="D4699">
        <v>5</v>
      </c>
      <c r="E4699">
        <v>2</v>
      </c>
      <c r="F4699" s="15">
        <v>46182</v>
      </c>
      <c r="G4699" t="s">
        <v>579</v>
      </c>
      <c r="H4699">
        <v>4</v>
      </c>
      <c r="I4699">
        <v>2026</v>
      </c>
      <c r="J4699">
        <v>6</v>
      </c>
      <c r="K4699" t="s">
        <v>87</v>
      </c>
      <c r="L4699" t="s">
        <v>519</v>
      </c>
      <c r="M4699" t="s">
        <v>6</v>
      </c>
      <c r="N4699" t="b">
        <v>0</v>
      </c>
      <c r="O4699">
        <v>0</v>
      </c>
      <c r="P4699">
        <v>1</v>
      </c>
      <c r="Q4699">
        <v>0</v>
      </c>
      <c r="R4699">
        <v>0</v>
      </c>
    </row>
    <row r="4700" spans="1:18" x14ac:dyDescent="0.25">
      <c r="A4700" t="s">
        <v>11</v>
      </c>
      <c r="B4700" t="s">
        <v>6</v>
      </c>
      <c r="C4700">
        <v>1</v>
      </c>
      <c r="D4700">
        <v>1</v>
      </c>
      <c r="E4700">
        <v>1</v>
      </c>
      <c r="F4700" s="15">
        <v>46188</v>
      </c>
      <c r="G4700" t="s">
        <v>582</v>
      </c>
      <c r="H4700">
        <v>4</v>
      </c>
      <c r="I4700">
        <v>2026</v>
      </c>
      <c r="J4700">
        <v>6</v>
      </c>
      <c r="K4700" t="s">
        <v>87</v>
      </c>
      <c r="L4700" t="s">
        <v>325</v>
      </c>
      <c r="M4700" t="s">
        <v>6</v>
      </c>
      <c r="N4700" t="b">
        <v>0</v>
      </c>
      <c r="O4700">
        <v>0</v>
      </c>
      <c r="P4700">
        <v>1</v>
      </c>
      <c r="Q4700">
        <v>0</v>
      </c>
      <c r="R4700">
        <v>0</v>
      </c>
    </row>
    <row r="4701" spans="1:18" x14ac:dyDescent="0.25">
      <c r="A4701" t="s">
        <v>11</v>
      </c>
      <c r="B4701" t="s">
        <v>6</v>
      </c>
      <c r="C4701">
        <v>1</v>
      </c>
      <c r="D4701">
        <v>1</v>
      </c>
      <c r="E4701">
        <v>1</v>
      </c>
      <c r="F4701" s="15">
        <v>46188</v>
      </c>
      <c r="G4701" t="s">
        <v>582</v>
      </c>
      <c r="H4701">
        <v>4</v>
      </c>
      <c r="I4701">
        <v>2026</v>
      </c>
      <c r="J4701">
        <v>6</v>
      </c>
      <c r="K4701" t="s">
        <v>87</v>
      </c>
      <c r="L4701" t="s">
        <v>28</v>
      </c>
      <c r="M4701" t="s">
        <v>8</v>
      </c>
      <c r="N4701" t="b">
        <v>0</v>
      </c>
      <c r="O4701">
        <v>0</v>
      </c>
      <c r="P4701">
        <v>1</v>
      </c>
      <c r="Q4701">
        <v>0</v>
      </c>
      <c r="R4701">
        <v>1</v>
      </c>
    </row>
    <row r="4702" spans="1:18" x14ac:dyDescent="0.25">
      <c r="A4702" t="s">
        <v>11</v>
      </c>
      <c r="B4702" t="s">
        <v>6</v>
      </c>
      <c r="C4702">
        <v>1</v>
      </c>
      <c r="D4702">
        <v>1</v>
      </c>
      <c r="E4702">
        <v>1</v>
      </c>
      <c r="F4702" s="15">
        <v>46188</v>
      </c>
      <c r="G4702" t="s">
        <v>582</v>
      </c>
      <c r="H4702">
        <v>4</v>
      </c>
      <c r="I4702">
        <v>2026</v>
      </c>
      <c r="J4702">
        <v>6</v>
      </c>
      <c r="K4702" t="s">
        <v>87</v>
      </c>
      <c r="L4702" t="s">
        <v>580</v>
      </c>
      <c r="M4702" t="s">
        <v>6</v>
      </c>
      <c r="N4702" t="b">
        <v>0</v>
      </c>
      <c r="O4702">
        <v>0</v>
      </c>
      <c r="P4702">
        <v>1</v>
      </c>
      <c r="Q4702">
        <v>0</v>
      </c>
      <c r="R4702">
        <v>0</v>
      </c>
    </row>
    <row r="4703" spans="1:18" x14ac:dyDescent="0.25">
      <c r="A4703" t="s">
        <v>325</v>
      </c>
      <c r="B4703" t="s">
        <v>6</v>
      </c>
      <c r="C4703">
        <v>2</v>
      </c>
      <c r="D4703">
        <v>1</v>
      </c>
      <c r="E4703">
        <v>1</v>
      </c>
      <c r="F4703" s="15">
        <v>46188</v>
      </c>
      <c r="G4703" t="s">
        <v>582</v>
      </c>
      <c r="H4703">
        <v>4</v>
      </c>
      <c r="I4703">
        <v>2026</v>
      </c>
      <c r="J4703">
        <v>6</v>
      </c>
      <c r="K4703" t="s">
        <v>87</v>
      </c>
      <c r="L4703" t="s">
        <v>11</v>
      </c>
      <c r="M4703" t="s">
        <v>6</v>
      </c>
      <c r="N4703" t="b">
        <v>0</v>
      </c>
      <c r="O4703">
        <v>0</v>
      </c>
      <c r="P4703">
        <v>1</v>
      </c>
      <c r="Q4703">
        <v>0</v>
      </c>
      <c r="R4703">
        <v>0</v>
      </c>
    </row>
    <row r="4704" spans="1:18" x14ac:dyDescent="0.25">
      <c r="A4704" t="s">
        <v>325</v>
      </c>
      <c r="B4704" t="s">
        <v>6</v>
      </c>
      <c r="C4704">
        <v>2</v>
      </c>
      <c r="D4704">
        <v>1</v>
      </c>
      <c r="E4704">
        <v>1</v>
      </c>
      <c r="F4704" s="15">
        <v>46188</v>
      </c>
      <c r="G4704" t="s">
        <v>582</v>
      </c>
      <c r="H4704">
        <v>4</v>
      </c>
      <c r="I4704">
        <v>2026</v>
      </c>
      <c r="J4704">
        <v>6</v>
      </c>
      <c r="K4704" t="s">
        <v>87</v>
      </c>
      <c r="L4704" t="s">
        <v>28</v>
      </c>
      <c r="M4704" t="s">
        <v>8</v>
      </c>
      <c r="N4704" t="b">
        <v>0</v>
      </c>
      <c r="O4704">
        <v>0</v>
      </c>
      <c r="P4704">
        <v>1</v>
      </c>
      <c r="Q4704">
        <v>0</v>
      </c>
      <c r="R4704">
        <v>1</v>
      </c>
    </row>
    <row r="4705" spans="1:18" x14ac:dyDescent="0.25">
      <c r="A4705" t="s">
        <v>325</v>
      </c>
      <c r="B4705" t="s">
        <v>6</v>
      </c>
      <c r="C4705">
        <v>2</v>
      </c>
      <c r="D4705">
        <v>1</v>
      </c>
      <c r="E4705">
        <v>1</v>
      </c>
      <c r="F4705" s="15">
        <v>46188</v>
      </c>
      <c r="G4705" t="s">
        <v>582</v>
      </c>
      <c r="H4705">
        <v>4</v>
      </c>
      <c r="I4705">
        <v>2026</v>
      </c>
      <c r="J4705">
        <v>6</v>
      </c>
      <c r="K4705" t="s">
        <v>87</v>
      </c>
      <c r="L4705" t="s">
        <v>580</v>
      </c>
      <c r="M4705" t="s">
        <v>6</v>
      </c>
      <c r="N4705" t="b">
        <v>0</v>
      </c>
      <c r="O4705">
        <v>0</v>
      </c>
      <c r="P4705">
        <v>1</v>
      </c>
      <c r="Q4705">
        <v>0</v>
      </c>
      <c r="R4705">
        <v>0</v>
      </c>
    </row>
    <row r="4706" spans="1:18" x14ac:dyDescent="0.25">
      <c r="A4706" t="s">
        <v>28</v>
      </c>
      <c r="B4706" t="s">
        <v>8</v>
      </c>
      <c r="C4706">
        <v>3</v>
      </c>
      <c r="D4706">
        <v>1</v>
      </c>
      <c r="E4706">
        <v>1</v>
      </c>
      <c r="F4706" s="15">
        <v>46188</v>
      </c>
      <c r="G4706" t="s">
        <v>582</v>
      </c>
      <c r="H4706">
        <v>4</v>
      </c>
      <c r="I4706">
        <v>2026</v>
      </c>
      <c r="J4706">
        <v>6</v>
      </c>
      <c r="K4706" t="s">
        <v>87</v>
      </c>
      <c r="L4706" t="s">
        <v>11</v>
      </c>
      <c r="M4706" t="s">
        <v>6</v>
      </c>
      <c r="N4706" t="b">
        <v>0</v>
      </c>
      <c r="O4706">
        <v>1</v>
      </c>
      <c r="P4706">
        <v>0</v>
      </c>
      <c r="Q4706">
        <v>0</v>
      </c>
      <c r="R4706">
        <v>0</v>
      </c>
    </row>
    <row r="4707" spans="1:18" x14ac:dyDescent="0.25">
      <c r="A4707" t="s">
        <v>28</v>
      </c>
      <c r="B4707" t="s">
        <v>8</v>
      </c>
      <c r="C4707">
        <v>3</v>
      </c>
      <c r="D4707">
        <v>1</v>
      </c>
      <c r="E4707">
        <v>1</v>
      </c>
      <c r="F4707" s="15">
        <v>46188</v>
      </c>
      <c r="G4707" t="s">
        <v>582</v>
      </c>
      <c r="H4707">
        <v>4</v>
      </c>
      <c r="I4707">
        <v>2026</v>
      </c>
      <c r="J4707">
        <v>6</v>
      </c>
      <c r="K4707" t="s">
        <v>87</v>
      </c>
      <c r="L4707" t="s">
        <v>325</v>
      </c>
      <c r="M4707" t="s">
        <v>6</v>
      </c>
      <c r="N4707" t="b">
        <v>0</v>
      </c>
      <c r="O4707">
        <v>1</v>
      </c>
      <c r="P4707">
        <v>0</v>
      </c>
      <c r="Q4707">
        <v>0</v>
      </c>
      <c r="R4707">
        <v>0</v>
      </c>
    </row>
    <row r="4708" spans="1:18" x14ac:dyDescent="0.25">
      <c r="A4708" t="s">
        <v>28</v>
      </c>
      <c r="B4708" t="s">
        <v>8</v>
      </c>
      <c r="C4708">
        <v>3</v>
      </c>
      <c r="D4708">
        <v>1</v>
      </c>
      <c r="E4708">
        <v>1</v>
      </c>
      <c r="F4708" s="15">
        <v>46188</v>
      </c>
      <c r="G4708" t="s">
        <v>582</v>
      </c>
      <c r="H4708">
        <v>4</v>
      </c>
      <c r="I4708">
        <v>2026</v>
      </c>
      <c r="J4708">
        <v>6</v>
      </c>
      <c r="K4708" t="s">
        <v>87</v>
      </c>
      <c r="L4708" t="s">
        <v>580</v>
      </c>
      <c r="M4708" t="s">
        <v>6</v>
      </c>
      <c r="N4708" t="b">
        <v>0</v>
      </c>
      <c r="O4708">
        <v>1</v>
      </c>
      <c r="P4708">
        <v>0</v>
      </c>
      <c r="Q4708">
        <v>0</v>
      </c>
      <c r="R4708">
        <v>0</v>
      </c>
    </row>
    <row r="4709" spans="1:18" x14ac:dyDescent="0.25">
      <c r="A4709" t="s">
        <v>580</v>
      </c>
      <c r="B4709" t="s">
        <v>6</v>
      </c>
      <c r="C4709">
        <v>4</v>
      </c>
      <c r="D4709">
        <v>1</v>
      </c>
      <c r="E4709">
        <v>1</v>
      </c>
      <c r="F4709" s="15">
        <v>46188</v>
      </c>
      <c r="G4709" t="s">
        <v>582</v>
      </c>
      <c r="H4709">
        <v>4</v>
      </c>
      <c r="I4709">
        <v>2026</v>
      </c>
      <c r="J4709">
        <v>6</v>
      </c>
      <c r="K4709" t="s">
        <v>87</v>
      </c>
      <c r="L4709" t="s">
        <v>11</v>
      </c>
      <c r="M4709" t="s">
        <v>6</v>
      </c>
      <c r="N4709" t="b">
        <v>0</v>
      </c>
      <c r="O4709">
        <v>0</v>
      </c>
      <c r="P4709">
        <v>1</v>
      </c>
      <c r="Q4709">
        <v>0</v>
      </c>
      <c r="R4709">
        <v>0</v>
      </c>
    </row>
    <row r="4710" spans="1:18" x14ac:dyDescent="0.25">
      <c r="A4710" t="s">
        <v>580</v>
      </c>
      <c r="B4710" t="s">
        <v>6</v>
      </c>
      <c r="C4710">
        <v>4</v>
      </c>
      <c r="D4710">
        <v>1</v>
      </c>
      <c r="E4710">
        <v>1</v>
      </c>
      <c r="F4710" s="15">
        <v>46188</v>
      </c>
      <c r="G4710" t="s">
        <v>582</v>
      </c>
      <c r="H4710">
        <v>4</v>
      </c>
      <c r="I4710">
        <v>2026</v>
      </c>
      <c r="J4710">
        <v>6</v>
      </c>
      <c r="K4710" t="s">
        <v>87</v>
      </c>
      <c r="L4710" t="s">
        <v>325</v>
      </c>
      <c r="M4710" t="s">
        <v>6</v>
      </c>
      <c r="N4710" t="b">
        <v>0</v>
      </c>
      <c r="O4710">
        <v>0</v>
      </c>
      <c r="P4710">
        <v>1</v>
      </c>
      <c r="Q4710">
        <v>0</v>
      </c>
      <c r="R4710">
        <v>0</v>
      </c>
    </row>
    <row r="4711" spans="1:18" x14ac:dyDescent="0.25">
      <c r="A4711" t="s">
        <v>580</v>
      </c>
      <c r="B4711" t="s">
        <v>6</v>
      </c>
      <c r="C4711">
        <v>4</v>
      </c>
      <c r="D4711">
        <v>1</v>
      </c>
      <c r="E4711">
        <v>1</v>
      </c>
      <c r="F4711" s="15">
        <v>46188</v>
      </c>
      <c r="G4711" t="s">
        <v>582</v>
      </c>
      <c r="H4711">
        <v>4</v>
      </c>
      <c r="I4711">
        <v>2026</v>
      </c>
      <c r="J4711">
        <v>6</v>
      </c>
      <c r="K4711" t="s">
        <v>87</v>
      </c>
      <c r="L4711" t="s">
        <v>28</v>
      </c>
      <c r="M4711" t="s">
        <v>8</v>
      </c>
      <c r="N4711" t="b">
        <v>0</v>
      </c>
      <c r="O4711">
        <v>0</v>
      </c>
      <c r="P4711">
        <v>1</v>
      </c>
      <c r="Q4711">
        <v>0</v>
      </c>
      <c r="R4711">
        <v>1</v>
      </c>
    </row>
    <row r="4712" spans="1:18" x14ac:dyDescent="0.25">
      <c r="A4712" t="s">
        <v>363</v>
      </c>
      <c r="B4712" t="s">
        <v>63</v>
      </c>
      <c r="C4712">
        <v>1</v>
      </c>
      <c r="D4712">
        <v>2</v>
      </c>
      <c r="E4712">
        <v>1</v>
      </c>
      <c r="F4712" s="15">
        <v>46188</v>
      </c>
      <c r="G4712" t="s">
        <v>583</v>
      </c>
      <c r="H4712">
        <v>4</v>
      </c>
      <c r="I4712">
        <v>2026</v>
      </c>
      <c r="J4712">
        <v>6</v>
      </c>
      <c r="K4712" t="s">
        <v>87</v>
      </c>
      <c r="L4712" t="s">
        <v>15</v>
      </c>
      <c r="M4712" t="s">
        <v>63</v>
      </c>
      <c r="N4712" t="b">
        <v>0</v>
      </c>
      <c r="O4712">
        <v>0</v>
      </c>
      <c r="P4712">
        <v>0</v>
      </c>
      <c r="Q4712">
        <v>1</v>
      </c>
      <c r="R4712">
        <v>0</v>
      </c>
    </row>
    <row r="4713" spans="1:18" x14ac:dyDescent="0.25">
      <c r="A4713" t="s">
        <v>363</v>
      </c>
      <c r="B4713" t="s">
        <v>63</v>
      </c>
      <c r="C4713">
        <v>1</v>
      </c>
      <c r="D4713">
        <v>2</v>
      </c>
      <c r="E4713">
        <v>1</v>
      </c>
      <c r="F4713" s="15">
        <v>46188</v>
      </c>
      <c r="G4713" t="s">
        <v>583</v>
      </c>
      <c r="H4713">
        <v>4</v>
      </c>
      <c r="I4713">
        <v>2026</v>
      </c>
      <c r="J4713">
        <v>6</v>
      </c>
      <c r="K4713" t="s">
        <v>87</v>
      </c>
      <c r="L4713" t="s">
        <v>7</v>
      </c>
      <c r="M4713" t="s">
        <v>63</v>
      </c>
      <c r="N4713" t="b">
        <v>0</v>
      </c>
      <c r="O4713">
        <v>0</v>
      </c>
      <c r="P4713">
        <v>0</v>
      </c>
      <c r="Q4713">
        <v>1</v>
      </c>
      <c r="R4713">
        <v>0</v>
      </c>
    </row>
    <row r="4714" spans="1:18" x14ac:dyDescent="0.25">
      <c r="A4714" t="s">
        <v>363</v>
      </c>
      <c r="B4714" t="s">
        <v>63</v>
      </c>
      <c r="C4714">
        <v>1</v>
      </c>
      <c r="D4714">
        <v>2</v>
      </c>
      <c r="E4714">
        <v>1</v>
      </c>
      <c r="F4714" s="15">
        <v>46188</v>
      </c>
      <c r="G4714" t="s">
        <v>583</v>
      </c>
      <c r="H4714">
        <v>4</v>
      </c>
      <c r="I4714">
        <v>2026</v>
      </c>
      <c r="J4714">
        <v>6</v>
      </c>
      <c r="K4714" t="s">
        <v>87</v>
      </c>
      <c r="L4714" t="s">
        <v>10</v>
      </c>
      <c r="M4714" t="s">
        <v>63</v>
      </c>
      <c r="N4714" t="b">
        <v>0</v>
      </c>
      <c r="O4714">
        <v>0</v>
      </c>
      <c r="P4714">
        <v>0</v>
      </c>
      <c r="Q4714">
        <v>1</v>
      </c>
      <c r="R4714">
        <v>0</v>
      </c>
    </row>
    <row r="4715" spans="1:18" x14ac:dyDescent="0.25">
      <c r="A4715" t="s">
        <v>15</v>
      </c>
      <c r="B4715" t="s">
        <v>63</v>
      </c>
      <c r="C4715">
        <v>2</v>
      </c>
      <c r="D4715">
        <v>2</v>
      </c>
      <c r="E4715">
        <v>1</v>
      </c>
      <c r="F4715" s="15">
        <v>46188</v>
      </c>
      <c r="G4715" t="s">
        <v>583</v>
      </c>
      <c r="H4715">
        <v>4</v>
      </c>
      <c r="I4715">
        <v>2026</v>
      </c>
      <c r="J4715">
        <v>6</v>
      </c>
      <c r="K4715" t="s">
        <v>87</v>
      </c>
      <c r="L4715" t="s">
        <v>363</v>
      </c>
      <c r="M4715" t="s">
        <v>63</v>
      </c>
      <c r="N4715" t="b">
        <v>0</v>
      </c>
      <c r="O4715">
        <v>0</v>
      </c>
      <c r="P4715">
        <v>0</v>
      </c>
      <c r="Q4715">
        <v>1</v>
      </c>
      <c r="R4715">
        <v>0</v>
      </c>
    </row>
    <row r="4716" spans="1:18" x14ac:dyDescent="0.25">
      <c r="A4716" t="s">
        <v>15</v>
      </c>
      <c r="B4716" t="s">
        <v>63</v>
      </c>
      <c r="C4716">
        <v>2</v>
      </c>
      <c r="D4716">
        <v>2</v>
      </c>
      <c r="E4716">
        <v>1</v>
      </c>
      <c r="F4716" s="15">
        <v>46188</v>
      </c>
      <c r="G4716" t="s">
        <v>583</v>
      </c>
      <c r="H4716">
        <v>4</v>
      </c>
      <c r="I4716">
        <v>2026</v>
      </c>
      <c r="J4716">
        <v>6</v>
      </c>
      <c r="K4716" t="s">
        <v>87</v>
      </c>
      <c r="L4716" t="s">
        <v>7</v>
      </c>
      <c r="M4716" t="s">
        <v>63</v>
      </c>
      <c r="N4716" t="b">
        <v>0</v>
      </c>
      <c r="O4716">
        <v>0</v>
      </c>
      <c r="P4716">
        <v>0</v>
      </c>
      <c r="Q4716">
        <v>1</v>
      </c>
      <c r="R4716">
        <v>0</v>
      </c>
    </row>
    <row r="4717" spans="1:18" x14ac:dyDescent="0.25">
      <c r="A4717" t="s">
        <v>15</v>
      </c>
      <c r="B4717" t="s">
        <v>63</v>
      </c>
      <c r="C4717">
        <v>2</v>
      </c>
      <c r="D4717">
        <v>2</v>
      </c>
      <c r="E4717">
        <v>1</v>
      </c>
      <c r="F4717" s="15">
        <v>46188</v>
      </c>
      <c r="G4717" t="s">
        <v>583</v>
      </c>
      <c r="H4717">
        <v>4</v>
      </c>
      <c r="I4717">
        <v>2026</v>
      </c>
      <c r="J4717">
        <v>6</v>
      </c>
      <c r="K4717" t="s">
        <v>87</v>
      </c>
      <c r="L4717" t="s">
        <v>10</v>
      </c>
      <c r="M4717" t="s">
        <v>63</v>
      </c>
      <c r="N4717" t="b">
        <v>0</v>
      </c>
      <c r="O4717">
        <v>0</v>
      </c>
      <c r="P4717">
        <v>0</v>
      </c>
      <c r="Q4717">
        <v>1</v>
      </c>
      <c r="R4717">
        <v>0</v>
      </c>
    </row>
    <row r="4718" spans="1:18" x14ac:dyDescent="0.25">
      <c r="A4718" t="s">
        <v>7</v>
      </c>
      <c r="B4718" t="s">
        <v>63</v>
      </c>
      <c r="C4718">
        <v>3</v>
      </c>
      <c r="D4718">
        <v>2</v>
      </c>
      <c r="E4718">
        <v>1</v>
      </c>
      <c r="F4718" s="15">
        <v>46188</v>
      </c>
      <c r="G4718" t="s">
        <v>583</v>
      </c>
      <c r="H4718">
        <v>4</v>
      </c>
      <c r="I4718">
        <v>2026</v>
      </c>
      <c r="J4718">
        <v>6</v>
      </c>
      <c r="K4718" t="s">
        <v>87</v>
      </c>
      <c r="L4718" t="s">
        <v>363</v>
      </c>
      <c r="M4718" t="s">
        <v>63</v>
      </c>
      <c r="N4718" t="b">
        <v>0</v>
      </c>
      <c r="O4718">
        <v>0</v>
      </c>
      <c r="P4718">
        <v>0</v>
      </c>
      <c r="Q4718">
        <v>1</v>
      </c>
      <c r="R4718">
        <v>0</v>
      </c>
    </row>
    <row r="4719" spans="1:18" x14ac:dyDescent="0.25">
      <c r="A4719" t="s">
        <v>7</v>
      </c>
      <c r="B4719" t="s">
        <v>63</v>
      </c>
      <c r="C4719">
        <v>3</v>
      </c>
      <c r="D4719">
        <v>2</v>
      </c>
      <c r="E4719">
        <v>1</v>
      </c>
      <c r="F4719" s="15">
        <v>46188</v>
      </c>
      <c r="G4719" t="s">
        <v>583</v>
      </c>
      <c r="H4719">
        <v>4</v>
      </c>
      <c r="I4719">
        <v>2026</v>
      </c>
      <c r="J4719">
        <v>6</v>
      </c>
      <c r="K4719" t="s">
        <v>87</v>
      </c>
      <c r="L4719" t="s">
        <v>15</v>
      </c>
      <c r="M4719" t="s">
        <v>63</v>
      </c>
      <c r="N4719" t="b">
        <v>0</v>
      </c>
      <c r="O4719">
        <v>0</v>
      </c>
      <c r="P4719">
        <v>0</v>
      </c>
      <c r="Q4719">
        <v>1</v>
      </c>
      <c r="R4719">
        <v>0</v>
      </c>
    </row>
    <row r="4720" spans="1:18" x14ac:dyDescent="0.25">
      <c r="A4720" t="s">
        <v>7</v>
      </c>
      <c r="B4720" t="s">
        <v>63</v>
      </c>
      <c r="C4720">
        <v>3</v>
      </c>
      <c r="D4720">
        <v>2</v>
      </c>
      <c r="E4720">
        <v>1</v>
      </c>
      <c r="F4720" s="15">
        <v>46188</v>
      </c>
      <c r="G4720" t="s">
        <v>583</v>
      </c>
      <c r="H4720">
        <v>4</v>
      </c>
      <c r="I4720">
        <v>2026</v>
      </c>
      <c r="J4720">
        <v>6</v>
      </c>
      <c r="K4720" t="s">
        <v>87</v>
      </c>
      <c r="L4720" t="s">
        <v>10</v>
      </c>
      <c r="M4720" t="s">
        <v>63</v>
      </c>
      <c r="N4720" t="b">
        <v>0</v>
      </c>
      <c r="O4720">
        <v>0</v>
      </c>
      <c r="P4720">
        <v>0</v>
      </c>
      <c r="Q4720">
        <v>1</v>
      </c>
      <c r="R4720">
        <v>0</v>
      </c>
    </row>
    <row r="4721" spans="1:18" x14ac:dyDescent="0.25">
      <c r="A4721" t="s">
        <v>10</v>
      </c>
      <c r="B4721" t="s">
        <v>63</v>
      </c>
      <c r="C4721">
        <v>4</v>
      </c>
      <c r="D4721">
        <v>2</v>
      </c>
      <c r="E4721">
        <v>1</v>
      </c>
      <c r="F4721" s="15">
        <v>46188</v>
      </c>
      <c r="G4721" t="s">
        <v>583</v>
      </c>
      <c r="H4721">
        <v>4</v>
      </c>
      <c r="I4721">
        <v>2026</v>
      </c>
      <c r="J4721">
        <v>6</v>
      </c>
      <c r="K4721" t="s">
        <v>87</v>
      </c>
      <c r="L4721" t="s">
        <v>363</v>
      </c>
      <c r="M4721" t="s">
        <v>63</v>
      </c>
      <c r="N4721" t="b">
        <v>0</v>
      </c>
      <c r="O4721">
        <v>0</v>
      </c>
      <c r="P4721">
        <v>0</v>
      </c>
      <c r="Q4721">
        <v>1</v>
      </c>
      <c r="R4721">
        <v>0</v>
      </c>
    </row>
    <row r="4722" spans="1:18" x14ac:dyDescent="0.25">
      <c r="A4722" t="s">
        <v>10</v>
      </c>
      <c r="B4722" t="s">
        <v>63</v>
      </c>
      <c r="C4722">
        <v>4</v>
      </c>
      <c r="D4722">
        <v>2</v>
      </c>
      <c r="E4722">
        <v>1</v>
      </c>
      <c r="F4722" s="15">
        <v>46188</v>
      </c>
      <c r="G4722" t="s">
        <v>583</v>
      </c>
      <c r="H4722">
        <v>4</v>
      </c>
      <c r="I4722">
        <v>2026</v>
      </c>
      <c r="J4722">
        <v>6</v>
      </c>
      <c r="K4722" t="s">
        <v>87</v>
      </c>
      <c r="L4722" t="s">
        <v>15</v>
      </c>
      <c r="M4722" t="s">
        <v>63</v>
      </c>
      <c r="N4722" t="b">
        <v>0</v>
      </c>
      <c r="O4722">
        <v>0</v>
      </c>
      <c r="P4722">
        <v>0</v>
      </c>
      <c r="Q4722">
        <v>1</v>
      </c>
      <c r="R4722">
        <v>0</v>
      </c>
    </row>
    <row r="4723" spans="1:18" x14ac:dyDescent="0.25">
      <c r="A4723" t="s">
        <v>10</v>
      </c>
      <c r="B4723" t="s">
        <v>63</v>
      </c>
      <c r="C4723">
        <v>4</v>
      </c>
      <c r="D4723">
        <v>2</v>
      </c>
      <c r="E4723">
        <v>1</v>
      </c>
      <c r="F4723" s="15">
        <v>46188</v>
      </c>
      <c r="G4723" t="s">
        <v>583</v>
      </c>
      <c r="H4723">
        <v>4</v>
      </c>
      <c r="I4723">
        <v>2026</v>
      </c>
      <c r="J4723">
        <v>6</v>
      </c>
      <c r="K4723" t="s">
        <v>87</v>
      </c>
      <c r="L4723" t="s">
        <v>7</v>
      </c>
      <c r="M4723" t="s">
        <v>63</v>
      </c>
      <c r="N4723" t="b">
        <v>0</v>
      </c>
      <c r="O4723">
        <v>0</v>
      </c>
      <c r="P4723">
        <v>0</v>
      </c>
      <c r="Q4723">
        <v>1</v>
      </c>
      <c r="R4723">
        <v>0</v>
      </c>
    </row>
    <row r="4724" spans="1:18" x14ac:dyDescent="0.25">
      <c r="A4724" t="s">
        <v>51</v>
      </c>
      <c r="B4724" t="s">
        <v>6</v>
      </c>
      <c r="C4724">
        <v>1</v>
      </c>
      <c r="D4724">
        <v>3</v>
      </c>
      <c r="E4724">
        <v>1</v>
      </c>
      <c r="F4724" s="15">
        <v>46188</v>
      </c>
      <c r="G4724" t="s">
        <v>584</v>
      </c>
      <c r="H4724">
        <v>4</v>
      </c>
      <c r="I4724">
        <v>2026</v>
      </c>
      <c r="J4724">
        <v>6</v>
      </c>
      <c r="K4724" t="s">
        <v>87</v>
      </c>
      <c r="L4724" t="s">
        <v>19</v>
      </c>
      <c r="M4724" t="s">
        <v>6</v>
      </c>
      <c r="N4724" t="b">
        <v>0</v>
      </c>
      <c r="O4724">
        <v>0</v>
      </c>
      <c r="P4724">
        <v>1</v>
      </c>
      <c r="Q4724">
        <v>0</v>
      </c>
      <c r="R4724">
        <v>0</v>
      </c>
    </row>
    <row r="4725" spans="1:18" x14ac:dyDescent="0.25">
      <c r="A4725" t="s">
        <v>51</v>
      </c>
      <c r="B4725" t="s">
        <v>6</v>
      </c>
      <c r="C4725">
        <v>1</v>
      </c>
      <c r="D4725">
        <v>3</v>
      </c>
      <c r="E4725">
        <v>1</v>
      </c>
      <c r="F4725" s="15">
        <v>46188</v>
      </c>
      <c r="G4725" t="s">
        <v>584</v>
      </c>
      <c r="H4725">
        <v>4</v>
      </c>
      <c r="I4725">
        <v>2026</v>
      </c>
      <c r="J4725">
        <v>6</v>
      </c>
      <c r="K4725" t="s">
        <v>87</v>
      </c>
      <c r="L4725" t="s">
        <v>581</v>
      </c>
      <c r="M4725" t="s">
        <v>6</v>
      </c>
      <c r="N4725" t="b">
        <v>0</v>
      </c>
      <c r="O4725">
        <v>0</v>
      </c>
      <c r="P4725">
        <v>1</v>
      </c>
      <c r="Q4725">
        <v>0</v>
      </c>
      <c r="R4725">
        <v>0</v>
      </c>
    </row>
    <row r="4726" spans="1:18" x14ac:dyDescent="0.25">
      <c r="A4726" t="s">
        <v>51</v>
      </c>
      <c r="B4726" t="s">
        <v>6</v>
      </c>
      <c r="C4726">
        <v>1</v>
      </c>
      <c r="D4726">
        <v>3</v>
      </c>
      <c r="E4726">
        <v>1</v>
      </c>
      <c r="F4726" s="15">
        <v>46188</v>
      </c>
      <c r="G4726" t="s">
        <v>584</v>
      </c>
      <c r="H4726">
        <v>4</v>
      </c>
      <c r="I4726">
        <v>2026</v>
      </c>
      <c r="J4726">
        <v>6</v>
      </c>
      <c r="K4726" t="s">
        <v>87</v>
      </c>
      <c r="L4726" t="s">
        <v>14</v>
      </c>
      <c r="M4726" t="s">
        <v>8</v>
      </c>
      <c r="N4726" t="b">
        <v>0</v>
      </c>
      <c r="O4726">
        <v>0</v>
      </c>
      <c r="P4726">
        <v>1</v>
      </c>
      <c r="Q4726">
        <v>0</v>
      </c>
      <c r="R4726">
        <v>1</v>
      </c>
    </row>
    <row r="4727" spans="1:18" x14ac:dyDescent="0.25">
      <c r="A4727" t="s">
        <v>19</v>
      </c>
      <c r="B4727" t="s">
        <v>6</v>
      </c>
      <c r="C4727">
        <v>2</v>
      </c>
      <c r="D4727">
        <v>3</v>
      </c>
      <c r="E4727">
        <v>1</v>
      </c>
      <c r="F4727" s="15">
        <v>46188</v>
      </c>
      <c r="G4727" t="s">
        <v>584</v>
      </c>
      <c r="H4727">
        <v>4</v>
      </c>
      <c r="I4727">
        <v>2026</v>
      </c>
      <c r="J4727">
        <v>6</v>
      </c>
      <c r="K4727" t="s">
        <v>87</v>
      </c>
      <c r="L4727" t="s">
        <v>51</v>
      </c>
      <c r="M4727" t="s">
        <v>6</v>
      </c>
      <c r="N4727" t="b">
        <v>0</v>
      </c>
      <c r="O4727">
        <v>0</v>
      </c>
      <c r="P4727">
        <v>1</v>
      </c>
      <c r="Q4727">
        <v>0</v>
      </c>
      <c r="R4727">
        <v>0</v>
      </c>
    </row>
    <row r="4728" spans="1:18" x14ac:dyDescent="0.25">
      <c r="A4728" t="s">
        <v>19</v>
      </c>
      <c r="B4728" t="s">
        <v>6</v>
      </c>
      <c r="C4728">
        <v>2</v>
      </c>
      <c r="D4728">
        <v>3</v>
      </c>
      <c r="E4728">
        <v>1</v>
      </c>
      <c r="F4728" s="15">
        <v>46188</v>
      </c>
      <c r="G4728" t="s">
        <v>584</v>
      </c>
      <c r="H4728">
        <v>4</v>
      </c>
      <c r="I4728">
        <v>2026</v>
      </c>
      <c r="J4728">
        <v>6</v>
      </c>
      <c r="K4728" t="s">
        <v>87</v>
      </c>
      <c r="L4728" t="s">
        <v>581</v>
      </c>
      <c r="M4728" t="s">
        <v>6</v>
      </c>
      <c r="N4728" t="b">
        <v>0</v>
      </c>
      <c r="O4728">
        <v>0</v>
      </c>
      <c r="P4728">
        <v>1</v>
      </c>
      <c r="Q4728">
        <v>0</v>
      </c>
      <c r="R4728">
        <v>0</v>
      </c>
    </row>
    <row r="4729" spans="1:18" x14ac:dyDescent="0.25">
      <c r="A4729" t="s">
        <v>19</v>
      </c>
      <c r="B4729" t="s">
        <v>6</v>
      </c>
      <c r="C4729">
        <v>2</v>
      </c>
      <c r="D4729">
        <v>3</v>
      </c>
      <c r="E4729">
        <v>1</v>
      </c>
      <c r="F4729" s="15">
        <v>46188</v>
      </c>
      <c r="G4729" t="s">
        <v>584</v>
      </c>
      <c r="H4729">
        <v>4</v>
      </c>
      <c r="I4729">
        <v>2026</v>
      </c>
      <c r="J4729">
        <v>6</v>
      </c>
      <c r="K4729" t="s">
        <v>87</v>
      </c>
      <c r="L4729" t="s">
        <v>14</v>
      </c>
      <c r="M4729" t="s">
        <v>8</v>
      </c>
      <c r="N4729" t="b">
        <v>0</v>
      </c>
      <c r="O4729">
        <v>0</v>
      </c>
      <c r="P4729">
        <v>1</v>
      </c>
      <c r="Q4729">
        <v>0</v>
      </c>
      <c r="R4729">
        <v>1</v>
      </c>
    </row>
    <row r="4730" spans="1:18" x14ac:dyDescent="0.25">
      <c r="A4730" t="s">
        <v>581</v>
      </c>
      <c r="B4730" t="s">
        <v>6</v>
      </c>
      <c r="C4730">
        <v>3</v>
      </c>
      <c r="D4730">
        <v>3</v>
      </c>
      <c r="E4730">
        <v>1</v>
      </c>
      <c r="F4730" s="15">
        <v>46188</v>
      </c>
      <c r="G4730" t="s">
        <v>584</v>
      </c>
      <c r="H4730">
        <v>4</v>
      </c>
      <c r="I4730">
        <v>2026</v>
      </c>
      <c r="J4730">
        <v>6</v>
      </c>
      <c r="K4730" t="s">
        <v>87</v>
      </c>
      <c r="L4730" t="s">
        <v>51</v>
      </c>
      <c r="M4730" t="s">
        <v>6</v>
      </c>
      <c r="N4730" t="b">
        <v>0</v>
      </c>
      <c r="O4730">
        <v>0</v>
      </c>
      <c r="P4730">
        <v>1</v>
      </c>
      <c r="Q4730">
        <v>0</v>
      </c>
      <c r="R4730">
        <v>0</v>
      </c>
    </row>
    <row r="4731" spans="1:18" x14ac:dyDescent="0.25">
      <c r="A4731" t="s">
        <v>581</v>
      </c>
      <c r="B4731" t="s">
        <v>6</v>
      </c>
      <c r="C4731">
        <v>3</v>
      </c>
      <c r="D4731">
        <v>3</v>
      </c>
      <c r="E4731">
        <v>1</v>
      </c>
      <c r="F4731" s="15">
        <v>46188</v>
      </c>
      <c r="G4731" t="s">
        <v>584</v>
      </c>
      <c r="H4731">
        <v>4</v>
      </c>
      <c r="I4731">
        <v>2026</v>
      </c>
      <c r="J4731">
        <v>6</v>
      </c>
      <c r="K4731" t="s">
        <v>87</v>
      </c>
      <c r="L4731" t="s">
        <v>19</v>
      </c>
      <c r="M4731" t="s">
        <v>6</v>
      </c>
      <c r="N4731" t="b">
        <v>0</v>
      </c>
      <c r="O4731">
        <v>0</v>
      </c>
      <c r="P4731">
        <v>1</v>
      </c>
      <c r="Q4731">
        <v>0</v>
      </c>
      <c r="R4731">
        <v>0</v>
      </c>
    </row>
    <row r="4732" spans="1:18" x14ac:dyDescent="0.25">
      <c r="A4732" t="s">
        <v>581</v>
      </c>
      <c r="B4732" t="s">
        <v>6</v>
      </c>
      <c r="C4732">
        <v>3</v>
      </c>
      <c r="D4732">
        <v>3</v>
      </c>
      <c r="E4732">
        <v>1</v>
      </c>
      <c r="F4732" s="15">
        <v>46188</v>
      </c>
      <c r="G4732" t="s">
        <v>584</v>
      </c>
      <c r="H4732">
        <v>4</v>
      </c>
      <c r="I4732">
        <v>2026</v>
      </c>
      <c r="J4732">
        <v>6</v>
      </c>
      <c r="K4732" t="s">
        <v>87</v>
      </c>
      <c r="L4732" t="s">
        <v>14</v>
      </c>
      <c r="M4732" t="s">
        <v>8</v>
      </c>
      <c r="N4732" t="b">
        <v>0</v>
      </c>
      <c r="O4732">
        <v>0</v>
      </c>
      <c r="P4732">
        <v>1</v>
      </c>
      <c r="Q4732">
        <v>0</v>
      </c>
      <c r="R4732">
        <v>1</v>
      </c>
    </row>
    <row r="4733" spans="1:18" x14ac:dyDescent="0.25">
      <c r="A4733" t="s">
        <v>14</v>
      </c>
      <c r="B4733" t="s">
        <v>8</v>
      </c>
      <c r="C4733">
        <v>4</v>
      </c>
      <c r="D4733">
        <v>3</v>
      </c>
      <c r="E4733">
        <v>1</v>
      </c>
      <c r="F4733" s="15">
        <v>46188</v>
      </c>
      <c r="G4733" t="s">
        <v>584</v>
      </c>
      <c r="H4733">
        <v>4</v>
      </c>
      <c r="I4733">
        <v>2026</v>
      </c>
      <c r="J4733">
        <v>6</v>
      </c>
      <c r="K4733" t="s">
        <v>87</v>
      </c>
      <c r="L4733" t="s">
        <v>51</v>
      </c>
      <c r="M4733" t="s">
        <v>6</v>
      </c>
      <c r="N4733" t="b">
        <v>0</v>
      </c>
      <c r="O4733">
        <v>1</v>
      </c>
      <c r="P4733">
        <v>0</v>
      </c>
      <c r="Q4733">
        <v>0</v>
      </c>
      <c r="R4733">
        <v>0</v>
      </c>
    </row>
    <row r="4734" spans="1:18" x14ac:dyDescent="0.25">
      <c r="A4734" t="s">
        <v>14</v>
      </c>
      <c r="B4734" t="s">
        <v>8</v>
      </c>
      <c r="C4734">
        <v>4</v>
      </c>
      <c r="D4734">
        <v>3</v>
      </c>
      <c r="E4734">
        <v>1</v>
      </c>
      <c r="F4734" s="15">
        <v>46188</v>
      </c>
      <c r="G4734" t="s">
        <v>584</v>
      </c>
      <c r="H4734">
        <v>4</v>
      </c>
      <c r="I4734">
        <v>2026</v>
      </c>
      <c r="J4734">
        <v>6</v>
      </c>
      <c r="K4734" t="s">
        <v>87</v>
      </c>
      <c r="L4734" t="s">
        <v>19</v>
      </c>
      <c r="M4734" t="s">
        <v>6</v>
      </c>
      <c r="N4734" t="b">
        <v>0</v>
      </c>
      <c r="O4734">
        <v>1</v>
      </c>
      <c r="P4734">
        <v>0</v>
      </c>
      <c r="Q4734">
        <v>0</v>
      </c>
      <c r="R4734">
        <v>0</v>
      </c>
    </row>
    <row r="4735" spans="1:18" x14ac:dyDescent="0.25">
      <c r="A4735" t="s">
        <v>14</v>
      </c>
      <c r="B4735" t="s">
        <v>8</v>
      </c>
      <c r="C4735">
        <v>4</v>
      </c>
      <c r="D4735">
        <v>3</v>
      </c>
      <c r="E4735">
        <v>1</v>
      </c>
      <c r="F4735" s="15">
        <v>46188</v>
      </c>
      <c r="G4735" t="s">
        <v>584</v>
      </c>
      <c r="H4735">
        <v>4</v>
      </c>
      <c r="I4735">
        <v>2026</v>
      </c>
      <c r="J4735">
        <v>6</v>
      </c>
      <c r="K4735" t="s">
        <v>87</v>
      </c>
      <c r="L4735" t="s">
        <v>581</v>
      </c>
      <c r="M4735" t="s">
        <v>6</v>
      </c>
      <c r="N4735" t="b">
        <v>0</v>
      </c>
      <c r="O4735">
        <v>1</v>
      </c>
      <c r="P4735">
        <v>0</v>
      </c>
      <c r="Q4735">
        <v>0</v>
      </c>
      <c r="R4735">
        <v>0</v>
      </c>
    </row>
    <row r="4736" spans="1:18" x14ac:dyDescent="0.25">
      <c r="A4736" t="s">
        <v>352</v>
      </c>
      <c r="B4736" t="s">
        <v>6</v>
      </c>
      <c r="C4736">
        <v>1</v>
      </c>
      <c r="D4736">
        <v>4</v>
      </c>
      <c r="E4736">
        <v>1</v>
      </c>
      <c r="F4736" s="15">
        <v>46188</v>
      </c>
      <c r="G4736" t="s">
        <v>585</v>
      </c>
      <c r="H4736">
        <v>4</v>
      </c>
      <c r="I4736">
        <v>2026</v>
      </c>
      <c r="J4736">
        <v>6</v>
      </c>
      <c r="K4736" t="s">
        <v>87</v>
      </c>
      <c r="L4736" t="s">
        <v>9</v>
      </c>
      <c r="M4736" t="s">
        <v>8</v>
      </c>
      <c r="N4736" t="b">
        <v>0</v>
      </c>
      <c r="O4736">
        <v>0</v>
      </c>
      <c r="P4736">
        <v>1</v>
      </c>
      <c r="Q4736">
        <v>0</v>
      </c>
      <c r="R4736">
        <v>1</v>
      </c>
    </row>
    <row r="4737" spans="1:18" x14ac:dyDescent="0.25">
      <c r="A4737" t="s">
        <v>352</v>
      </c>
      <c r="B4737" t="s">
        <v>6</v>
      </c>
      <c r="C4737">
        <v>1</v>
      </c>
      <c r="D4737">
        <v>4</v>
      </c>
      <c r="E4737">
        <v>1</v>
      </c>
      <c r="F4737" s="15">
        <v>46188</v>
      </c>
      <c r="G4737" t="s">
        <v>585</v>
      </c>
      <c r="H4737">
        <v>4</v>
      </c>
      <c r="I4737">
        <v>2026</v>
      </c>
      <c r="J4737">
        <v>6</v>
      </c>
      <c r="K4737" t="s">
        <v>87</v>
      </c>
      <c r="L4737" t="s">
        <v>402</v>
      </c>
      <c r="M4737" t="s">
        <v>6</v>
      </c>
      <c r="N4737" t="b">
        <v>0</v>
      </c>
      <c r="O4737">
        <v>0</v>
      </c>
      <c r="P4737">
        <v>1</v>
      </c>
      <c r="Q4737">
        <v>0</v>
      </c>
      <c r="R4737">
        <v>0</v>
      </c>
    </row>
    <row r="4738" spans="1:18" x14ac:dyDescent="0.25">
      <c r="A4738" t="s">
        <v>352</v>
      </c>
      <c r="B4738" t="s">
        <v>6</v>
      </c>
      <c r="C4738">
        <v>1</v>
      </c>
      <c r="D4738">
        <v>4</v>
      </c>
      <c r="E4738">
        <v>1</v>
      </c>
      <c r="F4738" s="15">
        <v>46188</v>
      </c>
      <c r="G4738" t="s">
        <v>585</v>
      </c>
      <c r="H4738">
        <v>4</v>
      </c>
      <c r="I4738">
        <v>2026</v>
      </c>
      <c r="J4738">
        <v>6</v>
      </c>
      <c r="K4738" t="s">
        <v>87</v>
      </c>
      <c r="L4738" t="s">
        <v>405</v>
      </c>
      <c r="M4738" t="s">
        <v>6</v>
      </c>
      <c r="N4738" t="b">
        <v>0</v>
      </c>
      <c r="O4738">
        <v>0</v>
      </c>
      <c r="P4738">
        <v>1</v>
      </c>
      <c r="Q4738">
        <v>0</v>
      </c>
      <c r="R4738">
        <v>0</v>
      </c>
    </row>
    <row r="4739" spans="1:18" x14ac:dyDescent="0.25">
      <c r="A4739" t="s">
        <v>9</v>
      </c>
      <c r="B4739" t="s">
        <v>8</v>
      </c>
      <c r="C4739">
        <v>2</v>
      </c>
      <c r="D4739">
        <v>4</v>
      </c>
      <c r="E4739">
        <v>1</v>
      </c>
      <c r="F4739" s="15">
        <v>46188</v>
      </c>
      <c r="G4739" t="s">
        <v>585</v>
      </c>
      <c r="H4739">
        <v>4</v>
      </c>
      <c r="I4739">
        <v>2026</v>
      </c>
      <c r="J4739">
        <v>6</v>
      </c>
      <c r="K4739" t="s">
        <v>87</v>
      </c>
      <c r="L4739" t="s">
        <v>352</v>
      </c>
      <c r="M4739" t="s">
        <v>6</v>
      </c>
      <c r="N4739" t="b">
        <v>0</v>
      </c>
      <c r="O4739">
        <v>1</v>
      </c>
      <c r="P4739">
        <v>0</v>
      </c>
      <c r="Q4739">
        <v>0</v>
      </c>
      <c r="R4739">
        <v>0</v>
      </c>
    </row>
    <row r="4740" spans="1:18" x14ac:dyDescent="0.25">
      <c r="A4740" t="s">
        <v>9</v>
      </c>
      <c r="B4740" t="s">
        <v>8</v>
      </c>
      <c r="C4740">
        <v>2</v>
      </c>
      <c r="D4740">
        <v>4</v>
      </c>
      <c r="E4740">
        <v>1</v>
      </c>
      <c r="F4740" s="15">
        <v>46188</v>
      </c>
      <c r="G4740" t="s">
        <v>585</v>
      </c>
      <c r="H4740">
        <v>4</v>
      </c>
      <c r="I4740">
        <v>2026</v>
      </c>
      <c r="J4740">
        <v>6</v>
      </c>
      <c r="K4740" t="s">
        <v>87</v>
      </c>
      <c r="L4740" t="s">
        <v>402</v>
      </c>
      <c r="M4740" t="s">
        <v>6</v>
      </c>
      <c r="N4740" t="b">
        <v>0</v>
      </c>
      <c r="O4740">
        <v>1</v>
      </c>
      <c r="P4740">
        <v>0</v>
      </c>
      <c r="Q4740">
        <v>0</v>
      </c>
      <c r="R4740">
        <v>0</v>
      </c>
    </row>
    <row r="4741" spans="1:18" x14ac:dyDescent="0.25">
      <c r="A4741" t="s">
        <v>9</v>
      </c>
      <c r="B4741" t="s">
        <v>8</v>
      </c>
      <c r="C4741">
        <v>2</v>
      </c>
      <c r="D4741">
        <v>4</v>
      </c>
      <c r="E4741">
        <v>1</v>
      </c>
      <c r="F4741" s="15">
        <v>46188</v>
      </c>
      <c r="G4741" t="s">
        <v>585</v>
      </c>
      <c r="H4741">
        <v>4</v>
      </c>
      <c r="I4741">
        <v>2026</v>
      </c>
      <c r="J4741">
        <v>6</v>
      </c>
      <c r="K4741" t="s">
        <v>87</v>
      </c>
      <c r="L4741" t="s">
        <v>405</v>
      </c>
      <c r="M4741" t="s">
        <v>6</v>
      </c>
      <c r="N4741" t="b">
        <v>0</v>
      </c>
      <c r="O4741">
        <v>1</v>
      </c>
      <c r="P4741">
        <v>0</v>
      </c>
      <c r="Q4741">
        <v>0</v>
      </c>
      <c r="R4741">
        <v>0</v>
      </c>
    </row>
    <row r="4742" spans="1:18" x14ac:dyDescent="0.25">
      <c r="A4742" t="s">
        <v>402</v>
      </c>
      <c r="B4742" t="s">
        <v>6</v>
      </c>
      <c r="C4742">
        <v>3</v>
      </c>
      <c r="D4742">
        <v>4</v>
      </c>
      <c r="E4742">
        <v>1</v>
      </c>
      <c r="F4742" s="15">
        <v>46188</v>
      </c>
      <c r="G4742" t="s">
        <v>585</v>
      </c>
      <c r="H4742">
        <v>4</v>
      </c>
      <c r="I4742">
        <v>2026</v>
      </c>
      <c r="J4742">
        <v>6</v>
      </c>
      <c r="K4742" t="s">
        <v>87</v>
      </c>
      <c r="L4742" t="s">
        <v>352</v>
      </c>
      <c r="M4742" t="s">
        <v>6</v>
      </c>
      <c r="N4742" t="b">
        <v>0</v>
      </c>
      <c r="O4742">
        <v>0</v>
      </c>
      <c r="P4742">
        <v>1</v>
      </c>
      <c r="Q4742">
        <v>0</v>
      </c>
      <c r="R4742">
        <v>0</v>
      </c>
    </row>
    <row r="4743" spans="1:18" x14ac:dyDescent="0.25">
      <c r="A4743" t="s">
        <v>402</v>
      </c>
      <c r="B4743" t="s">
        <v>6</v>
      </c>
      <c r="C4743">
        <v>3</v>
      </c>
      <c r="D4743">
        <v>4</v>
      </c>
      <c r="E4743">
        <v>1</v>
      </c>
      <c r="F4743" s="15">
        <v>46188</v>
      </c>
      <c r="G4743" t="s">
        <v>585</v>
      </c>
      <c r="H4743">
        <v>4</v>
      </c>
      <c r="I4743">
        <v>2026</v>
      </c>
      <c r="J4743">
        <v>6</v>
      </c>
      <c r="K4743" t="s">
        <v>87</v>
      </c>
      <c r="L4743" t="s">
        <v>9</v>
      </c>
      <c r="M4743" t="s">
        <v>8</v>
      </c>
      <c r="N4743" t="b">
        <v>0</v>
      </c>
      <c r="O4743">
        <v>0</v>
      </c>
      <c r="P4743">
        <v>1</v>
      </c>
      <c r="Q4743">
        <v>0</v>
      </c>
      <c r="R4743">
        <v>1</v>
      </c>
    </row>
    <row r="4744" spans="1:18" x14ac:dyDescent="0.25">
      <c r="A4744" t="s">
        <v>402</v>
      </c>
      <c r="B4744" t="s">
        <v>6</v>
      </c>
      <c r="C4744">
        <v>3</v>
      </c>
      <c r="D4744">
        <v>4</v>
      </c>
      <c r="E4744">
        <v>1</v>
      </c>
      <c r="F4744" s="15">
        <v>46188</v>
      </c>
      <c r="G4744" t="s">
        <v>585</v>
      </c>
      <c r="H4744">
        <v>4</v>
      </c>
      <c r="I4744">
        <v>2026</v>
      </c>
      <c r="J4744">
        <v>6</v>
      </c>
      <c r="K4744" t="s">
        <v>87</v>
      </c>
      <c r="L4744" t="s">
        <v>405</v>
      </c>
      <c r="M4744" t="s">
        <v>6</v>
      </c>
      <c r="N4744" t="b">
        <v>0</v>
      </c>
      <c r="O4744">
        <v>0</v>
      </c>
      <c r="P4744">
        <v>1</v>
      </c>
      <c r="Q4744">
        <v>0</v>
      </c>
      <c r="R4744">
        <v>0</v>
      </c>
    </row>
    <row r="4745" spans="1:18" x14ac:dyDescent="0.25">
      <c r="A4745" t="s">
        <v>405</v>
      </c>
      <c r="B4745" t="s">
        <v>6</v>
      </c>
      <c r="C4745">
        <v>4</v>
      </c>
      <c r="D4745">
        <v>4</v>
      </c>
      <c r="E4745">
        <v>1</v>
      </c>
      <c r="F4745" s="15">
        <v>46188</v>
      </c>
      <c r="G4745" t="s">
        <v>585</v>
      </c>
      <c r="H4745">
        <v>4</v>
      </c>
      <c r="I4745">
        <v>2026</v>
      </c>
      <c r="J4745">
        <v>6</v>
      </c>
      <c r="K4745" t="s">
        <v>87</v>
      </c>
      <c r="L4745" t="s">
        <v>352</v>
      </c>
      <c r="M4745" t="s">
        <v>6</v>
      </c>
      <c r="N4745" t="b">
        <v>0</v>
      </c>
      <c r="O4745">
        <v>0</v>
      </c>
      <c r="P4745">
        <v>1</v>
      </c>
      <c r="Q4745">
        <v>0</v>
      </c>
      <c r="R4745">
        <v>0</v>
      </c>
    </row>
    <row r="4746" spans="1:18" x14ac:dyDescent="0.25">
      <c r="A4746" t="s">
        <v>405</v>
      </c>
      <c r="B4746" t="s">
        <v>6</v>
      </c>
      <c r="C4746">
        <v>4</v>
      </c>
      <c r="D4746">
        <v>4</v>
      </c>
      <c r="E4746">
        <v>1</v>
      </c>
      <c r="F4746" s="15">
        <v>46188</v>
      </c>
      <c r="G4746" t="s">
        <v>585</v>
      </c>
      <c r="H4746">
        <v>4</v>
      </c>
      <c r="I4746">
        <v>2026</v>
      </c>
      <c r="J4746">
        <v>6</v>
      </c>
      <c r="K4746" t="s">
        <v>87</v>
      </c>
      <c r="L4746" t="s">
        <v>9</v>
      </c>
      <c r="M4746" t="s">
        <v>8</v>
      </c>
      <c r="N4746" t="b">
        <v>0</v>
      </c>
      <c r="O4746">
        <v>0</v>
      </c>
      <c r="P4746">
        <v>1</v>
      </c>
      <c r="Q4746">
        <v>0</v>
      </c>
      <c r="R4746">
        <v>1</v>
      </c>
    </row>
    <row r="4747" spans="1:18" x14ac:dyDescent="0.25">
      <c r="A4747" t="s">
        <v>405</v>
      </c>
      <c r="B4747" t="s">
        <v>6</v>
      </c>
      <c r="C4747">
        <v>4</v>
      </c>
      <c r="D4747">
        <v>4</v>
      </c>
      <c r="E4747">
        <v>1</v>
      </c>
      <c r="F4747" s="15">
        <v>46188</v>
      </c>
      <c r="G4747" t="s">
        <v>585</v>
      </c>
      <c r="H4747">
        <v>4</v>
      </c>
      <c r="I4747">
        <v>2026</v>
      </c>
      <c r="J4747">
        <v>6</v>
      </c>
      <c r="K4747" t="s">
        <v>87</v>
      </c>
      <c r="L4747" t="s">
        <v>402</v>
      </c>
      <c r="M4747" t="s">
        <v>6</v>
      </c>
      <c r="N4747" t="b">
        <v>0</v>
      </c>
      <c r="O4747">
        <v>0</v>
      </c>
      <c r="P4747">
        <v>1</v>
      </c>
      <c r="Q4747">
        <v>0</v>
      </c>
      <c r="R4747">
        <v>0</v>
      </c>
    </row>
    <row r="4748" spans="1:18" x14ac:dyDescent="0.25">
      <c r="A4748" t="s">
        <v>519</v>
      </c>
      <c r="B4748" t="s">
        <v>8</v>
      </c>
      <c r="C4748">
        <v>1</v>
      </c>
      <c r="D4748">
        <v>5</v>
      </c>
      <c r="E4748">
        <v>1</v>
      </c>
      <c r="F4748" s="15">
        <v>46188</v>
      </c>
      <c r="G4748" t="s">
        <v>586</v>
      </c>
      <c r="H4748">
        <v>3</v>
      </c>
      <c r="I4748">
        <v>2026</v>
      </c>
      <c r="J4748">
        <v>6</v>
      </c>
      <c r="K4748" t="s">
        <v>87</v>
      </c>
      <c r="L4748" t="s">
        <v>433</v>
      </c>
      <c r="M4748" t="s">
        <v>6</v>
      </c>
      <c r="N4748" t="b">
        <v>0</v>
      </c>
      <c r="O4748">
        <v>1</v>
      </c>
      <c r="P4748">
        <v>0</v>
      </c>
      <c r="Q4748">
        <v>0</v>
      </c>
      <c r="R4748">
        <v>0</v>
      </c>
    </row>
    <row r="4749" spans="1:18" x14ac:dyDescent="0.25">
      <c r="A4749" t="s">
        <v>519</v>
      </c>
      <c r="B4749" t="s">
        <v>8</v>
      </c>
      <c r="C4749">
        <v>1</v>
      </c>
      <c r="D4749">
        <v>5</v>
      </c>
      <c r="E4749">
        <v>1</v>
      </c>
      <c r="F4749" s="15">
        <v>46188</v>
      </c>
      <c r="G4749" t="s">
        <v>586</v>
      </c>
      <c r="H4749">
        <v>3</v>
      </c>
      <c r="I4749">
        <v>2026</v>
      </c>
      <c r="J4749">
        <v>6</v>
      </c>
      <c r="K4749" t="s">
        <v>87</v>
      </c>
      <c r="L4749" t="s">
        <v>435</v>
      </c>
      <c r="M4749" t="s">
        <v>6</v>
      </c>
      <c r="N4749" t="b">
        <v>0</v>
      </c>
      <c r="O4749">
        <v>1</v>
      </c>
      <c r="P4749">
        <v>0</v>
      </c>
      <c r="Q4749">
        <v>0</v>
      </c>
      <c r="R4749">
        <v>0</v>
      </c>
    </row>
    <row r="4750" spans="1:18" x14ac:dyDescent="0.25">
      <c r="A4750" t="s">
        <v>433</v>
      </c>
      <c r="B4750" t="s">
        <v>6</v>
      </c>
      <c r="C4750">
        <v>2</v>
      </c>
      <c r="D4750">
        <v>5</v>
      </c>
      <c r="E4750">
        <v>1</v>
      </c>
      <c r="F4750" s="15">
        <v>46188</v>
      </c>
      <c r="G4750" t="s">
        <v>586</v>
      </c>
      <c r="H4750">
        <v>3</v>
      </c>
      <c r="I4750">
        <v>2026</v>
      </c>
      <c r="J4750">
        <v>6</v>
      </c>
      <c r="K4750" t="s">
        <v>87</v>
      </c>
      <c r="L4750" t="s">
        <v>519</v>
      </c>
      <c r="M4750" t="s">
        <v>8</v>
      </c>
      <c r="N4750" t="b">
        <v>0</v>
      </c>
      <c r="O4750">
        <v>0</v>
      </c>
      <c r="P4750">
        <v>1</v>
      </c>
      <c r="Q4750">
        <v>0</v>
      </c>
      <c r="R4750">
        <v>1</v>
      </c>
    </row>
    <row r="4751" spans="1:18" x14ac:dyDescent="0.25">
      <c r="A4751" t="s">
        <v>433</v>
      </c>
      <c r="B4751" t="s">
        <v>6</v>
      </c>
      <c r="C4751">
        <v>2</v>
      </c>
      <c r="D4751">
        <v>5</v>
      </c>
      <c r="E4751">
        <v>1</v>
      </c>
      <c r="F4751" s="15">
        <v>46188</v>
      </c>
      <c r="G4751" t="s">
        <v>586</v>
      </c>
      <c r="H4751">
        <v>3</v>
      </c>
      <c r="I4751">
        <v>2026</v>
      </c>
      <c r="J4751">
        <v>6</v>
      </c>
      <c r="K4751" t="s">
        <v>87</v>
      </c>
      <c r="L4751" t="s">
        <v>435</v>
      </c>
      <c r="M4751" t="s">
        <v>6</v>
      </c>
      <c r="N4751" t="b">
        <v>0</v>
      </c>
      <c r="O4751">
        <v>0</v>
      </c>
      <c r="P4751">
        <v>1</v>
      </c>
      <c r="Q4751">
        <v>0</v>
      </c>
      <c r="R4751">
        <v>0</v>
      </c>
    </row>
    <row r="4752" spans="1:18" x14ac:dyDescent="0.25">
      <c r="A4752" t="s">
        <v>435</v>
      </c>
      <c r="B4752" t="s">
        <v>6</v>
      </c>
      <c r="C4752">
        <v>3</v>
      </c>
      <c r="D4752">
        <v>5</v>
      </c>
      <c r="E4752">
        <v>1</v>
      </c>
      <c r="F4752" s="15">
        <v>46188</v>
      </c>
      <c r="G4752" t="s">
        <v>586</v>
      </c>
      <c r="H4752">
        <v>3</v>
      </c>
      <c r="I4752">
        <v>2026</v>
      </c>
      <c r="J4752">
        <v>6</v>
      </c>
      <c r="K4752" t="s">
        <v>87</v>
      </c>
      <c r="L4752" t="s">
        <v>519</v>
      </c>
      <c r="M4752" t="s">
        <v>8</v>
      </c>
      <c r="N4752" t="b">
        <v>0</v>
      </c>
      <c r="O4752">
        <v>0</v>
      </c>
      <c r="P4752">
        <v>1</v>
      </c>
      <c r="Q4752">
        <v>0</v>
      </c>
      <c r="R4752">
        <v>1</v>
      </c>
    </row>
    <row r="4753" spans="1:18" x14ac:dyDescent="0.25">
      <c r="A4753" t="s">
        <v>435</v>
      </c>
      <c r="B4753" t="s">
        <v>6</v>
      </c>
      <c r="C4753">
        <v>3</v>
      </c>
      <c r="D4753">
        <v>5</v>
      </c>
      <c r="E4753">
        <v>1</v>
      </c>
      <c r="F4753" s="15">
        <v>46188</v>
      </c>
      <c r="G4753" t="s">
        <v>586</v>
      </c>
      <c r="H4753">
        <v>3</v>
      </c>
      <c r="I4753">
        <v>2026</v>
      </c>
      <c r="J4753">
        <v>6</v>
      </c>
      <c r="K4753" t="s">
        <v>87</v>
      </c>
      <c r="L4753" t="s">
        <v>433</v>
      </c>
      <c r="M4753" t="s">
        <v>6</v>
      </c>
      <c r="N4753" t="b">
        <v>0</v>
      </c>
      <c r="O4753">
        <v>0</v>
      </c>
      <c r="P4753">
        <v>1</v>
      </c>
      <c r="Q4753">
        <v>0</v>
      </c>
      <c r="R4753">
        <v>0</v>
      </c>
    </row>
    <row r="4754" spans="1:18" x14ac:dyDescent="0.25">
      <c r="A4754" t="s">
        <v>14</v>
      </c>
      <c r="B4754" t="s">
        <v>8</v>
      </c>
      <c r="C4754">
        <v>1</v>
      </c>
      <c r="D4754">
        <v>1</v>
      </c>
      <c r="E4754">
        <v>2</v>
      </c>
      <c r="F4754" s="15">
        <v>46188</v>
      </c>
      <c r="G4754" t="s">
        <v>587</v>
      </c>
      <c r="H4754">
        <v>4</v>
      </c>
      <c r="I4754">
        <v>2026</v>
      </c>
      <c r="J4754">
        <v>6</v>
      </c>
      <c r="K4754" t="s">
        <v>87</v>
      </c>
      <c r="L4754" t="s">
        <v>9</v>
      </c>
      <c r="M4754" t="s">
        <v>6</v>
      </c>
      <c r="N4754" t="b">
        <v>0</v>
      </c>
      <c r="O4754">
        <v>1</v>
      </c>
      <c r="P4754">
        <v>0</v>
      </c>
      <c r="Q4754">
        <v>0</v>
      </c>
      <c r="R4754">
        <v>0</v>
      </c>
    </row>
    <row r="4755" spans="1:18" x14ac:dyDescent="0.25">
      <c r="A4755" t="s">
        <v>14</v>
      </c>
      <c r="B4755" t="s">
        <v>8</v>
      </c>
      <c r="C4755">
        <v>1</v>
      </c>
      <c r="D4755">
        <v>1</v>
      </c>
      <c r="E4755">
        <v>2</v>
      </c>
      <c r="F4755" s="15">
        <v>46188</v>
      </c>
      <c r="G4755" t="s">
        <v>587</v>
      </c>
      <c r="H4755">
        <v>4</v>
      </c>
      <c r="I4755">
        <v>2026</v>
      </c>
      <c r="J4755">
        <v>6</v>
      </c>
      <c r="K4755" t="s">
        <v>87</v>
      </c>
      <c r="L4755" t="s">
        <v>28</v>
      </c>
      <c r="M4755" t="s">
        <v>6</v>
      </c>
      <c r="N4755" t="b">
        <v>0</v>
      </c>
      <c r="O4755">
        <v>1</v>
      </c>
      <c r="P4755">
        <v>0</v>
      </c>
      <c r="Q4755">
        <v>0</v>
      </c>
      <c r="R4755">
        <v>0</v>
      </c>
    </row>
    <row r="4756" spans="1:18" x14ac:dyDescent="0.25">
      <c r="A4756" t="s">
        <v>14</v>
      </c>
      <c r="B4756" t="s">
        <v>8</v>
      </c>
      <c r="C4756">
        <v>1</v>
      </c>
      <c r="D4756">
        <v>1</v>
      </c>
      <c r="E4756">
        <v>2</v>
      </c>
      <c r="F4756" s="15">
        <v>46188</v>
      </c>
      <c r="G4756" t="s">
        <v>587</v>
      </c>
      <c r="H4756">
        <v>4</v>
      </c>
      <c r="I4756">
        <v>2026</v>
      </c>
      <c r="J4756">
        <v>6</v>
      </c>
      <c r="K4756" t="s">
        <v>87</v>
      </c>
      <c r="L4756" t="s">
        <v>519</v>
      </c>
      <c r="M4756" t="s">
        <v>6</v>
      </c>
      <c r="N4756" t="b">
        <v>0</v>
      </c>
      <c r="O4756">
        <v>1</v>
      </c>
      <c r="P4756">
        <v>0</v>
      </c>
      <c r="Q4756">
        <v>0</v>
      </c>
      <c r="R4756">
        <v>0</v>
      </c>
    </row>
    <row r="4757" spans="1:18" x14ac:dyDescent="0.25">
      <c r="A4757" t="s">
        <v>9</v>
      </c>
      <c r="B4757" t="s">
        <v>6</v>
      </c>
      <c r="C4757">
        <v>2</v>
      </c>
      <c r="D4757">
        <v>1</v>
      </c>
      <c r="E4757">
        <v>2</v>
      </c>
      <c r="F4757" s="15">
        <v>46188</v>
      </c>
      <c r="G4757" t="s">
        <v>587</v>
      </c>
      <c r="H4757">
        <v>4</v>
      </c>
      <c r="I4757">
        <v>2026</v>
      </c>
      <c r="J4757">
        <v>6</v>
      </c>
      <c r="K4757" t="s">
        <v>87</v>
      </c>
      <c r="L4757" t="s">
        <v>14</v>
      </c>
      <c r="M4757" t="s">
        <v>8</v>
      </c>
      <c r="N4757" t="b">
        <v>0</v>
      </c>
      <c r="O4757">
        <v>0</v>
      </c>
      <c r="P4757">
        <v>1</v>
      </c>
      <c r="Q4757">
        <v>0</v>
      </c>
      <c r="R4757">
        <v>1</v>
      </c>
    </row>
    <row r="4758" spans="1:18" x14ac:dyDescent="0.25">
      <c r="A4758" t="s">
        <v>9</v>
      </c>
      <c r="B4758" t="s">
        <v>6</v>
      </c>
      <c r="C4758">
        <v>2</v>
      </c>
      <c r="D4758">
        <v>1</v>
      </c>
      <c r="E4758">
        <v>2</v>
      </c>
      <c r="F4758" s="15">
        <v>46188</v>
      </c>
      <c r="G4758" t="s">
        <v>587</v>
      </c>
      <c r="H4758">
        <v>4</v>
      </c>
      <c r="I4758">
        <v>2026</v>
      </c>
      <c r="J4758">
        <v>6</v>
      </c>
      <c r="K4758" t="s">
        <v>87</v>
      </c>
      <c r="L4758" t="s">
        <v>28</v>
      </c>
      <c r="M4758" t="s">
        <v>6</v>
      </c>
      <c r="N4758" t="b">
        <v>0</v>
      </c>
      <c r="O4758">
        <v>0</v>
      </c>
      <c r="P4758">
        <v>1</v>
      </c>
      <c r="Q4758">
        <v>0</v>
      </c>
      <c r="R4758">
        <v>0</v>
      </c>
    </row>
    <row r="4759" spans="1:18" x14ac:dyDescent="0.25">
      <c r="A4759" t="s">
        <v>9</v>
      </c>
      <c r="B4759" t="s">
        <v>6</v>
      </c>
      <c r="C4759">
        <v>2</v>
      </c>
      <c r="D4759">
        <v>1</v>
      </c>
      <c r="E4759">
        <v>2</v>
      </c>
      <c r="F4759" s="15">
        <v>46188</v>
      </c>
      <c r="G4759" t="s">
        <v>587</v>
      </c>
      <c r="H4759">
        <v>4</v>
      </c>
      <c r="I4759">
        <v>2026</v>
      </c>
      <c r="J4759">
        <v>6</v>
      </c>
      <c r="K4759" t="s">
        <v>87</v>
      </c>
      <c r="L4759" t="s">
        <v>519</v>
      </c>
      <c r="M4759" t="s">
        <v>6</v>
      </c>
      <c r="N4759" t="b">
        <v>0</v>
      </c>
      <c r="O4759">
        <v>0</v>
      </c>
      <c r="P4759">
        <v>1</v>
      </c>
      <c r="Q4759">
        <v>0</v>
      </c>
      <c r="R4759">
        <v>0</v>
      </c>
    </row>
    <row r="4760" spans="1:18" x14ac:dyDescent="0.25">
      <c r="A4760" t="s">
        <v>28</v>
      </c>
      <c r="B4760" t="s">
        <v>6</v>
      </c>
      <c r="C4760">
        <v>3</v>
      </c>
      <c r="D4760">
        <v>1</v>
      </c>
      <c r="E4760">
        <v>2</v>
      </c>
      <c r="F4760" s="15">
        <v>46188</v>
      </c>
      <c r="G4760" t="s">
        <v>587</v>
      </c>
      <c r="H4760">
        <v>4</v>
      </c>
      <c r="I4760">
        <v>2026</v>
      </c>
      <c r="J4760">
        <v>6</v>
      </c>
      <c r="K4760" t="s">
        <v>87</v>
      </c>
      <c r="L4760" t="s">
        <v>14</v>
      </c>
      <c r="M4760" t="s">
        <v>8</v>
      </c>
      <c r="N4760" t="b">
        <v>0</v>
      </c>
      <c r="O4760">
        <v>0</v>
      </c>
      <c r="P4760">
        <v>1</v>
      </c>
      <c r="Q4760">
        <v>0</v>
      </c>
      <c r="R4760">
        <v>1</v>
      </c>
    </row>
    <row r="4761" spans="1:18" x14ac:dyDescent="0.25">
      <c r="A4761" t="s">
        <v>28</v>
      </c>
      <c r="B4761" t="s">
        <v>6</v>
      </c>
      <c r="C4761">
        <v>3</v>
      </c>
      <c r="D4761">
        <v>1</v>
      </c>
      <c r="E4761">
        <v>2</v>
      </c>
      <c r="F4761" s="15">
        <v>46188</v>
      </c>
      <c r="G4761" t="s">
        <v>587</v>
      </c>
      <c r="H4761">
        <v>4</v>
      </c>
      <c r="I4761">
        <v>2026</v>
      </c>
      <c r="J4761">
        <v>6</v>
      </c>
      <c r="K4761" t="s">
        <v>87</v>
      </c>
      <c r="L4761" t="s">
        <v>9</v>
      </c>
      <c r="M4761" t="s">
        <v>6</v>
      </c>
      <c r="N4761" t="b">
        <v>0</v>
      </c>
      <c r="O4761">
        <v>0</v>
      </c>
      <c r="P4761">
        <v>1</v>
      </c>
      <c r="Q4761">
        <v>0</v>
      </c>
      <c r="R4761">
        <v>0</v>
      </c>
    </row>
    <row r="4762" spans="1:18" x14ac:dyDescent="0.25">
      <c r="A4762" t="s">
        <v>28</v>
      </c>
      <c r="B4762" t="s">
        <v>6</v>
      </c>
      <c r="C4762">
        <v>3</v>
      </c>
      <c r="D4762">
        <v>1</v>
      </c>
      <c r="E4762">
        <v>2</v>
      </c>
      <c r="F4762" s="15">
        <v>46188</v>
      </c>
      <c r="G4762" t="s">
        <v>587</v>
      </c>
      <c r="H4762">
        <v>4</v>
      </c>
      <c r="I4762">
        <v>2026</v>
      </c>
      <c r="J4762">
        <v>6</v>
      </c>
      <c r="K4762" t="s">
        <v>87</v>
      </c>
      <c r="L4762" t="s">
        <v>519</v>
      </c>
      <c r="M4762" t="s">
        <v>6</v>
      </c>
      <c r="N4762" t="b">
        <v>0</v>
      </c>
      <c r="O4762">
        <v>0</v>
      </c>
      <c r="P4762">
        <v>1</v>
      </c>
      <c r="Q4762">
        <v>0</v>
      </c>
      <c r="R4762">
        <v>0</v>
      </c>
    </row>
    <row r="4763" spans="1:18" x14ac:dyDescent="0.25">
      <c r="A4763" t="s">
        <v>519</v>
      </c>
      <c r="B4763" t="s">
        <v>6</v>
      </c>
      <c r="C4763">
        <v>4</v>
      </c>
      <c r="D4763">
        <v>1</v>
      </c>
      <c r="E4763">
        <v>2</v>
      </c>
      <c r="F4763" s="15">
        <v>46188</v>
      </c>
      <c r="G4763" t="s">
        <v>587</v>
      </c>
      <c r="H4763">
        <v>4</v>
      </c>
      <c r="I4763">
        <v>2026</v>
      </c>
      <c r="J4763">
        <v>6</v>
      </c>
      <c r="K4763" t="s">
        <v>87</v>
      </c>
      <c r="L4763" t="s">
        <v>14</v>
      </c>
      <c r="M4763" t="s">
        <v>8</v>
      </c>
      <c r="N4763" t="b">
        <v>0</v>
      </c>
      <c r="O4763">
        <v>0</v>
      </c>
      <c r="P4763">
        <v>1</v>
      </c>
      <c r="Q4763">
        <v>0</v>
      </c>
      <c r="R4763">
        <v>1</v>
      </c>
    </row>
    <row r="4764" spans="1:18" x14ac:dyDescent="0.25">
      <c r="A4764" t="s">
        <v>519</v>
      </c>
      <c r="B4764" t="s">
        <v>6</v>
      </c>
      <c r="C4764">
        <v>4</v>
      </c>
      <c r="D4764">
        <v>1</v>
      </c>
      <c r="E4764">
        <v>2</v>
      </c>
      <c r="F4764" s="15">
        <v>46188</v>
      </c>
      <c r="G4764" t="s">
        <v>587</v>
      </c>
      <c r="H4764">
        <v>4</v>
      </c>
      <c r="I4764">
        <v>2026</v>
      </c>
      <c r="J4764">
        <v>6</v>
      </c>
      <c r="K4764" t="s">
        <v>87</v>
      </c>
      <c r="L4764" t="s">
        <v>9</v>
      </c>
      <c r="M4764" t="s">
        <v>6</v>
      </c>
      <c r="N4764" t="b">
        <v>0</v>
      </c>
      <c r="O4764">
        <v>0</v>
      </c>
      <c r="P4764">
        <v>1</v>
      </c>
      <c r="Q4764">
        <v>0</v>
      </c>
      <c r="R4764">
        <v>0</v>
      </c>
    </row>
    <row r="4765" spans="1:18" x14ac:dyDescent="0.25">
      <c r="A4765" t="s">
        <v>519</v>
      </c>
      <c r="B4765" t="s">
        <v>6</v>
      </c>
      <c r="C4765">
        <v>4</v>
      </c>
      <c r="D4765">
        <v>1</v>
      </c>
      <c r="E4765">
        <v>2</v>
      </c>
      <c r="F4765" s="15">
        <v>46188</v>
      </c>
      <c r="G4765" t="s">
        <v>587</v>
      </c>
      <c r="H4765">
        <v>4</v>
      </c>
      <c r="I4765">
        <v>2026</v>
      </c>
      <c r="J4765">
        <v>6</v>
      </c>
      <c r="K4765" t="s">
        <v>87</v>
      </c>
      <c r="L4765" t="s">
        <v>28</v>
      </c>
      <c r="M4765" t="s">
        <v>6</v>
      </c>
      <c r="N4765" t="b">
        <v>0</v>
      </c>
      <c r="O4765">
        <v>0</v>
      </c>
      <c r="P4765">
        <v>1</v>
      </c>
      <c r="Q4765">
        <v>0</v>
      </c>
      <c r="R4765">
        <v>0</v>
      </c>
    </row>
    <row r="4766" spans="1:18" x14ac:dyDescent="0.25">
      <c r="A4766" t="s">
        <v>433</v>
      </c>
      <c r="B4766" t="s">
        <v>6</v>
      </c>
      <c r="C4766">
        <v>1</v>
      </c>
      <c r="D4766">
        <v>2</v>
      </c>
      <c r="E4766">
        <v>2</v>
      </c>
      <c r="F4766" s="15">
        <v>46188</v>
      </c>
      <c r="G4766" t="s">
        <v>588</v>
      </c>
      <c r="H4766">
        <v>4</v>
      </c>
      <c r="I4766">
        <v>2026</v>
      </c>
      <c r="J4766">
        <v>6</v>
      </c>
      <c r="K4766" t="s">
        <v>87</v>
      </c>
      <c r="L4766" t="s">
        <v>15</v>
      </c>
      <c r="M4766" t="s">
        <v>6</v>
      </c>
      <c r="N4766" t="b">
        <v>0</v>
      </c>
      <c r="O4766">
        <v>0</v>
      </c>
      <c r="P4766">
        <v>1</v>
      </c>
      <c r="Q4766">
        <v>0</v>
      </c>
      <c r="R4766">
        <v>0</v>
      </c>
    </row>
    <row r="4767" spans="1:18" x14ac:dyDescent="0.25">
      <c r="A4767" t="s">
        <v>433</v>
      </c>
      <c r="B4767" t="s">
        <v>6</v>
      </c>
      <c r="C4767">
        <v>1</v>
      </c>
      <c r="D4767">
        <v>2</v>
      </c>
      <c r="E4767">
        <v>2</v>
      </c>
      <c r="F4767" s="15">
        <v>46188</v>
      </c>
      <c r="G4767" t="s">
        <v>588</v>
      </c>
      <c r="H4767">
        <v>4</v>
      </c>
      <c r="I4767">
        <v>2026</v>
      </c>
      <c r="J4767">
        <v>6</v>
      </c>
      <c r="K4767" t="s">
        <v>87</v>
      </c>
      <c r="L4767" t="s">
        <v>11</v>
      </c>
      <c r="M4767" t="s">
        <v>8</v>
      </c>
      <c r="N4767" t="b">
        <v>0</v>
      </c>
      <c r="O4767">
        <v>0</v>
      </c>
      <c r="P4767">
        <v>1</v>
      </c>
      <c r="Q4767">
        <v>0</v>
      </c>
      <c r="R4767">
        <v>1</v>
      </c>
    </row>
    <row r="4768" spans="1:18" x14ac:dyDescent="0.25">
      <c r="A4768" t="s">
        <v>433</v>
      </c>
      <c r="B4768" t="s">
        <v>6</v>
      </c>
      <c r="C4768">
        <v>1</v>
      </c>
      <c r="D4768">
        <v>2</v>
      </c>
      <c r="E4768">
        <v>2</v>
      </c>
      <c r="F4768" s="15">
        <v>46188</v>
      </c>
      <c r="G4768" t="s">
        <v>588</v>
      </c>
      <c r="H4768">
        <v>4</v>
      </c>
      <c r="I4768">
        <v>2026</v>
      </c>
      <c r="J4768">
        <v>6</v>
      </c>
      <c r="K4768" t="s">
        <v>87</v>
      </c>
      <c r="L4768" t="s">
        <v>51</v>
      </c>
      <c r="M4768" t="s">
        <v>6</v>
      </c>
      <c r="N4768" t="b">
        <v>0</v>
      </c>
      <c r="O4768">
        <v>0</v>
      </c>
      <c r="P4768">
        <v>1</v>
      </c>
      <c r="Q4768">
        <v>0</v>
      </c>
      <c r="R4768">
        <v>0</v>
      </c>
    </row>
    <row r="4769" spans="1:18" x14ac:dyDescent="0.25">
      <c r="A4769" t="s">
        <v>15</v>
      </c>
      <c r="B4769" t="s">
        <v>6</v>
      </c>
      <c r="C4769">
        <v>2</v>
      </c>
      <c r="D4769">
        <v>2</v>
      </c>
      <c r="E4769">
        <v>2</v>
      </c>
      <c r="F4769" s="15">
        <v>46188</v>
      </c>
      <c r="G4769" t="s">
        <v>588</v>
      </c>
      <c r="H4769">
        <v>4</v>
      </c>
      <c r="I4769">
        <v>2026</v>
      </c>
      <c r="J4769">
        <v>6</v>
      </c>
      <c r="K4769" t="s">
        <v>87</v>
      </c>
      <c r="L4769" t="s">
        <v>433</v>
      </c>
      <c r="M4769" t="s">
        <v>6</v>
      </c>
      <c r="N4769" t="b">
        <v>0</v>
      </c>
      <c r="O4769">
        <v>0</v>
      </c>
      <c r="P4769">
        <v>1</v>
      </c>
      <c r="Q4769">
        <v>0</v>
      </c>
      <c r="R4769">
        <v>0</v>
      </c>
    </row>
    <row r="4770" spans="1:18" x14ac:dyDescent="0.25">
      <c r="A4770" t="s">
        <v>15</v>
      </c>
      <c r="B4770" t="s">
        <v>6</v>
      </c>
      <c r="C4770">
        <v>2</v>
      </c>
      <c r="D4770">
        <v>2</v>
      </c>
      <c r="E4770">
        <v>2</v>
      </c>
      <c r="F4770" s="15">
        <v>46188</v>
      </c>
      <c r="G4770" t="s">
        <v>588</v>
      </c>
      <c r="H4770">
        <v>4</v>
      </c>
      <c r="I4770">
        <v>2026</v>
      </c>
      <c r="J4770">
        <v>6</v>
      </c>
      <c r="K4770" t="s">
        <v>87</v>
      </c>
      <c r="L4770" t="s">
        <v>11</v>
      </c>
      <c r="M4770" t="s">
        <v>8</v>
      </c>
      <c r="N4770" t="b">
        <v>0</v>
      </c>
      <c r="O4770">
        <v>0</v>
      </c>
      <c r="P4770">
        <v>1</v>
      </c>
      <c r="Q4770">
        <v>0</v>
      </c>
      <c r="R4770">
        <v>1</v>
      </c>
    </row>
    <row r="4771" spans="1:18" x14ac:dyDescent="0.25">
      <c r="A4771" t="s">
        <v>15</v>
      </c>
      <c r="B4771" t="s">
        <v>6</v>
      </c>
      <c r="C4771">
        <v>2</v>
      </c>
      <c r="D4771">
        <v>2</v>
      </c>
      <c r="E4771">
        <v>2</v>
      </c>
      <c r="F4771" s="15">
        <v>46188</v>
      </c>
      <c r="G4771" t="s">
        <v>588</v>
      </c>
      <c r="H4771">
        <v>4</v>
      </c>
      <c r="I4771">
        <v>2026</v>
      </c>
      <c r="J4771">
        <v>6</v>
      </c>
      <c r="K4771" t="s">
        <v>87</v>
      </c>
      <c r="L4771" t="s">
        <v>51</v>
      </c>
      <c r="M4771" t="s">
        <v>6</v>
      </c>
      <c r="N4771" t="b">
        <v>0</v>
      </c>
      <c r="O4771">
        <v>0</v>
      </c>
      <c r="P4771">
        <v>1</v>
      </c>
      <c r="Q4771">
        <v>0</v>
      </c>
      <c r="R4771">
        <v>0</v>
      </c>
    </row>
    <row r="4772" spans="1:18" x14ac:dyDescent="0.25">
      <c r="A4772" t="s">
        <v>11</v>
      </c>
      <c r="B4772" t="s">
        <v>8</v>
      </c>
      <c r="C4772">
        <v>3</v>
      </c>
      <c r="D4772">
        <v>2</v>
      </c>
      <c r="E4772">
        <v>2</v>
      </c>
      <c r="F4772" s="15">
        <v>46188</v>
      </c>
      <c r="G4772" t="s">
        <v>588</v>
      </c>
      <c r="H4772">
        <v>4</v>
      </c>
      <c r="I4772">
        <v>2026</v>
      </c>
      <c r="J4772">
        <v>6</v>
      </c>
      <c r="K4772" t="s">
        <v>87</v>
      </c>
      <c r="L4772" t="s">
        <v>433</v>
      </c>
      <c r="M4772" t="s">
        <v>6</v>
      </c>
      <c r="N4772" t="b">
        <v>0</v>
      </c>
      <c r="O4772">
        <v>1</v>
      </c>
      <c r="P4772">
        <v>0</v>
      </c>
      <c r="Q4772">
        <v>0</v>
      </c>
      <c r="R4772">
        <v>0</v>
      </c>
    </row>
    <row r="4773" spans="1:18" x14ac:dyDescent="0.25">
      <c r="A4773" t="s">
        <v>11</v>
      </c>
      <c r="B4773" t="s">
        <v>8</v>
      </c>
      <c r="C4773">
        <v>3</v>
      </c>
      <c r="D4773">
        <v>2</v>
      </c>
      <c r="E4773">
        <v>2</v>
      </c>
      <c r="F4773" s="15">
        <v>46188</v>
      </c>
      <c r="G4773" t="s">
        <v>588</v>
      </c>
      <c r="H4773">
        <v>4</v>
      </c>
      <c r="I4773">
        <v>2026</v>
      </c>
      <c r="J4773">
        <v>6</v>
      </c>
      <c r="K4773" t="s">
        <v>87</v>
      </c>
      <c r="L4773" t="s">
        <v>15</v>
      </c>
      <c r="M4773" t="s">
        <v>6</v>
      </c>
      <c r="N4773" t="b">
        <v>0</v>
      </c>
      <c r="O4773">
        <v>1</v>
      </c>
      <c r="P4773">
        <v>0</v>
      </c>
      <c r="Q4773">
        <v>0</v>
      </c>
      <c r="R4773">
        <v>0</v>
      </c>
    </row>
    <row r="4774" spans="1:18" x14ac:dyDescent="0.25">
      <c r="A4774" t="s">
        <v>11</v>
      </c>
      <c r="B4774" t="s">
        <v>8</v>
      </c>
      <c r="C4774">
        <v>3</v>
      </c>
      <c r="D4774">
        <v>2</v>
      </c>
      <c r="E4774">
        <v>2</v>
      </c>
      <c r="F4774" s="15">
        <v>46188</v>
      </c>
      <c r="G4774" t="s">
        <v>588</v>
      </c>
      <c r="H4774">
        <v>4</v>
      </c>
      <c r="I4774">
        <v>2026</v>
      </c>
      <c r="J4774">
        <v>6</v>
      </c>
      <c r="K4774" t="s">
        <v>87</v>
      </c>
      <c r="L4774" t="s">
        <v>51</v>
      </c>
      <c r="M4774" t="s">
        <v>6</v>
      </c>
      <c r="N4774" t="b">
        <v>0</v>
      </c>
      <c r="O4774">
        <v>1</v>
      </c>
      <c r="P4774">
        <v>0</v>
      </c>
      <c r="Q4774">
        <v>0</v>
      </c>
      <c r="R4774">
        <v>0</v>
      </c>
    </row>
    <row r="4775" spans="1:18" x14ac:dyDescent="0.25">
      <c r="A4775" t="s">
        <v>51</v>
      </c>
      <c r="B4775" t="s">
        <v>6</v>
      </c>
      <c r="C4775">
        <v>4</v>
      </c>
      <c r="D4775">
        <v>2</v>
      </c>
      <c r="E4775">
        <v>2</v>
      </c>
      <c r="F4775" s="15">
        <v>46188</v>
      </c>
      <c r="G4775" t="s">
        <v>588</v>
      </c>
      <c r="H4775">
        <v>4</v>
      </c>
      <c r="I4775">
        <v>2026</v>
      </c>
      <c r="J4775">
        <v>6</v>
      </c>
      <c r="K4775" t="s">
        <v>87</v>
      </c>
      <c r="L4775" t="s">
        <v>433</v>
      </c>
      <c r="M4775" t="s">
        <v>6</v>
      </c>
      <c r="N4775" t="b">
        <v>0</v>
      </c>
      <c r="O4775">
        <v>0</v>
      </c>
      <c r="P4775">
        <v>1</v>
      </c>
      <c r="Q4775">
        <v>0</v>
      </c>
      <c r="R4775">
        <v>0</v>
      </c>
    </row>
    <row r="4776" spans="1:18" x14ac:dyDescent="0.25">
      <c r="A4776" t="s">
        <v>51</v>
      </c>
      <c r="B4776" t="s">
        <v>6</v>
      </c>
      <c r="C4776">
        <v>4</v>
      </c>
      <c r="D4776">
        <v>2</v>
      </c>
      <c r="E4776">
        <v>2</v>
      </c>
      <c r="F4776" s="15">
        <v>46188</v>
      </c>
      <c r="G4776" t="s">
        <v>588</v>
      </c>
      <c r="H4776">
        <v>4</v>
      </c>
      <c r="I4776">
        <v>2026</v>
      </c>
      <c r="J4776">
        <v>6</v>
      </c>
      <c r="K4776" t="s">
        <v>87</v>
      </c>
      <c r="L4776" t="s">
        <v>15</v>
      </c>
      <c r="M4776" t="s">
        <v>6</v>
      </c>
      <c r="N4776" t="b">
        <v>0</v>
      </c>
      <c r="O4776">
        <v>0</v>
      </c>
      <c r="P4776">
        <v>1</v>
      </c>
      <c r="Q4776">
        <v>0</v>
      </c>
      <c r="R4776">
        <v>0</v>
      </c>
    </row>
    <row r="4777" spans="1:18" x14ac:dyDescent="0.25">
      <c r="A4777" t="s">
        <v>51</v>
      </c>
      <c r="B4777" t="s">
        <v>6</v>
      </c>
      <c r="C4777">
        <v>4</v>
      </c>
      <c r="D4777">
        <v>2</v>
      </c>
      <c r="E4777">
        <v>2</v>
      </c>
      <c r="F4777" s="15">
        <v>46188</v>
      </c>
      <c r="G4777" t="s">
        <v>588</v>
      </c>
      <c r="H4777">
        <v>4</v>
      </c>
      <c r="I4777">
        <v>2026</v>
      </c>
      <c r="J4777">
        <v>6</v>
      </c>
      <c r="K4777" t="s">
        <v>87</v>
      </c>
      <c r="L4777" t="s">
        <v>11</v>
      </c>
      <c r="M4777" t="s">
        <v>8</v>
      </c>
      <c r="N4777" t="b">
        <v>0</v>
      </c>
      <c r="O4777">
        <v>0</v>
      </c>
      <c r="P4777">
        <v>1</v>
      </c>
      <c r="Q4777">
        <v>0</v>
      </c>
      <c r="R4777">
        <v>1</v>
      </c>
    </row>
    <row r="4778" spans="1:18" x14ac:dyDescent="0.25">
      <c r="A4778" t="s">
        <v>405</v>
      </c>
      <c r="B4778" t="s">
        <v>6</v>
      </c>
      <c r="C4778">
        <v>1</v>
      </c>
      <c r="D4778">
        <v>3</v>
      </c>
      <c r="E4778">
        <v>2</v>
      </c>
      <c r="F4778" s="15">
        <v>46188</v>
      </c>
      <c r="G4778" t="s">
        <v>589</v>
      </c>
      <c r="H4778">
        <v>4</v>
      </c>
      <c r="I4778">
        <v>2026</v>
      </c>
      <c r="J4778">
        <v>6</v>
      </c>
      <c r="K4778" t="s">
        <v>87</v>
      </c>
      <c r="L4778" t="s">
        <v>581</v>
      </c>
      <c r="M4778" t="s">
        <v>6</v>
      </c>
      <c r="N4778" t="b">
        <v>0</v>
      </c>
      <c r="O4778">
        <v>0</v>
      </c>
      <c r="P4778">
        <v>1</v>
      </c>
      <c r="Q4778">
        <v>0</v>
      </c>
      <c r="R4778">
        <v>0</v>
      </c>
    </row>
    <row r="4779" spans="1:18" x14ac:dyDescent="0.25">
      <c r="A4779" t="s">
        <v>405</v>
      </c>
      <c r="B4779" t="s">
        <v>6</v>
      </c>
      <c r="C4779">
        <v>1</v>
      </c>
      <c r="D4779">
        <v>3</v>
      </c>
      <c r="E4779">
        <v>2</v>
      </c>
      <c r="F4779" s="15">
        <v>46188</v>
      </c>
      <c r="G4779" t="s">
        <v>589</v>
      </c>
      <c r="H4779">
        <v>4</v>
      </c>
      <c r="I4779">
        <v>2026</v>
      </c>
      <c r="J4779">
        <v>6</v>
      </c>
      <c r="K4779" t="s">
        <v>87</v>
      </c>
      <c r="L4779" t="s">
        <v>7</v>
      </c>
      <c r="M4779" t="s">
        <v>6</v>
      </c>
      <c r="N4779" t="b">
        <v>0</v>
      </c>
      <c r="O4779">
        <v>0</v>
      </c>
      <c r="P4779">
        <v>1</v>
      </c>
      <c r="Q4779">
        <v>0</v>
      </c>
      <c r="R4779">
        <v>0</v>
      </c>
    </row>
    <row r="4780" spans="1:18" x14ac:dyDescent="0.25">
      <c r="A4780" t="s">
        <v>405</v>
      </c>
      <c r="B4780" t="s">
        <v>6</v>
      </c>
      <c r="C4780">
        <v>1</v>
      </c>
      <c r="D4780">
        <v>3</v>
      </c>
      <c r="E4780">
        <v>2</v>
      </c>
      <c r="F4780" s="15">
        <v>46188</v>
      </c>
      <c r="G4780" t="s">
        <v>589</v>
      </c>
      <c r="H4780">
        <v>4</v>
      </c>
      <c r="I4780">
        <v>2026</v>
      </c>
      <c r="J4780">
        <v>6</v>
      </c>
      <c r="K4780" t="s">
        <v>87</v>
      </c>
      <c r="L4780" t="s">
        <v>325</v>
      </c>
      <c r="M4780" t="s">
        <v>8</v>
      </c>
      <c r="N4780" t="b">
        <v>0</v>
      </c>
      <c r="O4780">
        <v>0</v>
      </c>
      <c r="P4780">
        <v>1</v>
      </c>
      <c r="Q4780">
        <v>0</v>
      </c>
      <c r="R4780">
        <v>1</v>
      </c>
    </row>
    <row r="4781" spans="1:18" x14ac:dyDescent="0.25">
      <c r="A4781" t="s">
        <v>581</v>
      </c>
      <c r="B4781" t="s">
        <v>6</v>
      </c>
      <c r="C4781">
        <v>2</v>
      </c>
      <c r="D4781">
        <v>3</v>
      </c>
      <c r="E4781">
        <v>2</v>
      </c>
      <c r="F4781" s="15">
        <v>46188</v>
      </c>
      <c r="G4781" t="s">
        <v>589</v>
      </c>
      <c r="H4781">
        <v>4</v>
      </c>
      <c r="I4781">
        <v>2026</v>
      </c>
      <c r="J4781">
        <v>6</v>
      </c>
      <c r="K4781" t="s">
        <v>87</v>
      </c>
      <c r="L4781" t="s">
        <v>405</v>
      </c>
      <c r="M4781" t="s">
        <v>6</v>
      </c>
      <c r="N4781" t="b">
        <v>0</v>
      </c>
      <c r="O4781">
        <v>0</v>
      </c>
      <c r="P4781">
        <v>1</v>
      </c>
      <c r="Q4781">
        <v>0</v>
      </c>
      <c r="R4781">
        <v>0</v>
      </c>
    </row>
    <row r="4782" spans="1:18" x14ac:dyDescent="0.25">
      <c r="A4782" t="s">
        <v>581</v>
      </c>
      <c r="B4782" t="s">
        <v>6</v>
      </c>
      <c r="C4782">
        <v>2</v>
      </c>
      <c r="D4782">
        <v>3</v>
      </c>
      <c r="E4782">
        <v>2</v>
      </c>
      <c r="F4782" s="15">
        <v>46188</v>
      </c>
      <c r="G4782" t="s">
        <v>589</v>
      </c>
      <c r="H4782">
        <v>4</v>
      </c>
      <c r="I4782">
        <v>2026</v>
      </c>
      <c r="J4782">
        <v>6</v>
      </c>
      <c r="K4782" t="s">
        <v>87</v>
      </c>
      <c r="L4782" t="s">
        <v>7</v>
      </c>
      <c r="M4782" t="s">
        <v>6</v>
      </c>
      <c r="N4782" t="b">
        <v>0</v>
      </c>
      <c r="O4782">
        <v>0</v>
      </c>
      <c r="P4782">
        <v>1</v>
      </c>
      <c r="Q4782">
        <v>0</v>
      </c>
      <c r="R4782">
        <v>0</v>
      </c>
    </row>
    <row r="4783" spans="1:18" x14ac:dyDescent="0.25">
      <c r="A4783" t="s">
        <v>581</v>
      </c>
      <c r="B4783" t="s">
        <v>6</v>
      </c>
      <c r="C4783">
        <v>2</v>
      </c>
      <c r="D4783">
        <v>3</v>
      </c>
      <c r="E4783">
        <v>2</v>
      </c>
      <c r="F4783" s="15">
        <v>46188</v>
      </c>
      <c r="G4783" t="s">
        <v>589</v>
      </c>
      <c r="H4783">
        <v>4</v>
      </c>
      <c r="I4783">
        <v>2026</v>
      </c>
      <c r="J4783">
        <v>6</v>
      </c>
      <c r="K4783" t="s">
        <v>87</v>
      </c>
      <c r="L4783" t="s">
        <v>325</v>
      </c>
      <c r="M4783" t="s">
        <v>8</v>
      </c>
      <c r="N4783" t="b">
        <v>0</v>
      </c>
      <c r="O4783">
        <v>0</v>
      </c>
      <c r="P4783">
        <v>1</v>
      </c>
      <c r="Q4783">
        <v>0</v>
      </c>
      <c r="R4783">
        <v>1</v>
      </c>
    </row>
    <row r="4784" spans="1:18" x14ac:dyDescent="0.25">
      <c r="A4784" t="s">
        <v>7</v>
      </c>
      <c r="B4784" t="s">
        <v>6</v>
      </c>
      <c r="C4784">
        <v>3</v>
      </c>
      <c r="D4784">
        <v>3</v>
      </c>
      <c r="E4784">
        <v>2</v>
      </c>
      <c r="F4784" s="15">
        <v>46188</v>
      </c>
      <c r="G4784" t="s">
        <v>589</v>
      </c>
      <c r="H4784">
        <v>4</v>
      </c>
      <c r="I4784">
        <v>2026</v>
      </c>
      <c r="J4784">
        <v>6</v>
      </c>
      <c r="K4784" t="s">
        <v>87</v>
      </c>
      <c r="L4784" t="s">
        <v>405</v>
      </c>
      <c r="M4784" t="s">
        <v>6</v>
      </c>
      <c r="N4784" t="b">
        <v>0</v>
      </c>
      <c r="O4784">
        <v>0</v>
      </c>
      <c r="P4784">
        <v>1</v>
      </c>
      <c r="Q4784">
        <v>0</v>
      </c>
      <c r="R4784">
        <v>0</v>
      </c>
    </row>
    <row r="4785" spans="1:18" x14ac:dyDescent="0.25">
      <c r="A4785" t="s">
        <v>7</v>
      </c>
      <c r="B4785" t="s">
        <v>6</v>
      </c>
      <c r="C4785">
        <v>3</v>
      </c>
      <c r="D4785">
        <v>3</v>
      </c>
      <c r="E4785">
        <v>2</v>
      </c>
      <c r="F4785" s="15">
        <v>46188</v>
      </c>
      <c r="G4785" t="s">
        <v>589</v>
      </c>
      <c r="H4785">
        <v>4</v>
      </c>
      <c r="I4785">
        <v>2026</v>
      </c>
      <c r="J4785">
        <v>6</v>
      </c>
      <c r="K4785" t="s">
        <v>87</v>
      </c>
      <c r="L4785" t="s">
        <v>581</v>
      </c>
      <c r="M4785" t="s">
        <v>6</v>
      </c>
      <c r="N4785" t="b">
        <v>0</v>
      </c>
      <c r="O4785">
        <v>0</v>
      </c>
      <c r="P4785">
        <v>1</v>
      </c>
      <c r="Q4785">
        <v>0</v>
      </c>
      <c r="R4785">
        <v>0</v>
      </c>
    </row>
    <row r="4786" spans="1:18" x14ac:dyDescent="0.25">
      <c r="A4786" t="s">
        <v>7</v>
      </c>
      <c r="B4786" t="s">
        <v>6</v>
      </c>
      <c r="C4786">
        <v>3</v>
      </c>
      <c r="D4786">
        <v>3</v>
      </c>
      <c r="E4786">
        <v>2</v>
      </c>
      <c r="F4786" s="15">
        <v>46188</v>
      </c>
      <c r="G4786" t="s">
        <v>589</v>
      </c>
      <c r="H4786">
        <v>4</v>
      </c>
      <c r="I4786">
        <v>2026</v>
      </c>
      <c r="J4786">
        <v>6</v>
      </c>
      <c r="K4786" t="s">
        <v>87</v>
      </c>
      <c r="L4786" t="s">
        <v>325</v>
      </c>
      <c r="M4786" t="s">
        <v>8</v>
      </c>
      <c r="N4786" t="b">
        <v>0</v>
      </c>
      <c r="O4786">
        <v>0</v>
      </c>
      <c r="P4786">
        <v>1</v>
      </c>
      <c r="Q4786">
        <v>0</v>
      </c>
      <c r="R4786">
        <v>1</v>
      </c>
    </row>
    <row r="4787" spans="1:18" x14ac:dyDescent="0.25">
      <c r="A4787" t="s">
        <v>325</v>
      </c>
      <c r="B4787" t="s">
        <v>8</v>
      </c>
      <c r="C4787">
        <v>4</v>
      </c>
      <c r="D4787">
        <v>3</v>
      </c>
      <c r="E4787">
        <v>2</v>
      </c>
      <c r="F4787" s="15">
        <v>46188</v>
      </c>
      <c r="G4787" t="s">
        <v>589</v>
      </c>
      <c r="H4787">
        <v>4</v>
      </c>
      <c r="I4787">
        <v>2026</v>
      </c>
      <c r="J4787">
        <v>6</v>
      </c>
      <c r="K4787" t="s">
        <v>87</v>
      </c>
      <c r="L4787" t="s">
        <v>405</v>
      </c>
      <c r="M4787" t="s">
        <v>6</v>
      </c>
      <c r="N4787" t="b">
        <v>0</v>
      </c>
      <c r="O4787">
        <v>1</v>
      </c>
      <c r="P4787">
        <v>0</v>
      </c>
      <c r="Q4787">
        <v>0</v>
      </c>
      <c r="R4787">
        <v>0</v>
      </c>
    </row>
    <row r="4788" spans="1:18" x14ac:dyDescent="0.25">
      <c r="A4788" t="s">
        <v>325</v>
      </c>
      <c r="B4788" t="s">
        <v>8</v>
      </c>
      <c r="C4788">
        <v>4</v>
      </c>
      <c r="D4788">
        <v>3</v>
      </c>
      <c r="E4788">
        <v>2</v>
      </c>
      <c r="F4788" s="15">
        <v>46188</v>
      </c>
      <c r="G4788" t="s">
        <v>589</v>
      </c>
      <c r="H4788">
        <v>4</v>
      </c>
      <c r="I4788">
        <v>2026</v>
      </c>
      <c r="J4788">
        <v>6</v>
      </c>
      <c r="K4788" t="s">
        <v>87</v>
      </c>
      <c r="L4788" t="s">
        <v>581</v>
      </c>
      <c r="M4788" t="s">
        <v>6</v>
      </c>
      <c r="N4788" t="b">
        <v>0</v>
      </c>
      <c r="O4788">
        <v>1</v>
      </c>
      <c r="P4788">
        <v>0</v>
      </c>
      <c r="Q4788">
        <v>0</v>
      </c>
      <c r="R4788">
        <v>0</v>
      </c>
    </row>
    <row r="4789" spans="1:18" x14ac:dyDescent="0.25">
      <c r="A4789" t="s">
        <v>325</v>
      </c>
      <c r="B4789" t="s">
        <v>8</v>
      </c>
      <c r="C4789">
        <v>4</v>
      </c>
      <c r="D4789">
        <v>3</v>
      </c>
      <c r="E4789">
        <v>2</v>
      </c>
      <c r="F4789" s="15">
        <v>46188</v>
      </c>
      <c r="G4789" t="s">
        <v>589</v>
      </c>
      <c r="H4789">
        <v>4</v>
      </c>
      <c r="I4789">
        <v>2026</v>
      </c>
      <c r="J4789">
        <v>6</v>
      </c>
      <c r="K4789" t="s">
        <v>87</v>
      </c>
      <c r="L4789" t="s">
        <v>7</v>
      </c>
      <c r="M4789" t="s">
        <v>6</v>
      </c>
      <c r="N4789" t="b">
        <v>0</v>
      </c>
      <c r="O4789">
        <v>1</v>
      </c>
      <c r="P4789">
        <v>0</v>
      </c>
      <c r="Q4789">
        <v>0</v>
      </c>
      <c r="R4789">
        <v>0</v>
      </c>
    </row>
    <row r="4790" spans="1:18" x14ac:dyDescent="0.25">
      <c r="A4790" t="s">
        <v>10</v>
      </c>
      <c r="B4790" t="s">
        <v>6</v>
      </c>
      <c r="C4790">
        <v>1</v>
      </c>
      <c r="D4790">
        <v>4</v>
      </c>
      <c r="E4790">
        <v>2</v>
      </c>
      <c r="F4790" s="15">
        <v>46188</v>
      </c>
      <c r="G4790" t="s">
        <v>590</v>
      </c>
      <c r="H4790">
        <v>4</v>
      </c>
      <c r="I4790">
        <v>2026</v>
      </c>
      <c r="J4790">
        <v>6</v>
      </c>
      <c r="K4790" t="s">
        <v>87</v>
      </c>
      <c r="L4790" t="s">
        <v>435</v>
      </c>
      <c r="M4790" t="s">
        <v>6</v>
      </c>
      <c r="N4790" t="b">
        <v>0</v>
      </c>
      <c r="O4790">
        <v>0</v>
      </c>
      <c r="P4790">
        <v>1</v>
      </c>
      <c r="Q4790">
        <v>0</v>
      </c>
      <c r="R4790">
        <v>0</v>
      </c>
    </row>
    <row r="4791" spans="1:18" x14ac:dyDescent="0.25">
      <c r="A4791" t="s">
        <v>10</v>
      </c>
      <c r="B4791" t="s">
        <v>6</v>
      </c>
      <c r="C4791">
        <v>1</v>
      </c>
      <c r="D4791">
        <v>4</v>
      </c>
      <c r="E4791">
        <v>2</v>
      </c>
      <c r="F4791" s="15">
        <v>46188</v>
      </c>
      <c r="G4791" t="s">
        <v>590</v>
      </c>
      <c r="H4791">
        <v>4</v>
      </c>
      <c r="I4791">
        <v>2026</v>
      </c>
      <c r="J4791">
        <v>6</v>
      </c>
      <c r="K4791" t="s">
        <v>87</v>
      </c>
      <c r="L4791" t="s">
        <v>580</v>
      </c>
      <c r="M4791" t="s">
        <v>6</v>
      </c>
      <c r="N4791" t="b">
        <v>0</v>
      </c>
      <c r="O4791">
        <v>0</v>
      </c>
      <c r="P4791">
        <v>1</v>
      </c>
      <c r="Q4791">
        <v>0</v>
      </c>
      <c r="R4791">
        <v>0</v>
      </c>
    </row>
    <row r="4792" spans="1:18" x14ac:dyDescent="0.25">
      <c r="A4792" t="s">
        <v>10</v>
      </c>
      <c r="B4792" t="s">
        <v>6</v>
      </c>
      <c r="C4792">
        <v>1</v>
      </c>
      <c r="D4792">
        <v>4</v>
      </c>
      <c r="E4792">
        <v>2</v>
      </c>
      <c r="F4792" s="15">
        <v>46188</v>
      </c>
      <c r="G4792" t="s">
        <v>590</v>
      </c>
      <c r="H4792">
        <v>4</v>
      </c>
      <c r="I4792">
        <v>2026</v>
      </c>
      <c r="J4792">
        <v>6</v>
      </c>
      <c r="K4792" t="s">
        <v>87</v>
      </c>
      <c r="L4792" t="s">
        <v>352</v>
      </c>
      <c r="M4792" t="s">
        <v>8</v>
      </c>
      <c r="N4792" t="b">
        <v>0</v>
      </c>
      <c r="O4792">
        <v>0</v>
      </c>
      <c r="P4792">
        <v>1</v>
      </c>
      <c r="Q4792">
        <v>0</v>
      </c>
      <c r="R4792">
        <v>1</v>
      </c>
    </row>
    <row r="4793" spans="1:18" x14ac:dyDescent="0.25">
      <c r="A4793" t="s">
        <v>435</v>
      </c>
      <c r="B4793" t="s">
        <v>6</v>
      </c>
      <c r="C4793">
        <v>2</v>
      </c>
      <c r="D4793">
        <v>4</v>
      </c>
      <c r="E4793">
        <v>2</v>
      </c>
      <c r="F4793" s="15">
        <v>46188</v>
      </c>
      <c r="G4793" t="s">
        <v>590</v>
      </c>
      <c r="H4793">
        <v>4</v>
      </c>
      <c r="I4793">
        <v>2026</v>
      </c>
      <c r="J4793">
        <v>6</v>
      </c>
      <c r="K4793" t="s">
        <v>87</v>
      </c>
      <c r="L4793" t="s">
        <v>10</v>
      </c>
      <c r="M4793" t="s">
        <v>6</v>
      </c>
      <c r="N4793" t="b">
        <v>0</v>
      </c>
      <c r="O4793">
        <v>0</v>
      </c>
      <c r="P4793">
        <v>1</v>
      </c>
      <c r="Q4793">
        <v>0</v>
      </c>
      <c r="R4793">
        <v>0</v>
      </c>
    </row>
    <row r="4794" spans="1:18" x14ac:dyDescent="0.25">
      <c r="A4794" t="s">
        <v>435</v>
      </c>
      <c r="B4794" t="s">
        <v>6</v>
      </c>
      <c r="C4794">
        <v>2</v>
      </c>
      <c r="D4794">
        <v>4</v>
      </c>
      <c r="E4794">
        <v>2</v>
      </c>
      <c r="F4794" s="15">
        <v>46188</v>
      </c>
      <c r="G4794" t="s">
        <v>590</v>
      </c>
      <c r="H4794">
        <v>4</v>
      </c>
      <c r="I4794">
        <v>2026</v>
      </c>
      <c r="J4794">
        <v>6</v>
      </c>
      <c r="K4794" t="s">
        <v>87</v>
      </c>
      <c r="L4794" t="s">
        <v>580</v>
      </c>
      <c r="M4794" t="s">
        <v>6</v>
      </c>
      <c r="N4794" t="b">
        <v>0</v>
      </c>
      <c r="O4794">
        <v>0</v>
      </c>
      <c r="P4794">
        <v>1</v>
      </c>
      <c r="Q4794">
        <v>0</v>
      </c>
      <c r="R4794">
        <v>0</v>
      </c>
    </row>
    <row r="4795" spans="1:18" x14ac:dyDescent="0.25">
      <c r="A4795" t="s">
        <v>435</v>
      </c>
      <c r="B4795" t="s">
        <v>6</v>
      </c>
      <c r="C4795">
        <v>2</v>
      </c>
      <c r="D4795">
        <v>4</v>
      </c>
      <c r="E4795">
        <v>2</v>
      </c>
      <c r="F4795" s="15">
        <v>46188</v>
      </c>
      <c r="G4795" t="s">
        <v>590</v>
      </c>
      <c r="H4795">
        <v>4</v>
      </c>
      <c r="I4795">
        <v>2026</v>
      </c>
      <c r="J4795">
        <v>6</v>
      </c>
      <c r="K4795" t="s">
        <v>87</v>
      </c>
      <c r="L4795" t="s">
        <v>352</v>
      </c>
      <c r="M4795" t="s">
        <v>8</v>
      </c>
      <c r="N4795" t="b">
        <v>0</v>
      </c>
      <c r="O4795">
        <v>0</v>
      </c>
      <c r="P4795">
        <v>1</v>
      </c>
      <c r="Q4795">
        <v>0</v>
      </c>
      <c r="R4795">
        <v>1</v>
      </c>
    </row>
    <row r="4796" spans="1:18" x14ac:dyDescent="0.25">
      <c r="A4796" t="s">
        <v>580</v>
      </c>
      <c r="B4796" t="s">
        <v>6</v>
      </c>
      <c r="C4796">
        <v>3</v>
      </c>
      <c r="D4796">
        <v>4</v>
      </c>
      <c r="E4796">
        <v>2</v>
      </c>
      <c r="F4796" s="15">
        <v>46188</v>
      </c>
      <c r="G4796" t="s">
        <v>590</v>
      </c>
      <c r="H4796">
        <v>4</v>
      </c>
      <c r="I4796">
        <v>2026</v>
      </c>
      <c r="J4796">
        <v>6</v>
      </c>
      <c r="K4796" t="s">
        <v>87</v>
      </c>
      <c r="L4796" t="s">
        <v>10</v>
      </c>
      <c r="M4796" t="s">
        <v>6</v>
      </c>
      <c r="N4796" t="b">
        <v>0</v>
      </c>
      <c r="O4796">
        <v>0</v>
      </c>
      <c r="P4796">
        <v>1</v>
      </c>
      <c r="Q4796">
        <v>0</v>
      </c>
      <c r="R4796">
        <v>0</v>
      </c>
    </row>
    <row r="4797" spans="1:18" x14ac:dyDescent="0.25">
      <c r="A4797" t="s">
        <v>580</v>
      </c>
      <c r="B4797" t="s">
        <v>6</v>
      </c>
      <c r="C4797">
        <v>3</v>
      </c>
      <c r="D4797">
        <v>4</v>
      </c>
      <c r="E4797">
        <v>2</v>
      </c>
      <c r="F4797" s="15">
        <v>46188</v>
      </c>
      <c r="G4797" t="s">
        <v>590</v>
      </c>
      <c r="H4797">
        <v>4</v>
      </c>
      <c r="I4797">
        <v>2026</v>
      </c>
      <c r="J4797">
        <v>6</v>
      </c>
      <c r="K4797" t="s">
        <v>87</v>
      </c>
      <c r="L4797" t="s">
        <v>435</v>
      </c>
      <c r="M4797" t="s">
        <v>6</v>
      </c>
      <c r="N4797" t="b">
        <v>0</v>
      </c>
      <c r="O4797">
        <v>0</v>
      </c>
      <c r="P4797">
        <v>1</v>
      </c>
      <c r="Q4797">
        <v>0</v>
      </c>
      <c r="R4797">
        <v>0</v>
      </c>
    </row>
    <row r="4798" spans="1:18" x14ac:dyDescent="0.25">
      <c r="A4798" t="s">
        <v>580</v>
      </c>
      <c r="B4798" t="s">
        <v>6</v>
      </c>
      <c r="C4798">
        <v>3</v>
      </c>
      <c r="D4798">
        <v>4</v>
      </c>
      <c r="E4798">
        <v>2</v>
      </c>
      <c r="F4798" s="15">
        <v>46188</v>
      </c>
      <c r="G4798" t="s">
        <v>590</v>
      </c>
      <c r="H4798">
        <v>4</v>
      </c>
      <c r="I4798">
        <v>2026</v>
      </c>
      <c r="J4798">
        <v>6</v>
      </c>
      <c r="K4798" t="s">
        <v>87</v>
      </c>
      <c r="L4798" t="s">
        <v>352</v>
      </c>
      <c r="M4798" t="s">
        <v>8</v>
      </c>
      <c r="N4798" t="b">
        <v>0</v>
      </c>
      <c r="O4798">
        <v>0</v>
      </c>
      <c r="P4798">
        <v>1</v>
      </c>
      <c r="Q4798">
        <v>0</v>
      </c>
      <c r="R4798">
        <v>1</v>
      </c>
    </row>
    <row r="4799" spans="1:18" x14ac:dyDescent="0.25">
      <c r="A4799" t="s">
        <v>352</v>
      </c>
      <c r="B4799" t="s">
        <v>8</v>
      </c>
      <c r="C4799">
        <v>4</v>
      </c>
      <c r="D4799">
        <v>4</v>
      </c>
      <c r="E4799">
        <v>2</v>
      </c>
      <c r="F4799" s="15">
        <v>46188</v>
      </c>
      <c r="G4799" t="s">
        <v>590</v>
      </c>
      <c r="H4799">
        <v>4</v>
      </c>
      <c r="I4799">
        <v>2026</v>
      </c>
      <c r="J4799">
        <v>6</v>
      </c>
      <c r="K4799" t="s">
        <v>87</v>
      </c>
      <c r="L4799" t="s">
        <v>10</v>
      </c>
      <c r="M4799" t="s">
        <v>6</v>
      </c>
      <c r="N4799" t="b">
        <v>0</v>
      </c>
      <c r="O4799">
        <v>1</v>
      </c>
      <c r="P4799">
        <v>0</v>
      </c>
      <c r="Q4799">
        <v>0</v>
      </c>
      <c r="R4799">
        <v>0</v>
      </c>
    </row>
    <row r="4800" spans="1:18" x14ac:dyDescent="0.25">
      <c r="A4800" t="s">
        <v>352</v>
      </c>
      <c r="B4800" t="s">
        <v>8</v>
      </c>
      <c r="C4800">
        <v>4</v>
      </c>
      <c r="D4800">
        <v>4</v>
      </c>
      <c r="E4800">
        <v>2</v>
      </c>
      <c r="F4800" s="15">
        <v>46188</v>
      </c>
      <c r="G4800" t="s">
        <v>590</v>
      </c>
      <c r="H4800">
        <v>4</v>
      </c>
      <c r="I4800">
        <v>2026</v>
      </c>
      <c r="J4800">
        <v>6</v>
      </c>
      <c r="K4800" t="s">
        <v>87</v>
      </c>
      <c r="L4800" t="s">
        <v>435</v>
      </c>
      <c r="M4800" t="s">
        <v>6</v>
      </c>
      <c r="N4800" t="b">
        <v>0</v>
      </c>
      <c r="O4800">
        <v>1</v>
      </c>
      <c r="P4800">
        <v>0</v>
      </c>
      <c r="Q4800">
        <v>0</v>
      </c>
      <c r="R4800">
        <v>0</v>
      </c>
    </row>
    <row r="4801" spans="1:18" x14ac:dyDescent="0.25">
      <c r="A4801" t="s">
        <v>352</v>
      </c>
      <c r="B4801" t="s">
        <v>8</v>
      </c>
      <c r="C4801">
        <v>4</v>
      </c>
      <c r="D4801">
        <v>4</v>
      </c>
      <c r="E4801">
        <v>2</v>
      </c>
      <c r="F4801" s="15">
        <v>46188</v>
      </c>
      <c r="G4801" t="s">
        <v>590</v>
      </c>
      <c r="H4801">
        <v>4</v>
      </c>
      <c r="I4801">
        <v>2026</v>
      </c>
      <c r="J4801">
        <v>6</v>
      </c>
      <c r="K4801" t="s">
        <v>87</v>
      </c>
      <c r="L4801" t="s">
        <v>580</v>
      </c>
      <c r="M4801" t="s">
        <v>6</v>
      </c>
      <c r="N4801" t="b">
        <v>0</v>
      </c>
      <c r="O4801">
        <v>1</v>
      </c>
      <c r="P4801">
        <v>0</v>
      </c>
      <c r="Q4801">
        <v>0</v>
      </c>
      <c r="R4801">
        <v>0</v>
      </c>
    </row>
    <row r="4802" spans="1:18" x14ac:dyDescent="0.25">
      <c r="A4802" t="s">
        <v>402</v>
      </c>
      <c r="B4802" t="s">
        <v>63</v>
      </c>
      <c r="C4802">
        <v>1</v>
      </c>
      <c r="D4802">
        <v>5</v>
      </c>
      <c r="E4802">
        <v>2</v>
      </c>
      <c r="F4802" s="15">
        <v>46188</v>
      </c>
      <c r="G4802" t="s">
        <v>591</v>
      </c>
      <c r="H4802">
        <v>3</v>
      </c>
      <c r="I4802">
        <v>2026</v>
      </c>
      <c r="J4802">
        <v>6</v>
      </c>
      <c r="K4802" t="s">
        <v>87</v>
      </c>
      <c r="L4802" t="s">
        <v>19</v>
      </c>
      <c r="M4802" t="s">
        <v>63</v>
      </c>
      <c r="N4802" t="b">
        <v>0</v>
      </c>
      <c r="O4802">
        <v>0</v>
      </c>
      <c r="P4802">
        <v>0</v>
      </c>
      <c r="Q4802">
        <v>1</v>
      </c>
      <c r="R4802">
        <v>0</v>
      </c>
    </row>
    <row r="4803" spans="1:18" x14ac:dyDescent="0.25">
      <c r="A4803" t="s">
        <v>402</v>
      </c>
      <c r="B4803" t="s">
        <v>63</v>
      </c>
      <c r="C4803">
        <v>1</v>
      </c>
      <c r="D4803">
        <v>5</v>
      </c>
      <c r="E4803">
        <v>2</v>
      </c>
      <c r="F4803" s="15">
        <v>46188</v>
      </c>
      <c r="G4803" t="s">
        <v>591</v>
      </c>
      <c r="H4803">
        <v>3</v>
      </c>
      <c r="I4803">
        <v>2026</v>
      </c>
      <c r="J4803">
        <v>6</v>
      </c>
      <c r="K4803" t="s">
        <v>87</v>
      </c>
      <c r="L4803" t="s">
        <v>363</v>
      </c>
      <c r="M4803" t="s">
        <v>63</v>
      </c>
      <c r="N4803" t="b">
        <v>0</v>
      </c>
      <c r="O4803">
        <v>0</v>
      </c>
      <c r="P4803">
        <v>0</v>
      </c>
      <c r="Q4803">
        <v>1</v>
      </c>
      <c r="R4803">
        <v>0</v>
      </c>
    </row>
    <row r="4804" spans="1:18" x14ac:dyDescent="0.25">
      <c r="A4804" t="s">
        <v>19</v>
      </c>
      <c r="B4804" t="s">
        <v>63</v>
      </c>
      <c r="C4804">
        <v>2</v>
      </c>
      <c r="D4804">
        <v>5</v>
      </c>
      <c r="E4804">
        <v>2</v>
      </c>
      <c r="F4804" s="15">
        <v>46188</v>
      </c>
      <c r="G4804" t="s">
        <v>591</v>
      </c>
      <c r="H4804">
        <v>3</v>
      </c>
      <c r="I4804">
        <v>2026</v>
      </c>
      <c r="J4804">
        <v>6</v>
      </c>
      <c r="K4804" t="s">
        <v>87</v>
      </c>
      <c r="L4804" t="s">
        <v>402</v>
      </c>
      <c r="M4804" t="s">
        <v>63</v>
      </c>
      <c r="N4804" t="b">
        <v>0</v>
      </c>
      <c r="O4804">
        <v>0</v>
      </c>
      <c r="P4804">
        <v>0</v>
      </c>
      <c r="Q4804">
        <v>1</v>
      </c>
      <c r="R4804">
        <v>0</v>
      </c>
    </row>
    <row r="4805" spans="1:18" x14ac:dyDescent="0.25">
      <c r="A4805" t="s">
        <v>19</v>
      </c>
      <c r="B4805" t="s">
        <v>63</v>
      </c>
      <c r="C4805">
        <v>2</v>
      </c>
      <c r="D4805">
        <v>5</v>
      </c>
      <c r="E4805">
        <v>2</v>
      </c>
      <c r="F4805" s="15">
        <v>46188</v>
      </c>
      <c r="G4805" t="s">
        <v>591</v>
      </c>
      <c r="H4805">
        <v>3</v>
      </c>
      <c r="I4805">
        <v>2026</v>
      </c>
      <c r="J4805">
        <v>6</v>
      </c>
      <c r="K4805" t="s">
        <v>87</v>
      </c>
      <c r="L4805" t="s">
        <v>363</v>
      </c>
      <c r="M4805" t="s">
        <v>63</v>
      </c>
      <c r="N4805" t="b">
        <v>0</v>
      </c>
      <c r="O4805">
        <v>0</v>
      </c>
      <c r="P4805">
        <v>0</v>
      </c>
      <c r="Q4805">
        <v>1</v>
      </c>
      <c r="R4805">
        <v>0</v>
      </c>
    </row>
    <row r="4806" spans="1:18" x14ac:dyDescent="0.25">
      <c r="A4806" t="s">
        <v>363</v>
      </c>
      <c r="B4806" t="s">
        <v>63</v>
      </c>
      <c r="C4806">
        <v>3</v>
      </c>
      <c r="D4806">
        <v>5</v>
      </c>
      <c r="E4806">
        <v>2</v>
      </c>
      <c r="F4806" s="15">
        <v>46188</v>
      </c>
      <c r="G4806" t="s">
        <v>591</v>
      </c>
      <c r="H4806">
        <v>3</v>
      </c>
      <c r="I4806">
        <v>2026</v>
      </c>
      <c r="J4806">
        <v>6</v>
      </c>
      <c r="K4806" t="s">
        <v>87</v>
      </c>
      <c r="L4806" t="s">
        <v>402</v>
      </c>
      <c r="M4806" t="s">
        <v>63</v>
      </c>
      <c r="N4806" t="b">
        <v>0</v>
      </c>
      <c r="O4806">
        <v>0</v>
      </c>
      <c r="P4806">
        <v>0</v>
      </c>
      <c r="Q4806">
        <v>1</v>
      </c>
      <c r="R4806">
        <v>0</v>
      </c>
    </row>
    <row r="4807" spans="1:18" x14ac:dyDescent="0.25">
      <c r="A4807" t="s">
        <v>363</v>
      </c>
      <c r="B4807" t="s">
        <v>63</v>
      </c>
      <c r="C4807">
        <v>3</v>
      </c>
      <c r="D4807">
        <v>5</v>
      </c>
      <c r="E4807">
        <v>2</v>
      </c>
      <c r="F4807" s="15">
        <v>46188</v>
      </c>
      <c r="G4807" t="s">
        <v>591</v>
      </c>
      <c r="H4807">
        <v>3</v>
      </c>
      <c r="I4807">
        <v>2026</v>
      </c>
      <c r="J4807">
        <v>6</v>
      </c>
      <c r="K4807" t="s">
        <v>87</v>
      </c>
      <c r="L4807" t="s">
        <v>19</v>
      </c>
      <c r="M4807" t="s">
        <v>63</v>
      </c>
      <c r="N4807" t="b">
        <v>0</v>
      </c>
      <c r="O4807">
        <v>0</v>
      </c>
      <c r="P4807">
        <v>0</v>
      </c>
      <c r="Q4807">
        <v>1</v>
      </c>
      <c r="R4807">
        <v>0</v>
      </c>
    </row>
    <row r="4808" spans="1:18" x14ac:dyDescent="0.25">
      <c r="A4808" t="s">
        <v>580</v>
      </c>
      <c r="B4808" t="s">
        <v>6</v>
      </c>
      <c r="C4808">
        <v>1</v>
      </c>
      <c r="D4808">
        <v>1</v>
      </c>
      <c r="E4808">
        <v>1</v>
      </c>
      <c r="F4808" s="15">
        <v>46195</v>
      </c>
      <c r="G4808" t="s">
        <v>596</v>
      </c>
      <c r="H4808">
        <v>4</v>
      </c>
      <c r="I4808">
        <v>2026</v>
      </c>
      <c r="J4808">
        <v>6</v>
      </c>
      <c r="K4808" t="s">
        <v>282</v>
      </c>
      <c r="L4808" t="s">
        <v>9</v>
      </c>
      <c r="M4808" t="s">
        <v>6</v>
      </c>
      <c r="N4808" t="b">
        <v>0</v>
      </c>
      <c r="O4808">
        <v>0</v>
      </c>
      <c r="P4808">
        <v>1</v>
      </c>
      <c r="Q4808">
        <v>0</v>
      </c>
      <c r="R4808">
        <v>0</v>
      </c>
    </row>
    <row r="4809" spans="1:18" x14ac:dyDescent="0.25">
      <c r="A4809" t="s">
        <v>580</v>
      </c>
      <c r="B4809" t="s">
        <v>6</v>
      </c>
      <c r="C4809">
        <v>1</v>
      </c>
      <c r="D4809">
        <v>1</v>
      </c>
      <c r="E4809">
        <v>1</v>
      </c>
      <c r="F4809" s="15">
        <v>46195</v>
      </c>
      <c r="G4809" t="s">
        <v>596</v>
      </c>
      <c r="H4809">
        <v>4</v>
      </c>
      <c r="I4809">
        <v>2026</v>
      </c>
      <c r="J4809">
        <v>6</v>
      </c>
      <c r="K4809" t="s">
        <v>282</v>
      </c>
      <c r="L4809" t="s">
        <v>14</v>
      </c>
      <c r="M4809" t="s">
        <v>8</v>
      </c>
      <c r="N4809" t="b">
        <v>0</v>
      </c>
      <c r="O4809">
        <v>0</v>
      </c>
      <c r="P4809">
        <v>1</v>
      </c>
      <c r="Q4809">
        <v>0</v>
      </c>
      <c r="R4809">
        <v>1</v>
      </c>
    </row>
    <row r="4810" spans="1:18" x14ac:dyDescent="0.25">
      <c r="A4810" t="s">
        <v>580</v>
      </c>
      <c r="B4810" t="s">
        <v>6</v>
      </c>
      <c r="C4810">
        <v>1</v>
      </c>
      <c r="D4810">
        <v>1</v>
      </c>
      <c r="E4810">
        <v>1</v>
      </c>
      <c r="F4810" s="15">
        <v>46195</v>
      </c>
      <c r="G4810" t="s">
        <v>596</v>
      </c>
      <c r="H4810">
        <v>4</v>
      </c>
      <c r="I4810">
        <v>2026</v>
      </c>
      <c r="J4810">
        <v>6</v>
      </c>
      <c r="K4810" t="s">
        <v>282</v>
      </c>
      <c r="L4810" t="s">
        <v>28</v>
      </c>
      <c r="M4810" t="s">
        <v>6</v>
      </c>
      <c r="N4810" t="b">
        <v>0</v>
      </c>
      <c r="O4810">
        <v>0</v>
      </c>
      <c r="P4810">
        <v>1</v>
      </c>
      <c r="Q4810">
        <v>0</v>
      </c>
      <c r="R4810">
        <v>0</v>
      </c>
    </row>
    <row r="4811" spans="1:18" x14ac:dyDescent="0.25">
      <c r="A4811" t="s">
        <v>9</v>
      </c>
      <c r="B4811" t="s">
        <v>6</v>
      </c>
      <c r="C4811">
        <v>2</v>
      </c>
      <c r="D4811">
        <v>1</v>
      </c>
      <c r="E4811">
        <v>1</v>
      </c>
      <c r="F4811" s="15">
        <v>46195</v>
      </c>
      <c r="G4811" t="s">
        <v>596</v>
      </c>
      <c r="H4811">
        <v>4</v>
      </c>
      <c r="I4811">
        <v>2026</v>
      </c>
      <c r="J4811">
        <v>6</v>
      </c>
      <c r="K4811" t="s">
        <v>282</v>
      </c>
      <c r="L4811" t="s">
        <v>580</v>
      </c>
      <c r="M4811" t="s">
        <v>6</v>
      </c>
      <c r="N4811" t="b">
        <v>0</v>
      </c>
      <c r="O4811">
        <v>0</v>
      </c>
      <c r="P4811">
        <v>1</v>
      </c>
      <c r="Q4811">
        <v>0</v>
      </c>
      <c r="R4811">
        <v>0</v>
      </c>
    </row>
    <row r="4812" spans="1:18" x14ac:dyDescent="0.25">
      <c r="A4812" t="s">
        <v>9</v>
      </c>
      <c r="B4812" t="s">
        <v>6</v>
      </c>
      <c r="C4812">
        <v>2</v>
      </c>
      <c r="D4812">
        <v>1</v>
      </c>
      <c r="E4812">
        <v>1</v>
      </c>
      <c r="F4812" s="15">
        <v>46195</v>
      </c>
      <c r="G4812" t="s">
        <v>596</v>
      </c>
      <c r="H4812">
        <v>4</v>
      </c>
      <c r="I4812">
        <v>2026</v>
      </c>
      <c r="J4812">
        <v>6</v>
      </c>
      <c r="K4812" t="s">
        <v>282</v>
      </c>
      <c r="L4812" t="s">
        <v>14</v>
      </c>
      <c r="M4812" t="s">
        <v>8</v>
      </c>
      <c r="N4812" t="b">
        <v>0</v>
      </c>
      <c r="O4812">
        <v>0</v>
      </c>
      <c r="P4812">
        <v>1</v>
      </c>
      <c r="Q4812">
        <v>0</v>
      </c>
      <c r="R4812">
        <v>1</v>
      </c>
    </row>
    <row r="4813" spans="1:18" x14ac:dyDescent="0.25">
      <c r="A4813" t="s">
        <v>9</v>
      </c>
      <c r="B4813" t="s">
        <v>6</v>
      </c>
      <c r="C4813">
        <v>2</v>
      </c>
      <c r="D4813">
        <v>1</v>
      </c>
      <c r="E4813">
        <v>1</v>
      </c>
      <c r="F4813" s="15">
        <v>46195</v>
      </c>
      <c r="G4813" t="s">
        <v>596</v>
      </c>
      <c r="H4813">
        <v>4</v>
      </c>
      <c r="I4813">
        <v>2026</v>
      </c>
      <c r="J4813">
        <v>6</v>
      </c>
      <c r="K4813" t="s">
        <v>282</v>
      </c>
      <c r="L4813" t="s">
        <v>28</v>
      </c>
      <c r="M4813" t="s">
        <v>6</v>
      </c>
      <c r="N4813" t="b">
        <v>0</v>
      </c>
      <c r="O4813">
        <v>0</v>
      </c>
      <c r="P4813">
        <v>1</v>
      </c>
      <c r="Q4813">
        <v>0</v>
      </c>
      <c r="R4813">
        <v>0</v>
      </c>
    </row>
    <row r="4814" spans="1:18" x14ac:dyDescent="0.25">
      <c r="A4814" t="s">
        <v>14</v>
      </c>
      <c r="B4814" t="s">
        <v>8</v>
      </c>
      <c r="C4814">
        <v>3</v>
      </c>
      <c r="D4814">
        <v>1</v>
      </c>
      <c r="E4814">
        <v>1</v>
      </c>
      <c r="F4814" s="15">
        <v>46195</v>
      </c>
      <c r="G4814" t="s">
        <v>596</v>
      </c>
      <c r="H4814">
        <v>4</v>
      </c>
      <c r="I4814">
        <v>2026</v>
      </c>
      <c r="J4814">
        <v>6</v>
      </c>
      <c r="K4814" t="s">
        <v>282</v>
      </c>
      <c r="L4814" t="s">
        <v>580</v>
      </c>
      <c r="M4814" t="s">
        <v>6</v>
      </c>
      <c r="N4814" t="b">
        <v>0</v>
      </c>
      <c r="O4814">
        <v>1</v>
      </c>
      <c r="P4814">
        <v>0</v>
      </c>
      <c r="Q4814">
        <v>0</v>
      </c>
      <c r="R4814">
        <v>0</v>
      </c>
    </row>
    <row r="4815" spans="1:18" x14ac:dyDescent="0.25">
      <c r="A4815" t="s">
        <v>14</v>
      </c>
      <c r="B4815" t="s">
        <v>8</v>
      </c>
      <c r="C4815">
        <v>3</v>
      </c>
      <c r="D4815">
        <v>1</v>
      </c>
      <c r="E4815">
        <v>1</v>
      </c>
      <c r="F4815" s="15">
        <v>46195</v>
      </c>
      <c r="G4815" t="s">
        <v>596</v>
      </c>
      <c r="H4815">
        <v>4</v>
      </c>
      <c r="I4815">
        <v>2026</v>
      </c>
      <c r="J4815">
        <v>6</v>
      </c>
      <c r="K4815" t="s">
        <v>282</v>
      </c>
      <c r="L4815" t="s">
        <v>9</v>
      </c>
      <c r="M4815" t="s">
        <v>6</v>
      </c>
      <c r="N4815" t="b">
        <v>0</v>
      </c>
      <c r="O4815">
        <v>1</v>
      </c>
      <c r="P4815">
        <v>0</v>
      </c>
      <c r="Q4815">
        <v>0</v>
      </c>
      <c r="R4815">
        <v>0</v>
      </c>
    </row>
    <row r="4816" spans="1:18" x14ac:dyDescent="0.25">
      <c r="A4816" t="s">
        <v>14</v>
      </c>
      <c r="B4816" t="s">
        <v>8</v>
      </c>
      <c r="C4816">
        <v>3</v>
      </c>
      <c r="D4816">
        <v>1</v>
      </c>
      <c r="E4816">
        <v>1</v>
      </c>
      <c r="F4816" s="15">
        <v>46195</v>
      </c>
      <c r="G4816" t="s">
        <v>596</v>
      </c>
      <c r="H4816">
        <v>4</v>
      </c>
      <c r="I4816">
        <v>2026</v>
      </c>
      <c r="J4816">
        <v>6</v>
      </c>
      <c r="K4816" t="s">
        <v>282</v>
      </c>
      <c r="L4816" t="s">
        <v>28</v>
      </c>
      <c r="M4816" t="s">
        <v>6</v>
      </c>
      <c r="N4816" t="b">
        <v>0</v>
      </c>
      <c r="O4816">
        <v>1</v>
      </c>
      <c r="P4816">
        <v>0</v>
      </c>
      <c r="Q4816">
        <v>0</v>
      </c>
      <c r="R4816">
        <v>0</v>
      </c>
    </row>
    <row r="4817" spans="1:18" x14ac:dyDescent="0.25">
      <c r="A4817" t="s">
        <v>28</v>
      </c>
      <c r="B4817" t="s">
        <v>6</v>
      </c>
      <c r="C4817">
        <v>4</v>
      </c>
      <c r="D4817">
        <v>1</v>
      </c>
      <c r="E4817">
        <v>1</v>
      </c>
      <c r="F4817" s="15">
        <v>46195</v>
      </c>
      <c r="G4817" t="s">
        <v>596</v>
      </c>
      <c r="H4817">
        <v>4</v>
      </c>
      <c r="I4817">
        <v>2026</v>
      </c>
      <c r="J4817">
        <v>6</v>
      </c>
      <c r="K4817" t="s">
        <v>282</v>
      </c>
      <c r="L4817" t="s">
        <v>580</v>
      </c>
      <c r="M4817" t="s">
        <v>6</v>
      </c>
      <c r="N4817" t="b">
        <v>0</v>
      </c>
      <c r="O4817">
        <v>0</v>
      </c>
      <c r="P4817">
        <v>1</v>
      </c>
      <c r="Q4817">
        <v>0</v>
      </c>
      <c r="R4817">
        <v>0</v>
      </c>
    </row>
    <row r="4818" spans="1:18" x14ac:dyDescent="0.25">
      <c r="A4818" t="s">
        <v>28</v>
      </c>
      <c r="B4818" t="s">
        <v>6</v>
      </c>
      <c r="C4818">
        <v>4</v>
      </c>
      <c r="D4818">
        <v>1</v>
      </c>
      <c r="E4818">
        <v>1</v>
      </c>
      <c r="F4818" s="15">
        <v>46195</v>
      </c>
      <c r="G4818" t="s">
        <v>596</v>
      </c>
      <c r="H4818">
        <v>4</v>
      </c>
      <c r="I4818">
        <v>2026</v>
      </c>
      <c r="J4818">
        <v>6</v>
      </c>
      <c r="K4818" t="s">
        <v>282</v>
      </c>
      <c r="L4818" t="s">
        <v>9</v>
      </c>
      <c r="M4818" t="s">
        <v>6</v>
      </c>
      <c r="N4818" t="b">
        <v>0</v>
      </c>
      <c r="O4818">
        <v>0</v>
      </c>
      <c r="P4818">
        <v>1</v>
      </c>
      <c r="Q4818">
        <v>0</v>
      </c>
      <c r="R4818">
        <v>0</v>
      </c>
    </row>
    <row r="4819" spans="1:18" x14ac:dyDescent="0.25">
      <c r="A4819" t="s">
        <v>28</v>
      </c>
      <c r="B4819" t="s">
        <v>6</v>
      </c>
      <c r="C4819">
        <v>4</v>
      </c>
      <c r="D4819">
        <v>1</v>
      </c>
      <c r="E4819">
        <v>1</v>
      </c>
      <c r="F4819" s="15">
        <v>46195</v>
      </c>
      <c r="G4819" t="s">
        <v>596</v>
      </c>
      <c r="H4819">
        <v>4</v>
      </c>
      <c r="I4819">
        <v>2026</v>
      </c>
      <c r="J4819">
        <v>6</v>
      </c>
      <c r="K4819" t="s">
        <v>282</v>
      </c>
      <c r="L4819" t="s">
        <v>14</v>
      </c>
      <c r="M4819" t="s">
        <v>8</v>
      </c>
      <c r="N4819" t="b">
        <v>0</v>
      </c>
      <c r="O4819">
        <v>0</v>
      </c>
      <c r="P4819">
        <v>1</v>
      </c>
      <c r="Q4819">
        <v>0</v>
      </c>
      <c r="R4819">
        <v>1</v>
      </c>
    </row>
    <row r="4820" spans="1:18" x14ac:dyDescent="0.25">
      <c r="A4820" t="s">
        <v>10</v>
      </c>
      <c r="B4820" t="s">
        <v>63</v>
      </c>
      <c r="C4820">
        <v>1</v>
      </c>
      <c r="D4820">
        <v>2</v>
      </c>
      <c r="E4820">
        <v>1</v>
      </c>
      <c r="F4820" s="15">
        <v>46195</v>
      </c>
      <c r="G4820" t="s">
        <v>597</v>
      </c>
      <c r="H4820">
        <v>4</v>
      </c>
      <c r="I4820">
        <v>2026</v>
      </c>
      <c r="J4820">
        <v>6</v>
      </c>
      <c r="K4820" t="s">
        <v>282</v>
      </c>
      <c r="L4820" t="s">
        <v>405</v>
      </c>
      <c r="M4820" t="s">
        <v>63</v>
      </c>
      <c r="N4820" t="b">
        <v>0</v>
      </c>
      <c r="O4820">
        <v>0</v>
      </c>
      <c r="P4820">
        <v>0</v>
      </c>
      <c r="Q4820">
        <v>1</v>
      </c>
      <c r="R4820">
        <v>0</v>
      </c>
    </row>
    <row r="4821" spans="1:18" x14ac:dyDescent="0.25">
      <c r="A4821" t="s">
        <v>10</v>
      </c>
      <c r="B4821" t="s">
        <v>63</v>
      </c>
      <c r="C4821">
        <v>1</v>
      </c>
      <c r="D4821">
        <v>2</v>
      </c>
      <c r="E4821">
        <v>1</v>
      </c>
      <c r="F4821" s="15">
        <v>46195</v>
      </c>
      <c r="G4821" t="s">
        <v>597</v>
      </c>
      <c r="H4821">
        <v>4</v>
      </c>
      <c r="I4821">
        <v>2026</v>
      </c>
      <c r="J4821">
        <v>6</v>
      </c>
      <c r="K4821" t="s">
        <v>282</v>
      </c>
      <c r="L4821" t="s">
        <v>352</v>
      </c>
      <c r="M4821" t="s">
        <v>63</v>
      </c>
      <c r="N4821" t="b">
        <v>0</v>
      </c>
      <c r="O4821">
        <v>0</v>
      </c>
      <c r="P4821">
        <v>0</v>
      </c>
      <c r="Q4821">
        <v>1</v>
      </c>
      <c r="R4821">
        <v>0</v>
      </c>
    </row>
    <row r="4822" spans="1:18" x14ac:dyDescent="0.25">
      <c r="A4822" t="s">
        <v>10</v>
      </c>
      <c r="B4822" t="s">
        <v>63</v>
      </c>
      <c r="C4822">
        <v>1</v>
      </c>
      <c r="D4822">
        <v>2</v>
      </c>
      <c r="E4822">
        <v>1</v>
      </c>
      <c r="F4822" s="15">
        <v>46195</v>
      </c>
      <c r="G4822" t="s">
        <v>597</v>
      </c>
      <c r="H4822">
        <v>4</v>
      </c>
      <c r="I4822">
        <v>2026</v>
      </c>
      <c r="J4822">
        <v>6</v>
      </c>
      <c r="K4822" t="s">
        <v>282</v>
      </c>
      <c r="L4822" t="s">
        <v>351</v>
      </c>
      <c r="M4822" t="s">
        <v>63</v>
      </c>
      <c r="N4822" t="b">
        <v>0</v>
      </c>
      <c r="O4822">
        <v>0</v>
      </c>
      <c r="P4822">
        <v>0</v>
      </c>
      <c r="Q4822">
        <v>1</v>
      </c>
      <c r="R4822">
        <v>0</v>
      </c>
    </row>
    <row r="4823" spans="1:18" x14ac:dyDescent="0.25">
      <c r="A4823" t="s">
        <v>405</v>
      </c>
      <c r="B4823" t="s">
        <v>63</v>
      </c>
      <c r="C4823">
        <v>2</v>
      </c>
      <c r="D4823">
        <v>2</v>
      </c>
      <c r="E4823">
        <v>1</v>
      </c>
      <c r="F4823" s="15">
        <v>46195</v>
      </c>
      <c r="G4823" t="s">
        <v>597</v>
      </c>
      <c r="H4823">
        <v>4</v>
      </c>
      <c r="I4823">
        <v>2026</v>
      </c>
      <c r="J4823">
        <v>6</v>
      </c>
      <c r="K4823" t="s">
        <v>282</v>
      </c>
      <c r="L4823" t="s">
        <v>10</v>
      </c>
      <c r="M4823" t="s">
        <v>63</v>
      </c>
      <c r="N4823" t="b">
        <v>0</v>
      </c>
      <c r="O4823">
        <v>0</v>
      </c>
      <c r="P4823">
        <v>0</v>
      </c>
      <c r="Q4823">
        <v>1</v>
      </c>
      <c r="R4823">
        <v>0</v>
      </c>
    </row>
    <row r="4824" spans="1:18" x14ac:dyDescent="0.25">
      <c r="A4824" t="s">
        <v>405</v>
      </c>
      <c r="B4824" t="s">
        <v>63</v>
      </c>
      <c r="C4824">
        <v>2</v>
      </c>
      <c r="D4824">
        <v>2</v>
      </c>
      <c r="E4824">
        <v>1</v>
      </c>
      <c r="F4824" s="15">
        <v>46195</v>
      </c>
      <c r="G4824" t="s">
        <v>597</v>
      </c>
      <c r="H4824">
        <v>4</v>
      </c>
      <c r="I4824">
        <v>2026</v>
      </c>
      <c r="J4824">
        <v>6</v>
      </c>
      <c r="K4824" t="s">
        <v>282</v>
      </c>
      <c r="L4824" t="s">
        <v>352</v>
      </c>
      <c r="M4824" t="s">
        <v>63</v>
      </c>
      <c r="N4824" t="b">
        <v>0</v>
      </c>
      <c r="O4824">
        <v>0</v>
      </c>
      <c r="P4824">
        <v>0</v>
      </c>
      <c r="Q4824">
        <v>1</v>
      </c>
      <c r="R4824">
        <v>0</v>
      </c>
    </row>
    <row r="4825" spans="1:18" x14ac:dyDescent="0.25">
      <c r="A4825" t="s">
        <v>405</v>
      </c>
      <c r="B4825" t="s">
        <v>63</v>
      </c>
      <c r="C4825">
        <v>2</v>
      </c>
      <c r="D4825">
        <v>2</v>
      </c>
      <c r="E4825">
        <v>1</v>
      </c>
      <c r="F4825" s="15">
        <v>46195</v>
      </c>
      <c r="G4825" t="s">
        <v>597</v>
      </c>
      <c r="H4825">
        <v>4</v>
      </c>
      <c r="I4825">
        <v>2026</v>
      </c>
      <c r="J4825">
        <v>6</v>
      </c>
      <c r="K4825" t="s">
        <v>282</v>
      </c>
      <c r="L4825" t="s">
        <v>351</v>
      </c>
      <c r="M4825" t="s">
        <v>63</v>
      </c>
      <c r="N4825" t="b">
        <v>0</v>
      </c>
      <c r="O4825">
        <v>0</v>
      </c>
      <c r="P4825">
        <v>0</v>
      </c>
      <c r="Q4825">
        <v>1</v>
      </c>
      <c r="R4825">
        <v>0</v>
      </c>
    </row>
    <row r="4826" spans="1:18" x14ac:dyDescent="0.25">
      <c r="A4826" t="s">
        <v>352</v>
      </c>
      <c r="B4826" t="s">
        <v>63</v>
      </c>
      <c r="C4826">
        <v>3</v>
      </c>
      <c r="D4826">
        <v>2</v>
      </c>
      <c r="E4826">
        <v>1</v>
      </c>
      <c r="F4826" s="15">
        <v>46195</v>
      </c>
      <c r="G4826" t="s">
        <v>597</v>
      </c>
      <c r="H4826">
        <v>4</v>
      </c>
      <c r="I4826">
        <v>2026</v>
      </c>
      <c r="J4826">
        <v>6</v>
      </c>
      <c r="K4826" t="s">
        <v>282</v>
      </c>
      <c r="L4826" t="s">
        <v>10</v>
      </c>
      <c r="M4826" t="s">
        <v>63</v>
      </c>
      <c r="N4826" t="b">
        <v>0</v>
      </c>
      <c r="O4826">
        <v>0</v>
      </c>
      <c r="P4826">
        <v>0</v>
      </c>
      <c r="Q4826">
        <v>1</v>
      </c>
      <c r="R4826">
        <v>0</v>
      </c>
    </row>
    <row r="4827" spans="1:18" x14ac:dyDescent="0.25">
      <c r="A4827" t="s">
        <v>352</v>
      </c>
      <c r="B4827" t="s">
        <v>63</v>
      </c>
      <c r="C4827">
        <v>3</v>
      </c>
      <c r="D4827">
        <v>2</v>
      </c>
      <c r="E4827">
        <v>1</v>
      </c>
      <c r="F4827" s="15">
        <v>46195</v>
      </c>
      <c r="G4827" t="s">
        <v>597</v>
      </c>
      <c r="H4827">
        <v>4</v>
      </c>
      <c r="I4827">
        <v>2026</v>
      </c>
      <c r="J4827">
        <v>6</v>
      </c>
      <c r="K4827" t="s">
        <v>282</v>
      </c>
      <c r="L4827" t="s">
        <v>405</v>
      </c>
      <c r="M4827" t="s">
        <v>63</v>
      </c>
      <c r="N4827" t="b">
        <v>0</v>
      </c>
      <c r="O4827">
        <v>0</v>
      </c>
      <c r="P4827">
        <v>0</v>
      </c>
      <c r="Q4827">
        <v>1</v>
      </c>
      <c r="R4827">
        <v>0</v>
      </c>
    </row>
    <row r="4828" spans="1:18" x14ac:dyDescent="0.25">
      <c r="A4828" t="s">
        <v>352</v>
      </c>
      <c r="B4828" t="s">
        <v>63</v>
      </c>
      <c r="C4828">
        <v>3</v>
      </c>
      <c r="D4828">
        <v>2</v>
      </c>
      <c r="E4828">
        <v>1</v>
      </c>
      <c r="F4828" s="15">
        <v>46195</v>
      </c>
      <c r="G4828" t="s">
        <v>597</v>
      </c>
      <c r="H4828">
        <v>4</v>
      </c>
      <c r="I4828">
        <v>2026</v>
      </c>
      <c r="J4828">
        <v>6</v>
      </c>
      <c r="K4828" t="s">
        <v>282</v>
      </c>
      <c r="L4828" t="s">
        <v>351</v>
      </c>
      <c r="M4828" t="s">
        <v>63</v>
      </c>
      <c r="N4828" t="b">
        <v>0</v>
      </c>
      <c r="O4828">
        <v>0</v>
      </c>
      <c r="P4828">
        <v>0</v>
      </c>
      <c r="Q4828">
        <v>1</v>
      </c>
      <c r="R4828">
        <v>0</v>
      </c>
    </row>
    <row r="4829" spans="1:18" x14ac:dyDescent="0.25">
      <c r="A4829" t="s">
        <v>351</v>
      </c>
      <c r="B4829" t="s">
        <v>63</v>
      </c>
      <c r="C4829">
        <v>4</v>
      </c>
      <c r="D4829">
        <v>2</v>
      </c>
      <c r="E4829">
        <v>1</v>
      </c>
      <c r="F4829" s="15">
        <v>46195</v>
      </c>
      <c r="G4829" t="s">
        <v>597</v>
      </c>
      <c r="H4829">
        <v>4</v>
      </c>
      <c r="I4829">
        <v>2026</v>
      </c>
      <c r="J4829">
        <v>6</v>
      </c>
      <c r="K4829" t="s">
        <v>282</v>
      </c>
      <c r="L4829" t="s">
        <v>10</v>
      </c>
      <c r="M4829" t="s">
        <v>63</v>
      </c>
      <c r="N4829" t="b">
        <v>0</v>
      </c>
      <c r="O4829">
        <v>0</v>
      </c>
      <c r="P4829">
        <v>0</v>
      </c>
      <c r="Q4829">
        <v>1</v>
      </c>
      <c r="R4829">
        <v>0</v>
      </c>
    </row>
    <row r="4830" spans="1:18" x14ac:dyDescent="0.25">
      <c r="A4830" t="s">
        <v>351</v>
      </c>
      <c r="B4830" t="s">
        <v>63</v>
      </c>
      <c r="C4830">
        <v>4</v>
      </c>
      <c r="D4830">
        <v>2</v>
      </c>
      <c r="E4830">
        <v>1</v>
      </c>
      <c r="F4830" s="15">
        <v>46195</v>
      </c>
      <c r="G4830" t="s">
        <v>597</v>
      </c>
      <c r="H4830">
        <v>4</v>
      </c>
      <c r="I4830">
        <v>2026</v>
      </c>
      <c r="J4830">
        <v>6</v>
      </c>
      <c r="K4830" t="s">
        <v>282</v>
      </c>
      <c r="L4830" t="s">
        <v>405</v>
      </c>
      <c r="M4830" t="s">
        <v>63</v>
      </c>
      <c r="N4830" t="b">
        <v>0</v>
      </c>
      <c r="O4830">
        <v>0</v>
      </c>
      <c r="P4830">
        <v>0</v>
      </c>
      <c r="Q4830">
        <v>1</v>
      </c>
      <c r="R4830">
        <v>0</v>
      </c>
    </row>
    <row r="4831" spans="1:18" x14ac:dyDescent="0.25">
      <c r="A4831" t="s">
        <v>351</v>
      </c>
      <c r="B4831" t="s">
        <v>63</v>
      </c>
      <c r="C4831">
        <v>4</v>
      </c>
      <c r="D4831">
        <v>2</v>
      </c>
      <c r="E4831">
        <v>1</v>
      </c>
      <c r="F4831" s="15">
        <v>46195</v>
      </c>
      <c r="G4831" t="s">
        <v>597</v>
      </c>
      <c r="H4831">
        <v>4</v>
      </c>
      <c r="I4831">
        <v>2026</v>
      </c>
      <c r="J4831">
        <v>6</v>
      </c>
      <c r="K4831" t="s">
        <v>282</v>
      </c>
      <c r="L4831" t="s">
        <v>352</v>
      </c>
      <c r="M4831" t="s">
        <v>63</v>
      </c>
      <c r="N4831" t="b">
        <v>0</v>
      </c>
      <c r="O4831">
        <v>0</v>
      </c>
      <c r="P4831">
        <v>0</v>
      </c>
      <c r="Q4831">
        <v>1</v>
      </c>
      <c r="R4831">
        <v>0</v>
      </c>
    </row>
    <row r="4832" spans="1:18" x14ac:dyDescent="0.25">
      <c r="A4832" t="s">
        <v>7</v>
      </c>
      <c r="B4832" t="s">
        <v>6</v>
      </c>
      <c r="C4832">
        <v>1</v>
      </c>
      <c r="D4832">
        <v>3</v>
      </c>
      <c r="E4832">
        <v>1</v>
      </c>
      <c r="F4832" s="15">
        <v>46195</v>
      </c>
      <c r="G4832" t="s">
        <v>598</v>
      </c>
      <c r="H4832">
        <v>4</v>
      </c>
      <c r="I4832">
        <v>2026</v>
      </c>
      <c r="J4832">
        <v>6</v>
      </c>
      <c r="K4832" t="s">
        <v>282</v>
      </c>
      <c r="L4832" t="s">
        <v>15</v>
      </c>
      <c r="M4832" t="s">
        <v>6</v>
      </c>
      <c r="N4832" t="b">
        <v>0</v>
      </c>
      <c r="O4832">
        <v>0</v>
      </c>
      <c r="P4832">
        <v>1</v>
      </c>
      <c r="Q4832">
        <v>0</v>
      </c>
      <c r="R4832">
        <v>0</v>
      </c>
    </row>
    <row r="4833" spans="1:18" x14ac:dyDescent="0.25">
      <c r="A4833" t="s">
        <v>7</v>
      </c>
      <c r="B4833" t="s">
        <v>6</v>
      </c>
      <c r="C4833">
        <v>1</v>
      </c>
      <c r="D4833">
        <v>3</v>
      </c>
      <c r="E4833">
        <v>1</v>
      </c>
      <c r="F4833" s="15">
        <v>46195</v>
      </c>
      <c r="G4833" t="s">
        <v>598</v>
      </c>
      <c r="H4833">
        <v>4</v>
      </c>
      <c r="I4833">
        <v>2026</v>
      </c>
      <c r="J4833">
        <v>6</v>
      </c>
      <c r="K4833" t="s">
        <v>282</v>
      </c>
      <c r="L4833" t="s">
        <v>569</v>
      </c>
      <c r="M4833" t="s">
        <v>8</v>
      </c>
      <c r="N4833" t="b">
        <v>0</v>
      </c>
      <c r="O4833">
        <v>0</v>
      </c>
      <c r="P4833">
        <v>1</v>
      </c>
      <c r="Q4833">
        <v>0</v>
      </c>
      <c r="R4833">
        <v>1</v>
      </c>
    </row>
    <row r="4834" spans="1:18" x14ac:dyDescent="0.25">
      <c r="A4834" t="s">
        <v>7</v>
      </c>
      <c r="B4834" t="s">
        <v>6</v>
      </c>
      <c r="C4834">
        <v>1</v>
      </c>
      <c r="D4834">
        <v>3</v>
      </c>
      <c r="E4834">
        <v>1</v>
      </c>
      <c r="F4834" s="15">
        <v>46195</v>
      </c>
      <c r="G4834" t="s">
        <v>598</v>
      </c>
      <c r="H4834">
        <v>4</v>
      </c>
      <c r="I4834">
        <v>2026</v>
      </c>
      <c r="J4834">
        <v>6</v>
      </c>
      <c r="K4834" t="s">
        <v>282</v>
      </c>
      <c r="L4834" t="s">
        <v>592</v>
      </c>
      <c r="M4834" t="s">
        <v>6</v>
      </c>
      <c r="N4834" t="b">
        <v>0</v>
      </c>
      <c r="O4834">
        <v>0</v>
      </c>
      <c r="P4834">
        <v>1</v>
      </c>
      <c r="Q4834">
        <v>0</v>
      </c>
      <c r="R4834">
        <v>0</v>
      </c>
    </row>
    <row r="4835" spans="1:18" x14ac:dyDescent="0.25">
      <c r="A4835" t="s">
        <v>15</v>
      </c>
      <c r="B4835" t="s">
        <v>6</v>
      </c>
      <c r="C4835">
        <v>2</v>
      </c>
      <c r="D4835">
        <v>3</v>
      </c>
      <c r="E4835">
        <v>1</v>
      </c>
      <c r="F4835" s="15">
        <v>46195</v>
      </c>
      <c r="G4835" t="s">
        <v>598</v>
      </c>
      <c r="H4835">
        <v>4</v>
      </c>
      <c r="I4835">
        <v>2026</v>
      </c>
      <c r="J4835">
        <v>6</v>
      </c>
      <c r="K4835" t="s">
        <v>282</v>
      </c>
      <c r="L4835" t="s">
        <v>7</v>
      </c>
      <c r="M4835" t="s">
        <v>6</v>
      </c>
      <c r="N4835" t="b">
        <v>0</v>
      </c>
      <c r="O4835">
        <v>0</v>
      </c>
      <c r="P4835">
        <v>1</v>
      </c>
      <c r="Q4835">
        <v>0</v>
      </c>
      <c r="R4835">
        <v>0</v>
      </c>
    </row>
    <row r="4836" spans="1:18" x14ac:dyDescent="0.25">
      <c r="A4836" t="s">
        <v>15</v>
      </c>
      <c r="B4836" t="s">
        <v>6</v>
      </c>
      <c r="C4836">
        <v>2</v>
      </c>
      <c r="D4836">
        <v>3</v>
      </c>
      <c r="E4836">
        <v>1</v>
      </c>
      <c r="F4836" s="15">
        <v>46195</v>
      </c>
      <c r="G4836" t="s">
        <v>598</v>
      </c>
      <c r="H4836">
        <v>4</v>
      </c>
      <c r="I4836">
        <v>2026</v>
      </c>
      <c r="J4836">
        <v>6</v>
      </c>
      <c r="K4836" t="s">
        <v>282</v>
      </c>
      <c r="L4836" t="s">
        <v>569</v>
      </c>
      <c r="M4836" t="s">
        <v>8</v>
      </c>
      <c r="N4836" t="b">
        <v>0</v>
      </c>
      <c r="O4836">
        <v>0</v>
      </c>
      <c r="P4836">
        <v>1</v>
      </c>
      <c r="Q4836">
        <v>0</v>
      </c>
      <c r="R4836">
        <v>1</v>
      </c>
    </row>
    <row r="4837" spans="1:18" x14ac:dyDescent="0.25">
      <c r="A4837" t="s">
        <v>15</v>
      </c>
      <c r="B4837" t="s">
        <v>6</v>
      </c>
      <c r="C4837">
        <v>2</v>
      </c>
      <c r="D4837">
        <v>3</v>
      </c>
      <c r="E4837">
        <v>1</v>
      </c>
      <c r="F4837" s="15">
        <v>46195</v>
      </c>
      <c r="G4837" t="s">
        <v>598</v>
      </c>
      <c r="H4837">
        <v>4</v>
      </c>
      <c r="I4837">
        <v>2026</v>
      </c>
      <c r="J4837">
        <v>6</v>
      </c>
      <c r="K4837" t="s">
        <v>282</v>
      </c>
      <c r="L4837" t="s">
        <v>592</v>
      </c>
      <c r="M4837" t="s">
        <v>6</v>
      </c>
      <c r="N4837" t="b">
        <v>0</v>
      </c>
      <c r="O4837">
        <v>0</v>
      </c>
      <c r="P4837">
        <v>1</v>
      </c>
      <c r="Q4837">
        <v>0</v>
      </c>
      <c r="R4837">
        <v>0</v>
      </c>
    </row>
    <row r="4838" spans="1:18" x14ac:dyDescent="0.25">
      <c r="A4838" t="s">
        <v>569</v>
      </c>
      <c r="B4838" t="s">
        <v>8</v>
      </c>
      <c r="C4838">
        <v>3</v>
      </c>
      <c r="D4838">
        <v>3</v>
      </c>
      <c r="E4838">
        <v>1</v>
      </c>
      <c r="F4838" s="15">
        <v>46195</v>
      </c>
      <c r="G4838" t="s">
        <v>598</v>
      </c>
      <c r="H4838">
        <v>4</v>
      </c>
      <c r="I4838">
        <v>2026</v>
      </c>
      <c r="J4838">
        <v>6</v>
      </c>
      <c r="K4838" t="s">
        <v>282</v>
      </c>
      <c r="L4838" t="s">
        <v>7</v>
      </c>
      <c r="M4838" t="s">
        <v>6</v>
      </c>
      <c r="N4838" t="b">
        <v>0</v>
      </c>
      <c r="O4838">
        <v>1</v>
      </c>
      <c r="P4838">
        <v>0</v>
      </c>
      <c r="Q4838">
        <v>0</v>
      </c>
      <c r="R4838">
        <v>0</v>
      </c>
    </row>
    <row r="4839" spans="1:18" x14ac:dyDescent="0.25">
      <c r="A4839" t="s">
        <v>569</v>
      </c>
      <c r="B4839" t="s">
        <v>8</v>
      </c>
      <c r="C4839">
        <v>3</v>
      </c>
      <c r="D4839">
        <v>3</v>
      </c>
      <c r="E4839">
        <v>1</v>
      </c>
      <c r="F4839" s="15">
        <v>46195</v>
      </c>
      <c r="G4839" t="s">
        <v>598</v>
      </c>
      <c r="H4839">
        <v>4</v>
      </c>
      <c r="I4839">
        <v>2026</v>
      </c>
      <c r="J4839">
        <v>6</v>
      </c>
      <c r="K4839" t="s">
        <v>282</v>
      </c>
      <c r="L4839" t="s">
        <v>15</v>
      </c>
      <c r="M4839" t="s">
        <v>6</v>
      </c>
      <c r="N4839" t="b">
        <v>0</v>
      </c>
      <c r="O4839">
        <v>1</v>
      </c>
      <c r="P4839">
        <v>0</v>
      </c>
      <c r="Q4839">
        <v>0</v>
      </c>
      <c r="R4839">
        <v>0</v>
      </c>
    </row>
    <row r="4840" spans="1:18" x14ac:dyDescent="0.25">
      <c r="A4840" t="s">
        <v>569</v>
      </c>
      <c r="B4840" t="s">
        <v>8</v>
      </c>
      <c r="C4840">
        <v>3</v>
      </c>
      <c r="D4840">
        <v>3</v>
      </c>
      <c r="E4840">
        <v>1</v>
      </c>
      <c r="F4840" s="15">
        <v>46195</v>
      </c>
      <c r="G4840" t="s">
        <v>598</v>
      </c>
      <c r="H4840">
        <v>4</v>
      </c>
      <c r="I4840">
        <v>2026</v>
      </c>
      <c r="J4840">
        <v>6</v>
      </c>
      <c r="K4840" t="s">
        <v>282</v>
      </c>
      <c r="L4840" t="s">
        <v>592</v>
      </c>
      <c r="M4840" t="s">
        <v>6</v>
      </c>
      <c r="N4840" t="b">
        <v>0</v>
      </c>
      <c r="O4840">
        <v>1</v>
      </c>
      <c r="P4840">
        <v>0</v>
      </c>
      <c r="Q4840">
        <v>0</v>
      </c>
      <c r="R4840">
        <v>0</v>
      </c>
    </row>
    <row r="4841" spans="1:18" x14ac:dyDescent="0.25">
      <c r="A4841" t="s">
        <v>592</v>
      </c>
      <c r="B4841" t="s">
        <v>6</v>
      </c>
      <c r="C4841">
        <v>4</v>
      </c>
      <c r="D4841">
        <v>3</v>
      </c>
      <c r="E4841">
        <v>1</v>
      </c>
      <c r="F4841" s="15">
        <v>46195</v>
      </c>
      <c r="G4841" t="s">
        <v>598</v>
      </c>
      <c r="H4841">
        <v>4</v>
      </c>
      <c r="I4841">
        <v>2026</v>
      </c>
      <c r="J4841">
        <v>6</v>
      </c>
      <c r="K4841" t="s">
        <v>282</v>
      </c>
      <c r="L4841" t="s">
        <v>7</v>
      </c>
      <c r="M4841" t="s">
        <v>6</v>
      </c>
      <c r="N4841" t="b">
        <v>0</v>
      </c>
      <c r="O4841">
        <v>0</v>
      </c>
      <c r="P4841">
        <v>1</v>
      </c>
      <c r="Q4841">
        <v>0</v>
      </c>
      <c r="R4841">
        <v>0</v>
      </c>
    </row>
    <row r="4842" spans="1:18" x14ac:dyDescent="0.25">
      <c r="A4842" t="s">
        <v>592</v>
      </c>
      <c r="B4842" t="s">
        <v>6</v>
      </c>
      <c r="C4842">
        <v>4</v>
      </c>
      <c r="D4842">
        <v>3</v>
      </c>
      <c r="E4842">
        <v>1</v>
      </c>
      <c r="F4842" s="15">
        <v>46195</v>
      </c>
      <c r="G4842" t="s">
        <v>598</v>
      </c>
      <c r="H4842">
        <v>4</v>
      </c>
      <c r="I4842">
        <v>2026</v>
      </c>
      <c r="J4842">
        <v>6</v>
      </c>
      <c r="K4842" t="s">
        <v>282</v>
      </c>
      <c r="L4842" t="s">
        <v>15</v>
      </c>
      <c r="M4842" t="s">
        <v>6</v>
      </c>
      <c r="N4842" t="b">
        <v>0</v>
      </c>
      <c r="O4842">
        <v>0</v>
      </c>
      <c r="P4842">
        <v>1</v>
      </c>
      <c r="Q4842">
        <v>0</v>
      </c>
      <c r="R4842">
        <v>0</v>
      </c>
    </row>
    <row r="4843" spans="1:18" x14ac:dyDescent="0.25">
      <c r="A4843" t="s">
        <v>592</v>
      </c>
      <c r="B4843" t="s">
        <v>6</v>
      </c>
      <c r="C4843">
        <v>4</v>
      </c>
      <c r="D4843">
        <v>3</v>
      </c>
      <c r="E4843">
        <v>1</v>
      </c>
      <c r="F4843" s="15">
        <v>46195</v>
      </c>
      <c r="G4843" t="s">
        <v>598</v>
      </c>
      <c r="H4843">
        <v>4</v>
      </c>
      <c r="I4843">
        <v>2026</v>
      </c>
      <c r="J4843">
        <v>6</v>
      </c>
      <c r="K4843" t="s">
        <v>282</v>
      </c>
      <c r="L4843" t="s">
        <v>569</v>
      </c>
      <c r="M4843" t="s">
        <v>8</v>
      </c>
      <c r="N4843" t="b">
        <v>0</v>
      </c>
      <c r="O4843">
        <v>0</v>
      </c>
      <c r="P4843">
        <v>1</v>
      </c>
      <c r="Q4843">
        <v>0</v>
      </c>
      <c r="R4843">
        <v>1</v>
      </c>
    </row>
    <row r="4844" spans="1:18" x14ac:dyDescent="0.25">
      <c r="A4844" t="s">
        <v>541</v>
      </c>
      <c r="B4844" t="s">
        <v>63</v>
      </c>
      <c r="C4844">
        <v>1</v>
      </c>
      <c r="D4844">
        <v>4</v>
      </c>
      <c r="E4844">
        <v>1</v>
      </c>
      <c r="F4844" s="15">
        <v>46195</v>
      </c>
      <c r="G4844" t="s">
        <v>599</v>
      </c>
      <c r="H4844">
        <v>4</v>
      </c>
      <c r="I4844">
        <v>2026</v>
      </c>
      <c r="J4844">
        <v>6</v>
      </c>
      <c r="K4844" t="s">
        <v>282</v>
      </c>
      <c r="L4844" t="s">
        <v>326</v>
      </c>
      <c r="M4844" t="s">
        <v>63</v>
      </c>
      <c r="N4844" t="b">
        <v>0</v>
      </c>
      <c r="O4844">
        <v>0</v>
      </c>
      <c r="P4844">
        <v>0</v>
      </c>
      <c r="Q4844">
        <v>1</v>
      </c>
      <c r="R4844">
        <v>0</v>
      </c>
    </row>
    <row r="4845" spans="1:18" x14ac:dyDescent="0.25">
      <c r="A4845" t="s">
        <v>541</v>
      </c>
      <c r="B4845" t="s">
        <v>63</v>
      </c>
      <c r="C4845">
        <v>1</v>
      </c>
      <c r="D4845">
        <v>4</v>
      </c>
      <c r="E4845">
        <v>1</v>
      </c>
      <c r="F4845" s="15">
        <v>46195</v>
      </c>
      <c r="G4845" t="s">
        <v>599</v>
      </c>
      <c r="H4845">
        <v>4</v>
      </c>
      <c r="I4845">
        <v>2026</v>
      </c>
      <c r="J4845">
        <v>6</v>
      </c>
      <c r="K4845" t="s">
        <v>282</v>
      </c>
      <c r="L4845" t="s">
        <v>593</v>
      </c>
      <c r="M4845" t="s">
        <v>63</v>
      </c>
      <c r="N4845" t="b">
        <v>0</v>
      </c>
      <c r="O4845">
        <v>0</v>
      </c>
      <c r="P4845">
        <v>0</v>
      </c>
      <c r="Q4845">
        <v>1</v>
      </c>
      <c r="R4845">
        <v>0</v>
      </c>
    </row>
    <row r="4846" spans="1:18" x14ac:dyDescent="0.25">
      <c r="A4846" t="s">
        <v>541</v>
      </c>
      <c r="B4846" t="s">
        <v>63</v>
      </c>
      <c r="C4846">
        <v>1</v>
      </c>
      <c r="D4846">
        <v>4</v>
      </c>
      <c r="E4846">
        <v>1</v>
      </c>
      <c r="F4846" s="15">
        <v>46195</v>
      </c>
      <c r="G4846" t="s">
        <v>599</v>
      </c>
      <c r="H4846">
        <v>4</v>
      </c>
      <c r="I4846">
        <v>2026</v>
      </c>
      <c r="J4846">
        <v>6</v>
      </c>
      <c r="K4846" t="s">
        <v>282</v>
      </c>
      <c r="L4846" t="s">
        <v>363</v>
      </c>
      <c r="M4846" t="s">
        <v>63</v>
      </c>
      <c r="N4846" t="b">
        <v>0</v>
      </c>
      <c r="O4846">
        <v>0</v>
      </c>
      <c r="P4846">
        <v>0</v>
      </c>
      <c r="Q4846">
        <v>1</v>
      </c>
      <c r="R4846">
        <v>0</v>
      </c>
    </row>
    <row r="4847" spans="1:18" x14ac:dyDescent="0.25">
      <c r="A4847" t="s">
        <v>326</v>
      </c>
      <c r="B4847" t="s">
        <v>63</v>
      </c>
      <c r="C4847">
        <v>2</v>
      </c>
      <c r="D4847">
        <v>4</v>
      </c>
      <c r="E4847">
        <v>1</v>
      </c>
      <c r="F4847" s="15">
        <v>46195</v>
      </c>
      <c r="G4847" t="s">
        <v>599</v>
      </c>
      <c r="H4847">
        <v>4</v>
      </c>
      <c r="I4847">
        <v>2026</v>
      </c>
      <c r="J4847">
        <v>6</v>
      </c>
      <c r="K4847" t="s">
        <v>282</v>
      </c>
      <c r="L4847" t="s">
        <v>541</v>
      </c>
      <c r="M4847" t="s">
        <v>63</v>
      </c>
      <c r="N4847" t="b">
        <v>0</v>
      </c>
      <c r="O4847">
        <v>0</v>
      </c>
      <c r="P4847">
        <v>0</v>
      </c>
      <c r="Q4847">
        <v>1</v>
      </c>
      <c r="R4847">
        <v>0</v>
      </c>
    </row>
    <row r="4848" spans="1:18" x14ac:dyDescent="0.25">
      <c r="A4848" t="s">
        <v>326</v>
      </c>
      <c r="B4848" t="s">
        <v>63</v>
      </c>
      <c r="C4848">
        <v>2</v>
      </c>
      <c r="D4848">
        <v>4</v>
      </c>
      <c r="E4848">
        <v>1</v>
      </c>
      <c r="F4848" s="15">
        <v>46195</v>
      </c>
      <c r="G4848" t="s">
        <v>599</v>
      </c>
      <c r="H4848">
        <v>4</v>
      </c>
      <c r="I4848">
        <v>2026</v>
      </c>
      <c r="J4848">
        <v>6</v>
      </c>
      <c r="K4848" t="s">
        <v>282</v>
      </c>
      <c r="L4848" t="s">
        <v>593</v>
      </c>
      <c r="M4848" t="s">
        <v>63</v>
      </c>
      <c r="N4848" t="b">
        <v>0</v>
      </c>
      <c r="O4848">
        <v>0</v>
      </c>
      <c r="P4848">
        <v>0</v>
      </c>
      <c r="Q4848">
        <v>1</v>
      </c>
      <c r="R4848">
        <v>0</v>
      </c>
    </row>
    <row r="4849" spans="1:18" x14ac:dyDescent="0.25">
      <c r="A4849" t="s">
        <v>326</v>
      </c>
      <c r="B4849" t="s">
        <v>63</v>
      </c>
      <c r="C4849">
        <v>2</v>
      </c>
      <c r="D4849">
        <v>4</v>
      </c>
      <c r="E4849">
        <v>1</v>
      </c>
      <c r="F4849" s="15">
        <v>46195</v>
      </c>
      <c r="G4849" t="s">
        <v>599</v>
      </c>
      <c r="H4849">
        <v>4</v>
      </c>
      <c r="I4849">
        <v>2026</v>
      </c>
      <c r="J4849">
        <v>6</v>
      </c>
      <c r="K4849" t="s">
        <v>282</v>
      </c>
      <c r="L4849" t="s">
        <v>363</v>
      </c>
      <c r="M4849" t="s">
        <v>63</v>
      </c>
      <c r="N4849" t="b">
        <v>0</v>
      </c>
      <c r="O4849">
        <v>0</v>
      </c>
      <c r="P4849">
        <v>0</v>
      </c>
      <c r="Q4849">
        <v>1</v>
      </c>
      <c r="R4849">
        <v>0</v>
      </c>
    </row>
    <row r="4850" spans="1:18" x14ac:dyDescent="0.25">
      <c r="A4850" t="s">
        <v>593</v>
      </c>
      <c r="B4850" t="s">
        <v>63</v>
      </c>
      <c r="C4850">
        <v>3</v>
      </c>
      <c r="D4850">
        <v>4</v>
      </c>
      <c r="E4850">
        <v>1</v>
      </c>
      <c r="F4850" s="15">
        <v>46195</v>
      </c>
      <c r="G4850" t="s">
        <v>599</v>
      </c>
      <c r="H4850">
        <v>4</v>
      </c>
      <c r="I4850">
        <v>2026</v>
      </c>
      <c r="J4850">
        <v>6</v>
      </c>
      <c r="K4850" t="s">
        <v>282</v>
      </c>
      <c r="L4850" t="s">
        <v>541</v>
      </c>
      <c r="M4850" t="s">
        <v>63</v>
      </c>
      <c r="N4850" t="b">
        <v>0</v>
      </c>
      <c r="O4850">
        <v>0</v>
      </c>
      <c r="P4850">
        <v>0</v>
      </c>
      <c r="Q4850">
        <v>1</v>
      </c>
      <c r="R4850">
        <v>0</v>
      </c>
    </row>
    <row r="4851" spans="1:18" x14ac:dyDescent="0.25">
      <c r="A4851" t="s">
        <v>593</v>
      </c>
      <c r="B4851" t="s">
        <v>63</v>
      </c>
      <c r="C4851">
        <v>3</v>
      </c>
      <c r="D4851">
        <v>4</v>
      </c>
      <c r="E4851">
        <v>1</v>
      </c>
      <c r="F4851" s="15">
        <v>46195</v>
      </c>
      <c r="G4851" t="s">
        <v>599</v>
      </c>
      <c r="H4851">
        <v>4</v>
      </c>
      <c r="I4851">
        <v>2026</v>
      </c>
      <c r="J4851">
        <v>6</v>
      </c>
      <c r="K4851" t="s">
        <v>282</v>
      </c>
      <c r="L4851" t="s">
        <v>326</v>
      </c>
      <c r="M4851" t="s">
        <v>63</v>
      </c>
      <c r="N4851" t="b">
        <v>0</v>
      </c>
      <c r="O4851">
        <v>0</v>
      </c>
      <c r="P4851">
        <v>0</v>
      </c>
      <c r="Q4851">
        <v>1</v>
      </c>
      <c r="R4851">
        <v>0</v>
      </c>
    </row>
    <row r="4852" spans="1:18" x14ac:dyDescent="0.25">
      <c r="A4852" t="s">
        <v>593</v>
      </c>
      <c r="B4852" t="s">
        <v>63</v>
      </c>
      <c r="C4852">
        <v>3</v>
      </c>
      <c r="D4852">
        <v>4</v>
      </c>
      <c r="E4852">
        <v>1</v>
      </c>
      <c r="F4852" s="15">
        <v>46195</v>
      </c>
      <c r="G4852" t="s">
        <v>599</v>
      </c>
      <c r="H4852">
        <v>4</v>
      </c>
      <c r="I4852">
        <v>2026</v>
      </c>
      <c r="J4852">
        <v>6</v>
      </c>
      <c r="K4852" t="s">
        <v>282</v>
      </c>
      <c r="L4852" t="s">
        <v>363</v>
      </c>
      <c r="M4852" t="s">
        <v>63</v>
      </c>
      <c r="N4852" t="b">
        <v>0</v>
      </c>
      <c r="O4852">
        <v>0</v>
      </c>
      <c r="P4852">
        <v>0</v>
      </c>
      <c r="Q4852">
        <v>1</v>
      </c>
      <c r="R4852">
        <v>0</v>
      </c>
    </row>
    <row r="4853" spans="1:18" x14ac:dyDescent="0.25">
      <c r="A4853" t="s">
        <v>363</v>
      </c>
      <c r="B4853" t="s">
        <v>63</v>
      </c>
      <c r="C4853">
        <v>4</v>
      </c>
      <c r="D4853">
        <v>4</v>
      </c>
      <c r="E4853">
        <v>1</v>
      </c>
      <c r="F4853" s="15">
        <v>46195</v>
      </c>
      <c r="G4853" t="s">
        <v>599</v>
      </c>
      <c r="H4853">
        <v>4</v>
      </c>
      <c r="I4853">
        <v>2026</v>
      </c>
      <c r="J4853">
        <v>6</v>
      </c>
      <c r="K4853" t="s">
        <v>282</v>
      </c>
      <c r="L4853" t="s">
        <v>541</v>
      </c>
      <c r="M4853" t="s">
        <v>63</v>
      </c>
      <c r="N4853" t="b">
        <v>0</v>
      </c>
      <c r="O4853">
        <v>0</v>
      </c>
      <c r="P4853">
        <v>0</v>
      </c>
      <c r="Q4853">
        <v>1</v>
      </c>
      <c r="R4853">
        <v>0</v>
      </c>
    </row>
    <row r="4854" spans="1:18" x14ac:dyDescent="0.25">
      <c r="A4854" t="s">
        <v>363</v>
      </c>
      <c r="B4854" t="s">
        <v>63</v>
      </c>
      <c r="C4854">
        <v>4</v>
      </c>
      <c r="D4854">
        <v>4</v>
      </c>
      <c r="E4854">
        <v>1</v>
      </c>
      <c r="F4854" s="15">
        <v>46195</v>
      </c>
      <c r="G4854" t="s">
        <v>599</v>
      </c>
      <c r="H4854">
        <v>4</v>
      </c>
      <c r="I4854">
        <v>2026</v>
      </c>
      <c r="J4854">
        <v>6</v>
      </c>
      <c r="K4854" t="s">
        <v>282</v>
      </c>
      <c r="L4854" t="s">
        <v>326</v>
      </c>
      <c r="M4854" t="s">
        <v>63</v>
      </c>
      <c r="N4854" t="b">
        <v>0</v>
      </c>
      <c r="O4854">
        <v>0</v>
      </c>
      <c r="P4854">
        <v>0</v>
      </c>
      <c r="Q4854">
        <v>1</v>
      </c>
      <c r="R4854">
        <v>0</v>
      </c>
    </row>
    <row r="4855" spans="1:18" x14ac:dyDescent="0.25">
      <c r="A4855" t="s">
        <v>363</v>
      </c>
      <c r="B4855" t="s">
        <v>63</v>
      </c>
      <c r="C4855">
        <v>4</v>
      </c>
      <c r="D4855">
        <v>4</v>
      </c>
      <c r="E4855">
        <v>1</v>
      </c>
      <c r="F4855" s="15">
        <v>46195</v>
      </c>
      <c r="G4855" t="s">
        <v>599</v>
      </c>
      <c r="H4855">
        <v>4</v>
      </c>
      <c r="I4855">
        <v>2026</v>
      </c>
      <c r="J4855">
        <v>6</v>
      </c>
      <c r="K4855" t="s">
        <v>282</v>
      </c>
      <c r="L4855" t="s">
        <v>593</v>
      </c>
      <c r="M4855" t="s">
        <v>63</v>
      </c>
      <c r="N4855" t="b">
        <v>0</v>
      </c>
      <c r="O4855">
        <v>0</v>
      </c>
      <c r="P4855">
        <v>0</v>
      </c>
      <c r="Q4855">
        <v>1</v>
      </c>
      <c r="R4855">
        <v>0</v>
      </c>
    </row>
    <row r="4856" spans="1:18" x14ac:dyDescent="0.25">
      <c r="A4856" t="s">
        <v>17</v>
      </c>
      <c r="B4856" t="s">
        <v>63</v>
      </c>
      <c r="C4856">
        <v>1</v>
      </c>
      <c r="D4856">
        <v>5</v>
      </c>
      <c r="E4856">
        <v>1</v>
      </c>
      <c r="F4856" s="15">
        <v>46195</v>
      </c>
      <c r="G4856" t="s">
        <v>600</v>
      </c>
      <c r="H4856">
        <v>4</v>
      </c>
      <c r="I4856">
        <v>2026</v>
      </c>
      <c r="J4856">
        <v>6</v>
      </c>
      <c r="K4856" t="s">
        <v>282</v>
      </c>
      <c r="L4856" t="s">
        <v>41</v>
      </c>
      <c r="M4856" t="s">
        <v>63</v>
      </c>
      <c r="N4856" t="b">
        <v>0</v>
      </c>
      <c r="O4856">
        <v>0</v>
      </c>
      <c r="P4856">
        <v>0</v>
      </c>
      <c r="Q4856">
        <v>1</v>
      </c>
      <c r="R4856">
        <v>0</v>
      </c>
    </row>
    <row r="4857" spans="1:18" x14ac:dyDescent="0.25">
      <c r="A4857" t="s">
        <v>17</v>
      </c>
      <c r="B4857" t="s">
        <v>63</v>
      </c>
      <c r="C4857">
        <v>1</v>
      </c>
      <c r="D4857">
        <v>5</v>
      </c>
      <c r="E4857">
        <v>1</v>
      </c>
      <c r="F4857" s="15">
        <v>46195</v>
      </c>
      <c r="G4857" t="s">
        <v>600</v>
      </c>
      <c r="H4857">
        <v>4</v>
      </c>
      <c r="I4857">
        <v>2026</v>
      </c>
      <c r="J4857">
        <v>6</v>
      </c>
      <c r="K4857" t="s">
        <v>282</v>
      </c>
      <c r="L4857" t="s">
        <v>594</v>
      </c>
      <c r="M4857" t="s">
        <v>63</v>
      </c>
      <c r="N4857" t="b">
        <v>0</v>
      </c>
      <c r="O4857">
        <v>0</v>
      </c>
      <c r="P4857">
        <v>0</v>
      </c>
      <c r="Q4857">
        <v>1</v>
      </c>
      <c r="R4857">
        <v>0</v>
      </c>
    </row>
    <row r="4858" spans="1:18" x14ac:dyDescent="0.25">
      <c r="A4858" t="s">
        <v>17</v>
      </c>
      <c r="B4858" t="s">
        <v>63</v>
      </c>
      <c r="C4858">
        <v>1</v>
      </c>
      <c r="D4858">
        <v>5</v>
      </c>
      <c r="E4858">
        <v>1</v>
      </c>
      <c r="F4858" s="15">
        <v>46195</v>
      </c>
      <c r="G4858" t="s">
        <v>600</v>
      </c>
      <c r="H4858">
        <v>4</v>
      </c>
      <c r="I4858">
        <v>2026</v>
      </c>
      <c r="J4858">
        <v>6</v>
      </c>
      <c r="K4858" t="s">
        <v>282</v>
      </c>
      <c r="L4858" t="s">
        <v>433</v>
      </c>
      <c r="M4858" t="s">
        <v>63</v>
      </c>
      <c r="N4858" t="b">
        <v>0</v>
      </c>
      <c r="O4858">
        <v>0</v>
      </c>
      <c r="P4858">
        <v>0</v>
      </c>
      <c r="Q4858">
        <v>1</v>
      </c>
      <c r="R4858">
        <v>0</v>
      </c>
    </row>
    <row r="4859" spans="1:18" x14ac:dyDescent="0.25">
      <c r="A4859" t="s">
        <v>41</v>
      </c>
      <c r="B4859" t="s">
        <v>63</v>
      </c>
      <c r="C4859">
        <v>2</v>
      </c>
      <c r="D4859">
        <v>5</v>
      </c>
      <c r="E4859">
        <v>1</v>
      </c>
      <c r="F4859" s="15">
        <v>46195</v>
      </c>
      <c r="G4859" t="s">
        <v>600</v>
      </c>
      <c r="H4859">
        <v>4</v>
      </c>
      <c r="I4859">
        <v>2026</v>
      </c>
      <c r="J4859">
        <v>6</v>
      </c>
      <c r="K4859" t="s">
        <v>282</v>
      </c>
      <c r="L4859" t="s">
        <v>17</v>
      </c>
      <c r="M4859" t="s">
        <v>63</v>
      </c>
      <c r="N4859" t="b">
        <v>0</v>
      </c>
      <c r="O4859">
        <v>0</v>
      </c>
      <c r="P4859">
        <v>0</v>
      </c>
      <c r="Q4859">
        <v>1</v>
      </c>
      <c r="R4859">
        <v>0</v>
      </c>
    </row>
    <row r="4860" spans="1:18" x14ac:dyDescent="0.25">
      <c r="A4860" t="s">
        <v>41</v>
      </c>
      <c r="B4860" t="s">
        <v>63</v>
      </c>
      <c r="C4860">
        <v>2</v>
      </c>
      <c r="D4860">
        <v>5</v>
      </c>
      <c r="E4860">
        <v>1</v>
      </c>
      <c r="F4860" s="15">
        <v>46195</v>
      </c>
      <c r="G4860" t="s">
        <v>600</v>
      </c>
      <c r="H4860">
        <v>4</v>
      </c>
      <c r="I4860">
        <v>2026</v>
      </c>
      <c r="J4860">
        <v>6</v>
      </c>
      <c r="K4860" t="s">
        <v>282</v>
      </c>
      <c r="L4860" t="s">
        <v>594</v>
      </c>
      <c r="M4860" t="s">
        <v>63</v>
      </c>
      <c r="N4860" t="b">
        <v>0</v>
      </c>
      <c r="O4860">
        <v>0</v>
      </c>
      <c r="P4860">
        <v>0</v>
      </c>
      <c r="Q4860">
        <v>1</v>
      </c>
      <c r="R4860">
        <v>0</v>
      </c>
    </row>
    <row r="4861" spans="1:18" x14ac:dyDescent="0.25">
      <c r="A4861" t="s">
        <v>41</v>
      </c>
      <c r="B4861" t="s">
        <v>63</v>
      </c>
      <c r="C4861">
        <v>2</v>
      </c>
      <c r="D4861">
        <v>5</v>
      </c>
      <c r="E4861">
        <v>1</v>
      </c>
      <c r="F4861" s="15">
        <v>46195</v>
      </c>
      <c r="G4861" t="s">
        <v>600</v>
      </c>
      <c r="H4861">
        <v>4</v>
      </c>
      <c r="I4861">
        <v>2026</v>
      </c>
      <c r="J4861">
        <v>6</v>
      </c>
      <c r="K4861" t="s">
        <v>282</v>
      </c>
      <c r="L4861" t="s">
        <v>433</v>
      </c>
      <c r="M4861" t="s">
        <v>63</v>
      </c>
      <c r="N4861" t="b">
        <v>0</v>
      </c>
      <c r="O4861">
        <v>0</v>
      </c>
      <c r="P4861">
        <v>0</v>
      </c>
      <c r="Q4861">
        <v>1</v>
      </c>
      <c r="R4861">
        <v>0</v>
      </c>
    </row>
    <row r="4862" spans="1:18" x14ac:dyDescent="0.25">
      <c r="A4862" t="s">
        <v>594</v>
      </c>
      <c r="B4862" t="s">
        <v>63</v>
      </c>
      <c r="C4862">
        <v>3</v>
      </c>
      <c r="D4862">
        <v>5</v>
      </c>
      <c r="E4862">
        <v>1</v>
      </c>
      <c r="F4862" s="15">
        <v>46195</v>
      </c>
      <c r="G4862" t="s">
        <v>600</v>
      </c>
      <c r="H4862">
        <v>4</v>
      </c>
      <c r="I4862">
        <v>2026</v>
      </c>
      <c r="J4862">
        <v>6</v>
      </c>
      <c r="K4862" t="s">
        <v>282</v>
      </c>
      <c r="L4862" t="s">
        <v>17</v>
      </c>
      <c r="M4862" t="s">
        <v>63</v>
      </c>
      <c r="N4862" t="b">
        <v>0</v>
      </c>
      <c r="O4862">
        <v>0</v>
      </c>
      <c r="P4862">
        <v>0</v>
      </c>
      <c r="Q4862">
        <v>1</v>
      </c>
      <c r="R4862">
        <v>0</v>
      </c>
    </row>
    <row r="4863" spans="1:18" x14ac:dyDescent="0.25">
      <c r="A4863" t="s">
        <v>594</v>
      </c>
      <c r="B4863" t="s">
        <v>63</v>
      </c>
      <c r="C4863">
        <v>3</v>
      </c>
      <c r="D4863">
        <v>5</v>
      </c>
      <c r="E4863">
        <v>1</v>
      </c>
      <c r="F4863" s="15">
        <v>46195</v>
      </c>
      <c r="G4863" t="s">
        <v>600</v>
      </c>
      <c r="H4863">
        <v>4</v>
      </c>
      <c r="I4863">
        <v>2026</v>
      </c>
      <c r="J4863">
        <v>6</v>
      </c>
      <c r="K4863" t="s">
        <v>282</v>
      </c>
      <c r="L4863" t="s">
        <v>41</v>
      </c>
      <c r="M4863" t="s">
        <v>63</v>
      </c>
      <c r="N4863" t="b">
        <v>0</v>
      </c>
      <c r="O4863">
        <v>0</v>
      </c>
      <c r="P4863">
        <v>0</v>
      </c>
      <c r="Q4863">
        <v>1</v>
      </c>
      <c r="R4863">
        <v>0</v>
      </c>
    </row>
    <row r="4864" spans="1:18" x14ac:dyDescent="0.25">
      <c r="A4864" t="s">
        <v>594</v>
      </c>
      <c r="B4864" t="s">
        <v>63</v>
      </c>
      <c r="C4864">
        <v>3</v>
      </c>
      <c r="D4864">
        <v>5</v>
      </c>
      <c r="E4864">
        <v>1</v>
      </c>
      <c r="F4864" s="15">
        <v>46195</v>
      </c>
      <c r="G4864" t="s">
        <v>600</v>
      </c>
      <c r="H4864">
        <v>4</v>
      </c>
      <c r="I4864">
        <v>2026</v>
      </c>
      <c r="J4864">
        <v>6</v>
      </c>
      <c r="K4864" t="s">
        <v>282</v>
      </c>
      <c r="L4864" t="s">
        <v>433</v>
      </c>
      <c r="M4864" t="s">
        <v>63</v>
      </c>
      <c r="N4864" t="b">
        <v>0</v>
      </c>
      <c r="O4864">
        <v>0</v>
      </c>
      <c r="P4864">
        <v>0</v>
      </c>
      <c r="Q4864">
        <v>1</v>
      </c>
      <c r="R4864">
        <v>0</v>
      </c>
    </row>
    <row r="4865" spans="1:18" x14ac:dyDescent="0.25">
      <c r="A4865" t="s">
        <v>433</v>
      </c>
      <c r="B4865" t="s">
        <v>63</v>
      </c>
      <c r="C4865">
        <v>4</v>
      </c>
      <c r="D4865">
        <v>5</v>
      </c>
      <c r="E4865">
        <v>1</v>
      </c>
      <c r="F4865" s="15">
        <v>46195</v>
      </c>
      <c r="G4865" t="s">
        <v>600</v>
      </c>
      <c r="H4865">
        <v>4</v>
      </c>
      <c r="I4865">
        <v>2026</v>
      </c>
      <c r="J4865">
        <v>6</v>
      </c>
      <c r="K4865" t="s">
        <v>282</v>
      </c>
      <c r="L4865" t="s">
        <v>17</v>
      </c>
      <c r="M4865" t="s">
        <v>63</v>
      </c>
      <c r="N4865" t="b">
        <v>0</v>
      </c>
      <c r="O4865">
        <v>0</v>
      </c>
      <c r="P4865">
        <v>0</v>
      </c>
      <c r="Q4865">
        <v>1</v>
      </c>
      <c r="R4865">
        <v>0</v>
      </c>
    </row>
    <row r="4866" spans="1:18" x14ac:dyDescent="0.25">
      <c r="A4866" t="s">
        <v>433</v>
      </c>
      <c r="B4866" t="s">
        <v>63</v>
      </c>
      <c r="C4866">
        <v>4</v>
      </c>
      <c r="D4866">
        <v>5</v>
      </c>
      <c r="E4866">
        <v>1</v>
      </c>
      <c r="F4866" s="15">
        <v>46195</v>
      </c>
      <c r="G4866" t="s">
        <v>600</v>
      </c>
      <c r="H4866">
        <v>4</v>
      </c>
      <c r="I4866">
        <v>2026</v>
      </c>
      <c r="J4866">
        <v>6</v>
      </c>
      <c r="K4866" t="s">
        <v>282</v>
      </c>
      <c r="L4866" t="s">
        <v>41</v>
      </c>
      <c r="M4866" t="s">
        <v>63</v>
      </c>
      <c r="N4866" t="b">
        <v>0</v>
      </c>
      <c r="O4866">
        <v>0</v>
      </c>
      <c r="P4866">
        <v>0</v>
      </c>
      <c r="Q4866">
        <v>1</v>
      </c>
      <c r="R4866">
        <v>0</v>
      </c>
    </row>
    <row r="4867" spans="1:18" x14ac:dyDescent="0.25">
      <c r="A4867" t="s">
        <v>433</v>
      </c>
      <c r="B4867" t="s">
        <v>63</v>
      </c>
      <c r="C4867">
        <v>4</v>
      </c>
      <c r="D4867">
        <v>5</v>
      </c>
      <c r="E4867">
        <v>1</v>
      </c>
      <c r="F4867" s="15">
        <v>46195</v>
      </c>
      <c r="G4867" t="s">
        <v>600</v>
      </c>
      <c r="H4867">
        <v>4</v>
      </c>
      <c r="I4867">
        <v>2026</v>
      </c>
      <c r="J4867">
        <v>6</v>
      </c>
      <c r="K4867" t="s">
        <v>282</v>
      </c>
      <c r="L4867" t="s">
        <v>594</v>
      </c>
      <c r="M4867" t="s">
        <v>63</v>
      </c>
      <c r="N4867" t="b">
        <v>0</v>
      </c>
      <c r="O4867">
        <v>0</v>
      </c>
      <c r="P4867">
        <v>0</v>
      </c>
      <c r="Q4867">
        <v>1</v>
      </c>
      <c r="R4867">
        <v>0</v>
      </c>
    </row>
    <row r="4868" spans="1:18" x14ac:dyDescent="0.25">
      <c r="A4868" t="s">
        <v>19</v>
      </c>
      <c r="B4868" t="s">
        <v>8</v>
      </c>
      <c r="C4868">
        <v>1</v>
      </c>
      <c r="D4868">
        <v>6</v>
      </c>
      <c r="E4868">
        <v>1</v>
      </c>
      <c r="F4868" s="15">
        <v>46195</v>
      </c>
      <c r="G4868" t="s">
        <v>601</v>
      </c>
      <c r="H4868">
        <v>3</v>
      </c>
      <c r="I4868">
        <v>2026</v>
      </c>
      <c r="J4868">
        <v>6</v>
      </c>
      <c r="K4868" t="s">
        <v>282</v>
      </c>
      <c r="L4868" t="s">
        <v>519</v>
      </c>
      <c r="M4868" t="s">
        <v>6</v>
      </c>
      <c r="N4868" t="b">
        <v>0</v>
      </c>
      <c r="O4868">
        <v>1</v>
      </c>
      <c r="P4868">
        <v>0</v>
      </c>
      <c r="Q4868">
        <v>0</v>
      </c>
      <c r="R4868">
        <v>0</v>
      </c>
    </row>
    <row r="4869" spans="1:18" x14ac:dyDescent="0.25">
      <c r="A4869" t="s">
        <v>19</v>
      </c>
      <c r="B4869" t="s">
        <v>8</v>
      </c>
      <c r="C4869">
        <v>1</v>
      </c>
      <c r="D4869">
        <v>6</v>
      </c>
      <c r="E4869">
        <v>1</v>
      </c>
      <c r="F4869" s="15">
        <v>46195</v>
      </c>
      <c r="G4869" t="s">
        <v>601</v>
      </c>
      <c r="H4869">
        <v>3</v>
      </c>
      <c r="I4869">
        <v>2026</v>
      </c>
      <c r="J4869">
        <v>6</v>
      </c>
      <c r="K4869" t="s">
        <v>282</v>
      </c>
      <c r="L4869" t="s">
        <v>20</v>
      </c>
      <c r="M4869" t="s">
        <v>6</v>
      </c>
      <c r="N4869" t="b">
        <v>0</v>
      </c>
      <c r="O4869">
        <v>1</v>
      </c>
      <c r="P4869">
        <v>0</v>
      </c>
      <c r="Q4869">
        <v>0</v>
      </c>
      <c r="R4869">
        <v>0</v>
      </c>
    </row>
    <row r="4870" spans="1:18" x14ac:dyDescent="0.25">
      <c r="A4870" t="s">
        <v>519</v>
      </c>
      <c r="B4870" t="s">
        <v>6</v>
      </c>
      <c r="C4870">
        <v>2</v>
      </c>
      <c r="D4870">
        <v>6</v>
      </c>
      <c r="E4870">
        <v>1</v>
      </c>
      <c r="F4870" s="15">
        <v>46195</v>
      </c>
      <c r="G4870" t="s">
        <v>601</v>
      </c>
      <c r="H4870">
        <v>3</v>
      </c>
      <c r="I4870">
        <v>2026</v>
      </c>
      <c r="J4870">
        <v>6</v>
      </c>
      <c r="K4870" t="s">
        <v>282</v>
      </c>
      <c r="L4870" t="s">
        <v>19</v>
      </c>
      <c r="M4870" t="s">
        <v>8</v>
      </c>
      <c r="N4870" t="b">
        <v>0</v>
      </c>
      <c r="O4870">
        <v>0</v>
      </c>
      <c r="P4870">
        <v>1</v>
      </c>
      <c r="Q4870">
        <v>0</v>
      </c>
      <c r="R4870">
        <v>1</v>
      </c>
    </row>
    <row r="4871" spans="1:18" x14ac:dyDescent="0.25">
      <c r="A4871" t="s">
        <v>519</v>
      </c>
      <c r="B4871" t="s">
        <v>6</v>
      </c>
      <c r="C4871">
        <v>2</v>
      </c>
      <c r="D4871">
        <v>6</v>
      </c>
      <c r="E4871">
        <v>1</v>
      </c>
      <c r="F4871" s="15">
        <v>46195</v>
      </c>
      <c r="G4871" t="s">
        <v>601</v>
      </c>
      <c r="H4871">
        <v>3</v>
      </c>
      <c r="I4871">
        <v>2026</v>
      </c>
      <c r="J4871">
        <v>6</v>
      </c>
      <c r="K4871" t="s">
        <v>282</v>
      </c>
      <c r="L4871" t="s">
        <v>20</v>
      </c>
      <c r="M4871" t="s">
        <v>6</v>
      </c>
      <c r="N4871" t="b">
        <v>0</v>
      </c>
      <c r="O4871">
        <v>0</v>
      </c>
      <c r="P4871">
        <v>1</v>
      </c>
      <c r="Q4871">
        <v>0</v>
      </c>
      <c r="R4871">
        <v>0</v>
      </c>
    </row>
    <row r="4872" spans="1:18" x14ac:dyDescent="0.25">
      <c r="A4872" t="s">
        <v>20</v>
      </c>
      <c r="B4872" t="s">
        <v>6</v>
      </c>
      <c r="C4872">
        <v>3</v>
      </c>
      <c r="D4872">
        <v>6</v>
      </c>
      <c r="E4872">
        <v>1</v>
      </c>
      <c r="F4872" s="15">
        <v>46195</v>
      </c>
      <c r="G4872" t="s">
        <v>601</v>
      </c>
      <c r="H4872">
        <v>3</v>
      </c>
      <c r="I4872">
        <v>2026</v>
      </c>
      <c r="J4872">
        <v>6</v>
      </c>
      <c r="K4872" t="s">
        <v>282</v>
      </c>
      <c r="L4872" t="s">
        <v>19</v>
      </c>
      <c r="M4872" t="s">
        <v>8</v>
      </c>
      <c r="N4872" t="b">
        <v>0</v>
      </c>
      <c r="O4872">
        <v>0</v>
      </c>
      <c r="P4872">
        <v>1</v>
      </c>
      <c r="Q4872">
        <v>0</v>
      </c>
      <c r="R4872">
        <v>1</v>
      </c>
    </row>
    <row r="4873" spans="1:18" x14ac:dyDescent="0.25">
      <c r="A4873" t="s">
        <v>20</v>
      </c>
      <c r="B4873" t="s">
        <v>6</v>
      </c>
      <c r="C4873">
        <v>3</v>
      </c>
      <c r="D4873">
        <v>6</v>
      </c>
      <c r="E4873">
        <v>1</v>
      </c>
      <c r="F4873" s="15">
        <v>46195</v>
      </c>
      <c r="G4873" t="s">
        <v>601</v>
      </c>
      <c r="H4873">
        <v>3</v>
      </c>
      <c r="I4873">
        <v>2026</v>
      </c>
      <c r="J4873">
        <v>6</v>
      </c>
      <c r="K4873" t="s">
        <v>282</v>
      </c>
      <c r="L4873" t="s">
        <v>519</v>
      </c>
      <c r="M4873" t="s">
        <v>6</v>
      </c>
      <c r="N4873" t="b">
        <v>0</v>
      </c>
      <c r="O4873">
        <v>0</v>
      </c>
      <c r="P4873">
        <v>1</v>
      </c>
      <c r="Q4873">
        <v>0</v>
      </c>
      <c r="R4873">
        <v>0</v>
      </c>
    </row>
    <row r="4874" spans="1:18" x14ac:dyDescent="0.25">
      <c r="A4874" t="s">
        <v>433</v>
      </c>
      <c r="B4874" t="s">
        <v>6</v>
      </c>
      <c r="C4874">
        <v>1</v>
      </c>
      <c r="D4874">
        <v>1</v>
      </c>
      <c r="E4874">
        <v>2</v>
      </c>
      <c r="F4874" s="15">
        <v>46195</v>
      </c>
      <c r="G4874" t="s">
        <v>602</v>
      </c>
      <c r="H4874">
        <v>4</v>
      </c>
      <c r="I4874">
        <v>2026</v>
      </c>
      <c r="J4874">
        <v>6</v>
      </c>
      <c r="K4874" t="s">
        <v>282</v>
      </c>
      <c r="L4874" t="s">
        <v>541</v>
      </c>
      <c r="M4874" t="s">
        <v>6</v>
      </c>
      <c r="N4874" t="b">
        <v>0</v>
      </c>
      <c r="O4874">
        <v>0</v>
      </c>
      <c r="P4874">
        <v>1</v>
      </c>
      <c r="Q4874">
        <v>0</v>
      </c>
      <c r="R4874">
        <v>0</v>
      </c>
    </row>
    <row r="4875" spans="1:18" x14ac:dyDescent="0.25">
      <c r="A4875" t="s">
        <v>433</v>
      </c>
      <c r="B4875" t="s">
        <v>6</v>
      </c>
      <c r="C4875">
        <v>1</v>
      </c>
      <c r="D4875">
        <v>1</v>
      </c>
      <c r="E4875">
        <v>2</v>
      </c>
      <c r="F4875" s="15">
        <v>46195</v>
      </c>
      <c r="G4875" t="s">
        <v>602</v>
      </c>
      <c r="H4875">
        <v>4</v>
      </c>
      <c r="I4875">
        <v>2026</v>
      </c>
      <c r="J4875">
        <v>6</v>
      </c>
      <c r="K4875" t="s">
        <v>282</v>
      </c>
      <c r="L4875" t="s">
        <v>13</v>
      </c>
      <c r="M4875" t="s">
        <v>8</v>
      </c>
      <c r="N4875" t="b">
        <v>0</v>
      </c>
      <c r="O4875">
        <v>0</v>
      </c>
      <c r="P4875">
        <v>1</v>
      </c>
      <c r="Q4875">
        <v>0</v>
      </c>
      <c r="R4875">
        <v>1</v>
      </c>
    </row>
    <row r="4876" spans="1:18" x14ac:dyDescent="0.25">
      <c r="A4876" t="s">
        <v>433</v>
      </c>
      <c r="B4876" t="s">
        <v>6</v>
      </c>
      <c r="C4876">
        <v>1</v>
      </c>
      <c r="D4876">
        <v>1</v>
      </c>
      <c r="E4876">
        <v>2</v>
      </c>
      <c r="F4876" s="15">
        <v>46195</v>
      </c>
      <c r="G4876" t="s">
        <v>602</v>
      </c>
      <c r="H4876">
        <v>4</v>
      </c>
      <c r="I4876">
        <v>2026</v>
      </c>
      <c r="J4876">
        <v>6</v>
      </c>
      <c r="K4876" t="s">
        <v>282</v>
      </c>
      <c r="L4876" t="s">
        <v>405</v>
      </c>
      <c r="M4876" t="s">
        <v>6</v>
      </c>
      <c r="N4876" t="b">
        <v>0</v>
      </c>
      <c r="O4876">
        <v>0</v>
      </c>
      <c r="P4876">
        <v>1</v>
      </c>
      <c r="Q4876">
        <v>0</v>
      </c>
      <c r="R4876">
        <v>0</v>
      </c>
    </row>
    <row r="4877" spans="1:18" x14ac:dyDescent="0.25">
      <c r="A4877" t="s">
        <v>541</v>
      </c>
      <c r="B4877" t="s">
        <v>6</v>
      </c>
      <c r="C4877">
        <v>2</v>
      </c>
      <c r="D4877">
        <v>1</v>
      </c>
      <c r="E4877">
        <v>2</v>
      </c>
      <c r="F4877" s="15">
        <v>46195</v>
      </c>
      <c r="G4877" t="s">
        <v>602</v>
      </c>
      <c r="H4877">
        <v>4</v>
      </c>
      <c r="I4877">
        <v>2026</v>
      </c>
      <c r="J4877">
        <v>6</v>
      </c>
      <c r="K4877" t="s">
        <v>282</v>
      </c>
      <c r="L4877" t="s">
        <v>433</v>
      </c>
      <c r="M4877" t="s">
        <v>6</v>
      </c>
      <c r="N4877" t="b">
        <v>0</v>
      </c>
      <c r="O4877">
        <v>0</v>
      </c>
      <c r="P4877">
        <v>1</v>
      </c>
      <c r="Q4877">
        <v>0</v>
      </c>
      <c r="R4877">
        <v>0</v>
      </c>
    </row>
    <row r="4878" spans="1:18" x14ac:dyDescent="0.25">
      <c r="A4878" t="s">
        <v>541</v>
      </c>
      <c r="B4878" t="s">
        <v>6</v>
      </c>
      <c r="C4878">
        <v>2</v>
      </c>
      <c r="D4878">
        <v>1</v>
      </c>
      <c r="E4878">
        <v>2</v>
      </c>
      <c r="F4878" s="15">
        <v>46195</v>
      </c>
      <c r="G4878" t="s">
        <v>602</v>
      </c>
      <c r="H4878">
        <v>4</v>
      </c>
      <c r="I4878">
        <v>2026</v>
      </c>
      <c r="J4878">
        <v>6</v>
      </c>
      <c r="K4878" t="s">
        <v>282</v>
      </c>
      <c r="L4878" t="s">
        <v>13</v>
      </c>
      <c r="M4878" t="s">
        <v>8</v>
      </c>
      <c r="N4878" t="b">
        <v>0</v>
      </c>
      <c r="O4878">
        <v>0</v>
      </c>
      <c r="P4878">
        <v>1</v>
      </c>
      <c r="Q4878">
        <v>0</v>
      </c>
      <c r="R4878">
        <v>1</v>
      </c>
    </row>
    <row r="4879" spans="1:18" x14ac:dyDescent="0.25">
      <c r="A4879" t="s">
        <v>541</v>
      </c>
      <c r="B4879" t="s">
        <v>6</v>
      </c>
      <c r="C4879">
        <v>2</v>
      </c>
      <c r="D4879">
        <v>1</v>
      </c>
      <c r="E4879">
        <v>2</v>
      </c>
      <c r="F4879" s="15">
        <v>46195</v>
      </c>
      <c r="G4879" t="s">
        <v>602</v>
      </c>
      <c r="H4879">
        <v>4</v>
      </c>
      <c r="I4879">
        <v>2026</v>
      </c>
      <c r="J4879">
        <v>6</v>
      </c>
      <c r="K4879" t="s">
        <v>282</v>
      </c>
      <c r="L4879" t="s">
        <v>405</v>
      </c>
      <c r="M4879" t="s">
        <v>6</v>
      </c>
      <c r="N4879" t="b">
        <v>0</v>
      </c>
      <c r="O4879">
        <v>0</v>
      </c>
      <c r="P4879">
        <v>1</v>
      </c>
      <c r="Q4879">
        <v>0</v>
      </c>
      <c r="R4879">
        <v>0</v>
      </c>
    </row>
    <row r="4880" spans="1:18" x14ac:dyDescent="0.25">
      <c r="A4880" t="s">
        <v>13</v>
      </c>
      <c r="B4880" t="s">
        <v>8</v>
      </c>
      <c r="C4880">
        <v>3</v>
      </c>
      <c r="D4880">
        <v>1</v>
      </c>
      <c r="E4880">
        <v>2</v>
      </c>
      <c r="F4880" s="15">
        <v>46195</v>
      </c>
      <c r="G4880" t="s">
        <v>602</v>
      </c>
      <c r="H4880">
        <v>4</v>
      </c>
      <c r="I4880">
        <v>2026</v>
      </c>
      <c r="J4880">
        <v>6</v>
      </c>
      <c r="K4880" t="s">
        <v>282</v>
      </c>
      <c r="L4880" t="s">
        <v>433</v>
      </c>
      <c r="M4880" t="s">
        <v>6</v>
      </c>
      <c r="N4880" t="b">
        <v>0</v>
      </c>
      <c r="O4880">
        <v>1</v>
      </c>
      <c r="P4880">
        <v>0</v>
      </c>
      <c r="Q4880">
        <v>0</v>
      </c>
      <c r="R4880">
        <v>0</v>
      </c>
    </row>
    <row r="4881" spans="1:18" x14ac:dyDescent="0.25">
      <c r="A4881" t="s">
        <v>13</v>
      </c>
      <c r="B4881" t="s">
        <v>8</v>
      </c>
      <c r="C4881">
        <v>3</v>
      </c>
      <c r="D4881">
        <v>1</v>
      </c>
      <c r="E4881">
        <v>2</v>
      </c>
      <c r="F4881" s="15">
        <v>46195</v>
      </c>
      <c r="G4881" t="s">
        <v>602</v>
      </c>
      <c r="H4881">
        <v>4</v>
      </c>
      <c r="I4881">
        <v>2026</v>
      </c>
      <c r="J4881">
        <v>6</v>
      </c>
      <c r="K4881" t="s">
        <v>282</v>
      </c>
      <c r="L4881" t="s">
        <v>541</v>
      </c>
      <c r="M4881" t="s">
        <v>6</v>
      </c>
      <c r="N4881" t="b">
        <v>0</v>
      </c>
      <c r="O4881">
        <v>1</v>
      </c>
      <c r="P4881">
        <v>0</v>
      </c>
      <c r="Q4881">
        <v>0</v>
      </c>
      <c r="R4881">
        <v>0</v>
      </c>
    </row>
    <row r="4882" spans="1:18" x14ac:dyDescent="0.25">
      <c r="A4882" t="s">
        <v>13</v>
      </c>
      <c r="B4882" t="s">
        <v>8</v>
      </c>
      <c r="C4882">
        <v>3</v>
      </c>
      <c r="D4882">
        <v>1</v>
      </c>
      <c r="E4882">
        <v>2</v>
      </c>
      <c r="F4882" s="15">
        <v>46195</v>
      </c>
      <c r="G4882" t="s">
        <v>602</v>
      </c>
      <c r="H4882">
        <v>4</v>
      </c>
      <c r="I4882">
        <v>2026</v>
      </c>
      <c r="J4882">
        <v>6</v>
      </c>
      <c r="K4882" t="s">
        <v>282</v>
      </c>
      <c r="L4882" t="s">
        <v>405</v>
      </c>
      <c r="M4882" t="s">
        <v>6</v>
      </c>
      <c r="N4882" t="b">
        <v>0</v>
      </c>
      <c r="O4882">
        <v>1</v>
      </c>
      <c r="P4882">
        <v>0</v>
      </c>
      <c r="Q4882">
        <v>0</v>
      </c>
      <c r="R4882">
        <v>0</v>
      </c>
    </row>
    <row r="4883" spans="1:18" x14ac:dyDescent="0.25">
      <c r="A4883" t="s">
        <v>405</v>
      </c>
      <c r="B4883" t="s">
        <v>6</v>
      </c>
      <c r="C4883">
        <v>4</v>
      </c>
      <c r="D4883">
        <v>1</v>
      </c>
      <c r="E4883">
        <v>2</v>
      </c>
      <c r="F4883" s="15">
        <v>46195</v>
      </c>
      <c r="G4883" t="s">
        <v>602</v>
      </c>
      <c r="H4883">
        <v>4</v>
      </c>
      <c r="I4883">
        <v>2026</v>
      </c>
      <c r="J4883">
        <v>6</v>
      </c>
      <c r="K4883" t="s">
        <v>282</v>
      </c>
      <c r="L4883" t="s">
        <v>433</v>
      </c>
      <c r="M4883" t="s">
        <v>6</v>
      </c>
      <c r="N4883" t="b">
        <v>0</v>
      </c>
      <c r="O4883">
        <v>0</v>
      </c>
      <c r="P4883">
        <v>1</v>
      </c>
      <c r="Q4883">
        <v>0</v>
      </c>
      <c r="R4883">
        <v>0</v>
      </c>
    </row>
    <row r="4884" spans="1:18" x14ac:dyDescent="0.25">
      <c r="A4884" t="s">
        <v>405</v>
      </c>
      <c r="B4884" t="s">
        <v>6</v>
      </c>
      <c r="C4884">
        <v>4</v>
      </c>
      <c r="D4884">
        <v>1</v>
      </c>
      <c r="E4884">
        <v>2</v>
      </c>
      <c r="F4884" s="15">
        <v>46195</v>
      </c>
      <c r="G4884" t="s">
        <v>602</v>
      </c>
      <c r="H4884">
        <v>4</v>
      </c>
      <c r="I4884">
        <v>2026</v>
      </c>
      <c r="J4884">
        <v>6</v>
      </c>
      <c r="K4884" t="s">
        <v>282</v>
      </c>
      <c r="L4884" t="s">
        <v>541</v>
      </c>
      <c r="M4884" t="s">
        <v>6</v>
      </c>
      <c r="N4884" t="b">
        <v>0</v>
      </c>
      <c r="O4884">
        <v>0</v>
      </c>
      <c r="P4884">
        <v>1</v>
      </c>
      <c r="Q4884">
        <v>0</v>
      </c>
      <c r="R4884">
        <v>0</v>
      </c>
    </row>
    <row r="4885" spans="1:18" x14ac:dyDescent="0.25">
      <c r="A4885" t="s">
        <v>405</v>
      </c>
      <c r="B4885" t="s">
        <v>6</v>
      </c>
      <c r="C4885">
        <v>4</v>
      </c>
      <c r="D4885">
        <v>1</v>
      </c>
      <c r="E4885">
        <v>2</v>
      </c>
      <c r="F4885" s="15">
        <v>46195</v>
      </c>
      <c r="G4885" t="s">
        <v>602</v>
      </c>
      <c r="H4885">
        <v>4</v>
      </c>
      <c r="I4885">
        <v>2026</v>
      </c>
      <c r="J4885">
        <v>6</v>
      </c>
      <c r="K4885" t="s">
        <v>282</v>
      </c>
      <c r="L4885" t="s">
        <v>13</v>
      </c>
      <c r="M4885" t="s">
        <v>8</v>
      </c>
      <c r="N4885" t="b">
        <v>0</v>
      </c>
      <c r="O4885">
        <v>0</v>
      </c>
      <c r="P4885">
        <v>1</v>
      </c>
      <c r="Q4885">
        <v>0</v>
      </c>
      <c r="R4885">
        <v>1</v>
      </c>
    </row>
    <row r="4886" spans="1:18" x14ac:dyDescent="0.25">
      <c r="A4886" t="s">
        <v>351</v>
      </c>
      <c r="B4886" t="s">
        <v>8</v>
      </c>
      <c r="C4886">
        <v>1</v>
      </c>
      <c r="D4886">
        <v>2</v>
      </c>
      <c r="E4886">
        <v>2</v>
      </c>
      <c r="F4886" s="15">
        <v>46195</v>
      </c>
      <c r="G4886" t="s">
        <v>603</v>
      </c>
      <c r="H4886">
        <v>4</v>
      </c>
      <c r="I4886">
        <v>2026</v>
      </c>
      <c r="J4886">
        <v>6</v>
      </c>
      <c r="K4886" t="s">
        <v>282</v>
      </c>
      <c r="L4886" t="s">
        <v>9</v>
      </c>
      <c r="M4886" t="s">
        <v>6</v>
      </c>
      <c r="N4886" t="b">
        <v>0</v>
      </c>
      <c r="O4886">
        <v>1</v>
      </c>
      <c r="P4886">
        <v>0</v>
      </c>
      <c r="Q4886">
        <v>0</v>
      </c>
      <c r="R4886">
        <v>0</v>
      </c>
    </row>
    <row r="4887" spans="1:18" x14ac:dyDescent="0.25">
      <c r="A4887" t="s">
        <v>351</v>
      </c>
      <c r="B4887" t="s">
        <v>8</v>
      </c>
      <c r="C4887">
        <v>1</v>
      </c>
      <c r="D4887">
        <v>2</v>
      </c>
      <c r="E4887">
        <v>2</v>
      </c>
      <c r="F4887" s="15">
        <v>46195</v>
      </c>
      <c r="G4887" t="s">
        <v>603</v>
      </c>
      <c r="H4887">
        <v>4</v>
      </c>
      <c r="I4887">
        <v>2026</v>
      </c>
      <c r="J4887">
        <v>6</v>
      </c>
      <c r="K4887" t="s">
        <v>282</v>
      </c>
      <c r="L4887" t="s">
        <v>19</v>
      </c>
      <c r="M4887" t="s">
        <v>6</v>
      </c>
      <c r="N4887" t="b">
        <v>0</v>
      </c>
      <c r="O4887">
        <v>1</v>
      </c>
      <c r="P4887">
        <v>0</v>
      </c>
      <c r="Q4887">
        <v>0</v>
      </c>
      <c r="R4887">
        <v>0</v>
      </c>
    </row>
    <row r="4888" spans="1:18" x14ac:dyDescent="0.25">
      <c r="A4888" t="s">
        <v>351</v>
      </c>
      <c r="B4888" t="s">
        <v>8</v>
      </c>
      <c r="C4888">
        <v>1</v>
      </c>
      <c r="D4888">
        <v>2</v>
      </c>
      <c r="E4888">
        <v>2</v>
      </c>
      <c r="F4888" s="15">
        <v>46195</v>
      </c>
      <c r="G4888" t="s">
        <v>603</v>
      </c>
      <c r="H4888">
        <v>4</v>
      </c>
      <c r="I4888">
        <v>2026</v>
      </c>
      <c r="J4888">
        <v>6</v>
      </c>
      <c r="K4888" t="s">
        <v>282</v>
      </c>
      <c r="L4888" t="s">
        <v>593</v>
      </c>
      <c r="M4888" t="s">
        <v>6</v>
      </c>
      <c r="N4888" t="b">
        <v>0</v>
      </c>
      <c r="O4888">
        <v>1</v>
      </c>
      <c r="P4888">
        <v>0</v>
      </c>
      <c r="Q4888">
        <v>0</v>
      </c>
      <c r="R4888">
        <v>0</v>
      </c>
    </row>
    <row r="4889" spans="1:18" x14ac:dyDescent="0.25">
      <c r="A4889" t="s">
        <v>9</v>
      </c>
      <c r="B4889" t="s">
        <v>6</v>
      </c>
      <c r="C4889">
        <v>2</v>
      </c>
      <c r="D4889">
        <v>2</v>
      </c>
      <c r="E4889">
        <v>2</v>
      </c>
      <c r="F4889" s="15">
        <v>46195</v>
      </c>
      <c r="G4889" t="s">
        <v>603</v>
      </c>
      <c r="H4889">
        <v>4</v>
      </c>
      <c r="I4889">
        <v>2026</v>
      </c>
      <c r="J4889">
        <v>6</v>
      </c>
      <c r="K4889" t="s">
        <v>282</v>
      </c>
      <c r="L4889" t="s">
        <v>351</v>
      </c>
      <c r="M4889" t="s">
        <v>8</v>
      </c>
      <c r="N4889" t="b">
        <v>0</v>
      </c>
      <c r="O4889">
        <v>0</v>
      </c>
      <c r="P4889">
        <v>1</v>
      </c>
      <c r="Q4889">
        <v>0</v>
      </c>
      <c r="R4889">
        <v>1</v>
      </c>
    </row>
    <row r="4890" spans="1:18" x14ac:dyDescent="0.25">
      <c r="A4890" t="s">
        <v>9</v>
      </c>
      <c r="B4890" t="s">
        <v>6</v>
      </c>
      <c r="C4890">
        <v>2</v>
      </c>
      <c r="D4890">
        <v>2</v>
      </c>
      <c r="E4890">
        <v>2</v>
      </c>
      <c r="F4890" s="15">
        <v>46195</v>
      </c>
      <c r="G4890" t="s">
        <v>603</v>
      </c>
      <c r="H4890">
        <v>4</v>
      </c>
      <c r="I4890">
        <v>2026</v>
      </c>
      <c r="J4890">
        <v>6</v>
      </c>
      <c r="K4890" t="s">
        <v>282</v>
      </c>
      <c r="L4890" t="s">
        <v>19</v>
      </c>
      <c r="M4890" t="s">
        <v>6</v>
      </c>
      <c r="N4890" t="b">
        <v>0</v>
      </c>
      <c r="O4890">
        <v>0</v>
      </c>
      <c r="P4890">
        <v>1</v>
      </c>
      <c r="Q4890">
        <v>0</v>
      </c>
      <c r="R4890">
        <v>0</v>
      </c>
    </row>
    <row r="4891" spans="1:18" x14ac:dyDescent="0.25">
      <c r="A4891" t="s">
        <v>9</v>
      </c>
      <c r="B4891" t="s">
        <v>6</v>
      </c>
      <c r="C4891">
        <v>2</v>
      </c>
      <c r="D4891">
        <v>2</v>
      </c>
      <c r="E4891">
        <v>2</v>
      </c>
      <c r="F4891" s="15">
        <v>46195</v>
      </c>
      <c r="G4891" t="s">
        <v>603</v>
      </c>
      <c r="H4891">
        <v>4</v>
      </c>
      <c r="I4891">
        <v>2026</v>
      </c>
      <c r="J4891">
        <v>6</v>
      </c>
      <c r="K4891" t="s">
        <v>282</v>
      </c>
      <c r="L4891" t="s">
        <v>593</v>
      </c>
      <c r="M4891" t="s">
        <v>6</v>
      </c>
      <c r="N4891" t="b">
        <v>0</v>
      </c>
      <c r="O4891">
        <v>0</v>
      </c>
      <c r="P4891">
        <v>1</v>
      </c>
      <c r="Q4891">
        <v>0</v>
      </c>
      <c r="R4891">
        <v>0</v>
      </c>
    </row>
    <row r="4892" spans="1:18" x14ac:dyDescent="0.25">
      <c r="A4892" t="s">
        <v>19</v>
      </c>
      <c r="B4892" t="s">
        <v>6</v>
      </c>
      <c r="C4892">
        <v>3</v>
      </c>
      <c r="D4892">
        <v>2</v>
      </c>
      <c r="E4892">
        <v>2</v>
      </c>
      <c r="F4892" s="15">
        <v>46195</v>
      </c>
      <c r="G4892" t="s">
        <v>603</v>
      </c>
      <c r="H4892">
        <v>4</v>
      </c>
      <c r="I4892">
        <v>2026</v>
      </c>
      <c r="J4892">
        <v>6</v>
      </c>
      <c r="K4892" t="s">
        <v>282</v>
      </c>
      <c r="L4892" t="s">
        <v>351</v>
      </c>
      <c r="M4892" t="s">
        <v>8</v>
      </c>
      <c r="N4892" t="b">
        <v>0</v>
      </c>
      <c r="O4892">
        <v>0</v>
      </c>
      <c r="P4892">
        <v>1</v>
      </c>
      <c r="Q4892">
        <v>0</v>
      </c>
      <c r="R4892">
        <v>1</v>
      </c>
    </row>
    <row r="4893" spans="1:18" x14ac:dyDescent="0.25">
      <c r="A4893" t="s">
        <v>19</v>
      </c>
      <c r="B4893" t="s">
        <v>6</v>
      </c>
      <c r="C4893">
        <v>3</v>
      </c>
      <c r="D4893">
        <v>2</v>
      </c>
      <c r="E4893">
        <v>2</v>
      </c>
      <c r="F4893" s="15">
        <v>46195</v>
      </c>
      <c r="G4893" t="s">
        <v>603</v>
      </c>
      <c r="H4893">
        <v>4</v>
      </c>
      <c r="I4893">
        <v>2026</v>
      </c>
      <c r="J4893">
        <v>6</v>
      </c>
      <c r="K4893" t="s">
        <v>282</v>
      </c>
      <c r="L4893" t="s">
        <v>9</v>
      </c>
      <c r="M4893" t="s">
        <v>6</v>
      </c>
      <c r="N4893" t="b">
        <v>0</v>
      </c>
      <c r="O4893">
        <v>0</v>
      </c>
      <c r="P4893">
        <v>1</v>
      </c>
      <c r="Q4893">
        <v>0</v>
      </c>
      <c r="R4893">
        <v>0</v>
      </c>
    </row>
    <row r="4894" spans="1:18" x14ac:dyDescent="0.25">
      <c r="A4894" t="s">
        <v>19</v>
      </c>
      <c r="B4894" t="s">
        <v>6</v>
      </c>
      <c r="C4894">
        <v>3</v>
      </c>
      <c r="D4894">
        <v>2</v>
      </c>
      <c r="E4894">
        <v>2</v>
      </c>
      <c r="F4894" s="15">
        <v>46195</v>
      </c>
      <c r="G4894" t="s">
        <v>603</v>
      </c>
      <c r="H4894">
        <v>4</v>
      </c>
      <c r="I4894">
        <v>2026</v>
      </c>
      <c r="J4894">
        <v>6</v>
      </c>
      <c r="K4894" t="s">
        <v>282</v>
      </c>
      <c r="L4894" t="s">
        <v>593</v>
      </c>
      <c r="M4894" t="s">
        <v>6</v>
      </c>
      <c r="N4894" t="b">
        <v>0</v>
      </c>
      <c r="O4894">
        <v>0</v>
      </c>
      <c r="P4894">
        <v>1</v>
      </c>
      <c r="Q4894">
        <v>0</v>
      </c>
      <c r="R4894">
        <v>0</v>
      </c>
    </row>
    <row r="4895" spans="1:18" x14ac:dyDescent="0.25">
      <c r="A4895" t="s">
        <v>593</v>
      </c>
      <c r="B4895" t="s">
        <v>6</v>
      </c>
      <c r="C4895">
        <v>4</v>
      </c>
      <c r="D4895">
        <v>2</v>
      </c>
      <c r="E4895">
        <v>2</v>
      </c>
      <c r="F4895" s="15">
        <v>46195</v>
      </c>
      <c r="G4895" t="s">
        <v>603</v>
      </c>
      <c r="H4895">
        <v>4</v>
      </c>
      <c r="I4895">
        <v>2026</v>
      </c>
      <c r="J4895">
        <v>6</v>
      </c>
      <c r="K4895" t="s">
        <v>282</v>
      </c>
      <c r="L4895" t="s">
        <v>351</v>
      </c>
      <c r="M4895" t="s">
        <v>8</v>
      </c>
      <c r="N4895" t="b">
        <v>0</v>
      </c>
      <c r="O4895">
        <v>0</v>
      </c>
      <c r="P4895">
        <v>1</v>
      </c>
      <c r="Q4895">
        <v>0</v>
      </c>
      <c r="R4895">
        <v>1</v>
      </c>
    </row>
    <row r="4896" spans="1:18" x14ac:dyDescent="0.25">
      <c r="A4896" t="s">
        <v>593</v>
      </c>
      <c r="B4896" t="s">
        <v>6</v>
      </c>
      <c r="C4896">
        <v>4</v>
      </c>
      <c r="D4896">
        <v>2</v>
      </c>
      <c r="E4896">
        <v>2</v>
      </c>
      <c r="F4896" s="15">
        <v>46195</v>
      </c>
      <c r="G4896" t="s">
        <v>603</v>
      </c>
      <c r="H4896">
        <v>4</v>
      </c>
      <c r="I4896">
        <v>2026</v>
      </c>
      <c r="J4896">
        <v>6</v>
      </c>
      <c r="K4896" t="s">
        <v>282</v>
      </c>
      <c r="L4896" t="s">
        <v>9</v>
      </c>
      <c r="M4896" t="s">
        <v>6</v>
      </c>
      <c r="N4896" t="b">
        <v>0</v>
      </c>
      <c r="O4896">
        <v>0</v>
      </c>
      <c r="P4896">
        <v>1</v>
      </c>
      <c r="Q4896">
        <v>0</v>
      </c>
      <c r="R4896">
        <v>0</v>
      </c>
    </row>
    <row r="4897" spans="1:18" x14ac:dyDescent="0.25">
      <c r="A4897" t="s">
        <v>593</v>
      </c>
      <c r="B4897" t="s">
        <v>6</v>
      </c>
      <c r="C4897">
        <v>4</v>
      </c>
      <c r="D4897">
        <v>2</v>
      </c>
      <c r="E4897">
        <v>2</v>
      </c>
      <c r="F4897" s="15">
        <v>46195</v>
      </c>
      <c r="G4897" t="s">
        <v>603</v>
      </c>
      <c r="H4897">
        <v>4</v>
      </c>
      <c r="I4897">
        <v>2026</v>
      </c>
      <c r="J4897">
        <v>6</v>
      </c>
      <c r="K4897" t="s">
        <v>282</v>
      </c>
      <c r="L4897" t="s">
        <v>19</v>
      </c>
      <c r="M4897" t="s">
        <v>6</v>
      </c>
      <c r="N4897" t="b">
        <v>0</v>
      </c>
      <c r="O4897">
        <v>0</v>
      </c>
      <c r="P4897">
        <v>1</v>
      </c>
      <c r="Q4897">
        <v>0</v>
      </c>
      <c r="R4897">
        <v>0</v>
      </c>
    </row>
    <row r="4898" spans="1:18" x14ac:dyDescent="0.25">
      <c r="A4898" t="s">
        <v>594</v>
      </c>
      <c r="B4898" t="s">
        <v>6</v>
      </c>
      <c r="C4898">
        <v>1</v>
      </c>
      <c r="D4898">
        <v>3</v>
      </c>
      <c r="E4898">
        <v>2</v>
      </c>
      <c r="F4898" s="15">
        <v>46195</v>
      </c>
      <c r="G4898" t="s">
        <v>604</v>
      </c>
      <c r="H4898">
        <v>4</v>
      </c>
      <c r="I4898">
        <v>2026</v>
      </c>
      <c r="J4898">
        <v>6</v>
      </c>
      <c r="K4898" t="s">
        <v>282</v>
      </c>
      <c r="L4898" t="s">
        <v>363</v>
      </c>
      <c r="M4898" t="s">
        <v>8</v>
      </c>
      <c r="N4898" t="b">
        <v>0</v>
      </c>
      <c r="O4898">
        <v>0</v>
      </c>
      <c r="P4898">
        <v>1</v>
      </c>
      <c r="Q4898">
        <v>0</v>
      </c>
      <c r="R4898">
        <v>1</v>
      </c>
    </row>
    <row r="4899" spans="1:18" x14ac:dyDescent="0.25">
      <c r="A4899" t="s">
        <v>594</v>
      </c>
      <c r="B4899" t="s">
        <v>6</v>
      </c>
      <c r="C4899">
        <v>1</v>
      </c>
      <c r="D4899">
        <v>3</v>
      </c>
      <c r="E4899">
        <v>2</v>
      </c>
      <c r="F4899" s="15">
        <v>46195</v>
      </c>
      <c r="G4899" t="s">
        <v>604</v>
      </c>
      <c r="H4899">
        <v>4</v>
      </c>
      <c r="I4899">
        <v>2026</v>
      </c>
      <c r="J4899">
        <v>6</v>
      </c>
      <c r="K4899" t="s">
        <v>282</v>
      </c>
      <c r="L4899" t="s">
        <v>595</v>
      </c>
      <c r="M4899" t="s">
        <v>6</v>
      </c>
      <c r="N4899" t="b">
        <v>0</v>
      </c>
      <c r="O4899">
        <v>0</v>
      </c>
      <c r="P4899">
        <v>1</v>
      </c>
      <c r="Q4899">
        <v>0</v>
      </c>
      <c r="R4899">
        <v>0</v>
      </c>
    </row>
    <row r="4900" spans="1:18" x14ac:dyDescent="0.25">
      <c r="A4900" t="s">
        <v>594</v>
      </c>
      <c r="B4900" t="s">
        <v>6</v>
      </c>
      <c r="C4900">
        <v>1</v>
      </c>
      <c r="D4900">
        <v>3</v>
      </c>
      <c r="E4900">
        <v>2</v>
      </c>
      <c r="F4900" s="15">
        <v>46195</v>
      </c>
      <c r="G4900" t="s">
        <v>604</v>
      </c>
      <c r="H4900">
        <v>4</v>
      </c>
      <c r="I4900">
        <v>2026</v>
      </c>
      <c r="J4900">
        <v>6</v>
      </c>
      <c r="K4900" t="s">
        <v>282</v>
      </c>
      <c r="L4900" t="s">
        <v>569</v>
      </c>
      <c r="M4900" t="s">
        <v>6</v>
      </c>
      <c r="N4900" t="b">
        <v>0</v>
      </c>
      <c r="O4900">
        <v>0</v>
      </c>
      <c r="P4900">
        <v>1</v>
      </c>
      <c r="Q4900">
        <v>0</v>
      </c>
      <c r="R4900">
        <v>0</v>
      </c>
    </row>
    <row r="4901" spans="1:18" x14ac:dyDescent="0.25">
      <c r="A4901" t="s">
        <v>363</v>
      </c>
      <c r="B4901" t="s">
        <v>8</v>
      </c>
      <c r="C4901">
        <v>2</v>
      </c>
      <c r="D4901">
        <v>3</v>
      </c>
      <c r="E4901">
        <v>2</v>
      </c>
      <c r="F4901" s="15">
        <v>46195</v>
      </c>
      <c r="G4901" t="s">
        <v>604</v>
      </c>
      <c r="H4901">
        <v>4</v>
      </c>
      <c r="I4901">
        <v>2026</v>
      </c>
      <c r="J4901">
        <v>6</v>
      </c>
      <c r="K4901" t="s">
        <v>282</v>
      </c>
      <c r="L4901" t="s">
        <v>594</v>
      </c>
      <c r="M4901" t="s">
        <v>6</v>
      </c>
      <c r="N4901" t="b">
        <v>0</v>
      </c>
      <c r="O4901">
        <v>1</v>
      </c>
      <c r="P4901">
        <v>0</v>
      </c>
      <c r="Q4901">
        <v>0</v>
      </c>
      <c r="R4901">
        <v>0</v>
      </c>
    </row>
    <row r="4902" spans="1:18" x14ac:dyDescent="0.25">
      <c r="A4902" t="s">
        <v>363</v>
      </c>
      <c r="B4902" t="s">
        <v>8</v>
      </c>
      <c r="C4902">
        <v>2</v>
      </c>
      <c r="D4902">
        <v>3</v>
      </c>
      <c r="E4902">
        <v>2</v>
      </c>
      <c r="F4902" s="15">
        <v>46195</v>
      </c>
      <c r="G4902" t="s">
        <v>604</v>
      </c>
      <c r="H4902">
        <v>4</v>
      </c>
      <c r="I4902">
        <v>2026</v>
      </c>
      <c r="J4902">
        <v>6</v>
      </c>
      <c r="K4902" t="s">
        <v>282</v>
      </c>
      <c r="L4902" t="s">
        <v>595</v>
      </c>
      <c r="M4902" t="s">
        <v>6</v>
      </c>
      <c r="N4902" t="b">
        <v>0</v>
      </c>
      <c r="O4902">
        <v>1</v>
      </c>
      <c r="P4902">
        <v>0</v>
      </c>
      <c r="Q4902">
        <v>0</v>
      </c>
      <c r="R4902">
        <v>0</v>
      </c>
    </row>
    <row r="4903" spans="1:18" x14ac:dyDescent="0.25">
      <c r="A4903" t="s">
        <v>363</v>
      </c>
      <c r="B4903" t="s">
        <v>8</v>
      </c>
      <c r="C4903">
        <v>2</v>
      </c>
      <c r="D4903">
        <v>3</v>
      </c>
      <c r="E4903">
        <v>2</v>
      </c>
      <c r="F4903" s="15">
        <v>46195</v>
      </c>
      <c r="G4903" t="s">
        <v>604</v>
      </c>
      <c r="H4903">
        <v>4</v>
      </c>
      <c r="I4903">
        <v>2026</v>
      </c>
      <c r="J4903">
        <v>6</v>
      </c>
      <c r="K4903" t="s">
        <v>282</v>
      </c>
      <c r="L4903" t="s">
        <v>569</v>
      </c>
      <c r="M4903" t="s">
        <v>6</v>
      </c>
      <c r="N4903" t="b">
        <v>0</v>
      </c>
      <c r="O4903">
        <v>1</v>
      </c>
      <c r="P4903">
        <v>0</v>
      </c>
      <c r="Q4903">
        <v>0</v>
      </c>
      <c r="R4903">
        <v>0</v>
      </c>
    </row>
    <row r="4904" spans="1:18" x14ac:dyDescent="0.25">
      <c r="A4904" t="s">
        <v>595</v>
      </c>
      <c r="B4904" t="s">
        <v>6</v>
      </c>
      <c r="C4904">
        <v>3</v>
      </c>
      <c r="D4904">
        <v>3</v>
      </c>
      <c r="E4904">
        <v>2</v>
      </c>
      <c r="F4904" s="15">
        <v>46195</v>
      </c>
      <c r="G4904" t="s">
        <v>604</v>
      </c>
      <c r="H4904">
        <v>4</v>
      </c>
      <c r="I4904">
        <v>2026</v>
      </c>
      <c r="J4904">
        <v>6</v>
      </c>
      <c r="K4904" t="s">
        <v>282</v>
      </c>
      <c r="L4904" t="s">
        <v>594</v>
      </c>
      <c r="M4904" t="s">
        <v>6</v>
      </c>
      <c r="N4904" t="b">
        <v>0</v>
      </c>
      <c r="O4904">
        <v>0</v>
      </c>
      <c r="P4904">
        <v>1</v>
      </c>
      <c r="Q4904">
        <v>0</v>
      </c>
      <c r="R4904">
        <v>0</v>
      </c>
    </row>
    <row r="4905" spans="1:18" x14ac:dyDescent="0.25">
      <c r="A4905" t="s">
        <v>595</v>
      </c>
      <c r="B4905" t="s">
        <v>6</v>
      </c>
      <c r="C4905">
        <v>3</v>
      </c>
      <c r="D4905">
        <v>3</v>
      </c>
      <c r="E4905">
        <v>2</v>
      </c>
      <c r="F4905" s="15">
        <v>46195</v>
      </c>
      <c r="G4905" t="s">
        <v>604</v>
      </c>
      <c r="H4905">
        <v>4</v>
      </c>
      <c r="I4905">
        <v>2026</v>
      </c>
      <c r="J4905">
        <v>6</v>
      </c>
      <c r="K4905" t="s">
        <v>282</v>
      </c>
      <c r="L4905" t="s">
        <v>363</v>
      </c>
      <c r="M4905" t="s">
        <v>8</v>
      </c>
      <c r="N4905" t="b">
        <v>0</v>
      </c>
      <c r="O4905">
        <v>0</v>
      </c>
      <c r="P4905">
        <v>1</v>
      </c>
      <c r="Q4905">
        <v>0</v>
      </c>
      <c r="R4905">
        <v>1</v>
      </c>
    </row>
    <row r="4906" spans="1:18" x14ac:dyDescent="0.25">
      <c r="A4906" t="s">
        <v>595</v>
      </c>
      <c r="B4906" t="s">
        <v>6</v>
      </c>
      <c r="C4906">
        <v>3</v>
      </c>
      <c r="D4906">
        <v>3</v>
      </c>
      <c r="E4906">
        <v>2</v>
      </c>
      <c r="F4906" s="15">
        <v>46195</v>
      </c>
      <c r="G4906" t="s">
        <v>604</v>
      </c>
      <c r="H4906">
        <v>4</v>
      </c>
      <c r="I4906">
        <v>2026</v>
      </c>
      <c r="J4906">
        <v>6</v>
      </c>
      <c r="K4906" t="s">
        <v>282</v>
      </c>
      <c r="L4906" t="s">
        <v>569</v>
      </c>
      <c r="M4906" t="s">
        <v>6</v>
      </c>
      <c r="N4906" t="b">
        <v>0</v>
      </c>
      <c r="O4906">
        <v>0</v>
      </c>
      <c r="P4906">
        <v>1</v>
      </c>
      <c r="Q4906">
        <v>0</v>
      </c>
      <c r="R4906">
        <v>0</v>
      </c>
    </row>
    <row r="4907" spans="1:18" x14ac:dyDescent="0.25">
      <c r="A4907" t="s">
        <v>569</v>
      </c>
      <c r="B4907" t="s">
        <v>6</v>
      </c>
      <c r="C4907">
        <v>4</v>
      </c>
      <c r="D4907">
        <v>3</v>
      </c>
      <c r="E4907">
        <v>2</v>
      </c>
      <c r="F4907" s="15">
        <v>46195</v>
      </c>
      <c r="G4907" t="s">
        <v>604</v>
      </c>
      <c r="H4907">
        <v>4</v>
      </c>
      <c r="I4907">
        <v>2026</v>
      </c>
      <c r="J4907">
        <v>6</v>
      </c>
      <c r="K4907" t="s">
        <v>282</v>
      </c>
      <c r="L4907" t="s">
        <v>594</v>
      </c>
      <c r="M4907" t="s">
        <v>6</v>
      </c>
      <c r="N4907" t="b">
        <v>0</v>
      </c>
      <c r="O4907">
        <v>0</v>
      </c>
      <c r="P4907">
        <v>1</v>
      </c>
      <c r="Q4907">
        <v>0</v>
      </c>
      <c r="R4907">
        <v>0</v>
      </c>
    </row>
    <row r="4908" spans="1:18" x14ac:dyDescent="0.25">
      <c r="A4908" t="s">
        <v>569</v>
      </c>
      <c r="B4908" t="s">
        <v>6</v>
      </c>
      <c r="C4908">
        <v>4</v>
      </c>
      <c r="D4908">
        <v>3</v>
      </c>
      <c r="E4908">
        <v>2</v>
      </c>
      <c r="F4908" s="15">
        <v>46195</v>
      </c>
      <c r="G4908" t="s">
        <v>604</v>
      </c>
      <c r="H4908">
        <v>4</v>
      </c>
      <c r="I4908">
        <v>2026</v>
      </c>
      <c r="J4908">
        <v>6</v>
      </c>
      <c r="K4908" t="s">
        <v>282</v>
      </c>
      <c r="L4908" t="s">
        <v>363</v>
      </c>
      <c r="M4908" t="s">
        <v>8</v>
      </c>
      <c r="N4908" t="b">
        <v>0</v>
      </c>
      <c r="O4908">
        <v>0</v>
      </c>
      <c r="P4908">
        <v>1</v>
      </c>
      <c r="Q4908">
        <v>0</v>
      </c>
      <c r="R4908">
        <v>1</v>
      </c>
    </row>
    <row r="4909" spans="1:18" x14ac:dyDescent="0.25">
      <c r="A4909" t="s">
        <v>569</v>
      </c>
      <c r="B4909" t="s">
        <v>6</v>
      </c>
      <c r="C4909">
        <v>4</v>
      </c>
      <c r="D4909">
        <v>3</v>
      </c>
      <c r="E4909">
        <v>2</v>
      </c>
      <c r="F4909" s="15">
        <v>46195</v>
      </c>
      <c r="G4909" t="s">
        <v>604</v>
      </c>
      <c r="H4909">
        <v>4</v>
      </c>
      <c r="I4909">
        <v>2026</v>
      </c>
      <c r="J4909">
        <v>6</v>
      </c>
      <c r="K4909" t="s">
        <v>282</v>
      </c>
      <c r="L4909" t="s">
        <v>595</v>
      </c>
      <c r="M4909" t="s">
        <v>6</v>
      </c>
      <c r="N4909" t="b">
        <v>0</v>
      </c>
      <c r="O4909">
        <v>0</v>
      </c>
      <c r="P4909">
        <v>1</v>
      </c>
      <c r="Q4909">
        <v>0</v>
      </c>
      <c r="R4909">
        <v>0</v>
      </c>
    </row>
    <row r="4910" spans="1:18" x14ac:dyDescent="0.25">
      <c r="A4910" t="s">
        <v>352</v>
      </c>
      <c r="B4910" t="s">
        <v>8</v>
      </c>
      <c r="C4910">
        <v>1</v>
      </c>
      <c r="D4910">
        <v>4</v>
      </c>
      <c r="E4910">
        <v>2</v>
      </c>
      <c r="F4910" s="15">
        <v>46195</v>
      </c>
      <c r="G4910" t="s">
        <v>605</v>
      </c>
      <c r="H4910">
        <v>4</v>
      </c>
      <c r="I4910">
        <v>2026</v>
      </c>
      <c r="J4910">
        <v>6</v>
      </c>
      <c r="K4910" t="s">
        <v>282</v>
      </c>
      <c r="L4910" t="s">
        <v>14</v>
      </c>
      <c r="M4910" t="s">
        <v>6</v>
      </c>
      <c r="N4910" t="b">
        <v>0</v>
      </c>
      <c r="O4910">
        <v>1</v>
      </c>
      <c r="P4910">
        <v>0</v>
      </c>
      <c r="Q4910">
        <v>0</v>
      </c>
      <c r="R4910">
        <v>0</v>
      </c>
    </row>
    <row r="4911" spans="1:18" x14ac:dyDescent="0.25">
      <c r="A4911" t="s">
        <v>352</v>
      </c>
      <c r="B4911" t="s">
        <v>8</v>
      </c>
      <c r="C4911">
        <v>1</v>
      </c>
      <c r="D4911">
        <v>4</v>
      </c>
      <c r="E4911">
        <v>2</v>
      </c>
      <c r="F4911" s="15">
        <v>46195</v>
      </c>
      <c r="G4911" t="s">
        <v>605</v>
      </c>
      <c r="H4911">
        <v>4</v>
      </c>
      <c r="I4911">
        <v>2026</v>
      </c>
      <c r="J4911">
        <v>6</v>
      </c>
      <c r="K4911" t="s">
        <v>282</v>
      </c>
      <c r="L4911" t="s">
        <v>41</v>
      </c>
      <c r="M4911" t="s">
        <v>6</v>
      </c>
      <c r="N4911" t="b">
        <v>0</v>
      </c>
      <c r="O4911">
        <v>1</v>
      </c>
      <c r="P4911">
        <v>0</v>
      </c>
      <c r="Q4911">
        <v>0</v>
      </c>
      <c r="R4911">
        <v>0</v>
      </c>
    </row>
    <row r="4912" spans="1:18" x14ac:dyDescent="0.25">
      <c r="A4912" t="s">
        <v>352</v>
      </c>
      <c r="B4912" t="s">
        <v>8</v>
      </c>
      <c r="C4912">
        <v>1</v>
      </c>
      <c r="D4912">
        <v>4</v>
      </c>
      <c r="E4912">
        <v>2</v>
      </c>
      <c r="F4912" s="15">
        <v>46195</v>
      </c>
      <c r="G4912" t="s">
        <v>605</v>
      </c>
      <c r="H4912">
        <v>4</v>
      </c>
      <c r="I4912">
        <v>2026</v>
      </c>
      <c r="J4912">
        <v>6</v>
      </c>
      <c r="K4912" t="s">
        <v>282</v>
      </c>
      <c r="L4912" t="s">
        <v>326</v>
      </c>
      <c r="M4912" t="s">
        <v>6</v>
      </c>
      <c r="N4912" t="b">
        <v>0</v>
      </c>
      <c r="O4912">
        <v>1</v>
      </c>
      <c r="P4912">
        <v>0</v>
      </c>
      <c r="Q4912">
        <v>0</v>
      </c>
      <c r="R4912">
        <v>0</v>
      </c>
    </row>
    <row r="4913" spans="1:18" x14ac:dyDescent="0.25">
      <c r="A4913" t="s">
        <v>14</v>
      </c>
      <c r="B4913" t="s">
        <v>6</v>
      </c>
      <c r="C4913">
        <v>2</v>
      </c>
      <c r="D4913">
        <v>4</v>
      </c>
      <c r="E4913">
        <v>2</v>
      </c>
      <c r="F4913" s="15">
        <v>46195</v>
      </c>
      <c r="G4913" t="s">
        <v>605</v>
      </c>
      <c r="H4913">
        <v>4</v>
      </c>
      <c r="I4913">
        <v>2026</v>
      </c>
      <c r="J4913">
        <v>6</v>
      </c>
      <c r="K4913" t="s">
        <v>282</v>
      </c>
      <c r="L4913" t="s">
        <v>352</v>
      </c>
      <c r="M4913" t="s">
        <v>8</v>
      </c>
      <c r="N4913" t="b">
        <v>0</v>
      </c>
      <c r="O4913">
        <v>0</v>
      </c>
      <c r="P4913">
        <v>1</v>
      </c>
      <c r="Q4913">
        <v>0</v>
      </c>
      <c r="R4913">
        <v>1</v>
      </c>
    </row>
    <row r="4914" spans="1:18" x14ac:dyDescent="0.25">
      <c r="A4914" t="s">
        <v>14</v>
      </c>
      <c r="B4914" t="s">
        <v>6</v>
      </c>
      <c r="C4914">
        <v>2</v>
      </c>
      <c r="D4914">
        <v>4</v>
      </c>
      <c r="E4914">
        <v>2</v>
      </c>
      <c r="F4914" s="15">
        <v>46195</v>
      </c>
      <c r="G4914" t="s">
        <v>605</v>
      </c>
      <c r="H4914">
        <v>4</v>
      </c>
      <c r="I4914">
        <v>2026</v>
      </c>
      <c r="J4914">
        <v>6</v>
      </c>
      <c r="K4914" t="s">
        <v>282</v>
      </c>
      <c r="L4914" t="s">
        <v>41</v>
      </c>
      <c r="M4914" t="s">
        <v>6</v>
      </c>
      <c r="N4914" t="b">
        <v>0</v>
      </c>
      <c r="O4914">
        <v>0</v>
      </c>
      <c r="P4914">
        <v>1</v>
      </c>
      <c r="Q4914">
        <v>0</v>
      </c>
      <c r="R4914">
        <v>0</v>
      </c>
    </row>
    <row r="4915" spans="1:18" x14ac:dyDescent="0.25">
      <c r="A4915" t="s">
        <v>14</v>
      </c>
      <c r="B4915" t="s">
        <v>6</v>
      </c>
      <c r="C4915">
        <v>2</v>
      </c>
      <c r="D4915">
        <v>4</v>
      </c>
      <c r="E4915">
        <v>2</v>
      </c>
      <c r="F4915" s="15">
        <v>46195</v>
      </c>
      <c r="G4915" t="s">
        <v>605</v>
      </c>
      <c r="H4915">
        <v>4</v>
      </c>
      <c r="I4915">
        <v>2026</v>
      </c>
      <c r="J4915">
        <v>6</v>
      </c>
      <c r="K4915" t="s">
        <v>282</v>
      </c>
      <c r="L4915" t="s">
        <v>326</v>
      </c>
      <c r="M4915" t="s">
        <v>6</v>
      </c>
      <c r="N4915" t="b">
        <v>0</v>
      </c>
      <c r="O4915">
        <v>0</v>
      </c>
      <c r="P4915">
        <v>1</v>
      </c>
      <c r="Q4915">
        <v>0</v>
      </c>
      <c r="R4915">
        <v>0</v>
      </c>
    </row>
    <row r="4916" spans="1:18" x14ac:dyDescent="0.25">
      <c r="A4916" t="s">
        <v>41</v>
      </c>
      <c r="B4916" t="s">
        <v>6</v>
      </c>
      <c r="C4916">
        <v>3</v>
      </c>
      <c r="D4916">
        <v>4</v>
      </c>
      <c r="E4916">
        <v>2</v>
      </c>
      <c r="F4916" s="15">
        <v>46195</v>
      </c>
      <c r="G4916" t="s">
        <v>605</v>
      </c>
      <c r="H4916">
        <v>4</v>
      </c>
      <c r="I4916">
        <v>2026</v>
      </c>
      <c r="J4916">
        <v>6</v>
      </c>
      <c r="K4916" t="s">
        <v>282</v>
      </c>
      <c r="L4916" t="s">
        <v>352</v>
      </c>
      <c r="M4916" t="s">
        <v>8</v>
      </c>
      <c r="N4916" t="b">
        <v>0</v>
      </c>
      <c r="O4916">
        <v>0</v>
      </c>
      <c r="P4916">
        <v>1</v>
      </c>
      <c r="Q4916">
        <v>0</v>
      </c>
      <c r="R4916">
        <v>1</v>
      </c>
    </row>
    <row r="4917" spans="1:18" x14ac:dyDescent="0.25">
      <c r="A4917" t="s">
        <v>41</v>
      </c>
      <c r="B4917" t="s">
        <v>6</v>
      </c>
      <c r="C4917">
        <v>3</v>
      </c>
      <c r="D4917">
        <v>4</v>
      </c>
      <c r="E4917">
        <v>2</v>
      </c>
      <c r="F4917" s="15">
        <v>46195</v>
      </c>
      <c r="G4917" t="s">
        <v>605</v>
      </c>
      <c r="H4917">
        <v>4</v>
      </c>
      <c r="I4917">
        <v>2026</v>
      </c>
      <c r="J4917">
        <v>6</v>
      </c>
      <c r="K4917" t="s">
        <v>282</v>
      </c>
      <c r="L4917" t="s">
        <v>14</v>
      </c>
      <c r="M4917" t="s">
        <v>6</v>
      </c>
      <c r="N4917" t="b">
        <v>0</v>
      </c>
      <c r="O4917">
        <v>0</v>
      </c>
      <c r="P4917">
        <v>1</v>
      </c>
      <c r="Q4917">
        <v>0</v>
      </c>
      <c r="R4917">
        <v>0</v>
      </c>
    </row>
    <row r="4918" spans="1:18" x14ac:dyDescent="0.25">
      <c r="A4918" t="s">
        <v>41</v>
      </c>
      <c r="B4918" t="s">
        <v>6</v>
      </c>
      <c r="C4918">
        <v>3</v>
      </c>
      <c r="D4918">
        <v>4</v>
      </c>
      <c r="E4918">
        <v>2</v>
      </c>
      <c r="F4918" s="15">
        <v>46195</v>
      </c>
      <c r="G4918" t="s">
        <v>605</v>
      </c>
      <c r="H4918">
        <v>4</v>
      </c>
      <c r="I4918">
        <v>2026</v>
      </c>
      <c r="J4918">
        <v>6</v>
      </c>
      <c r="K4918" t="s">
        <v>282</v>
      </c>
      <c r="L4918" t="s">
        <v>326</v>
      </c>
      <c r="M4918" t="s">
        <v>6</v>
      </c>
      <c r="N4918" t="b">
        <v>0</v>
      </c>
      <c r="O4918">
        <v>0</v>
      </c>
      <c r="P4918">
        <v>1</v>
      </c>
      <c r="Q4918">
        <v>0</v>
      </c>
      <c r="R4918">
        <v>0</v>
      </c>
    </row>
    <row r="4919" spans="1:18" x14ac:dyDescent="0.25">
      <c r="A4919" t="s">
        <v>326</v>
      </c>
      <c r="B4919" t="s">
        <v>6</v>
      </c>
      <c r="C4919">
        <v>4</v>
      </c>
      <c r="D4919">
        <v>4</v>
      </c>
      <c r="E4919">
        <v>2</v>
      </c>
      <c r="F4919" s="15">
        <v>46195</v>
      </c>
      <c r="G4919" t="s">
        <v>605</v>
      </c>
      <c r="H4919">
        <v>4</v>
      </c>
      <c r="I4919">
        <v>2026</v>
      </c>
      <c r="J4919">
        <v>6</v>
      </c>
      <c r="K4919" t="s">
        <v>282</v>
      </c>
      <c r="L4919" t="s">
        <v>352</v>
      </c>
      <c r="M4919" t="s">
        <v>8</v>
      </c>
      <c r="N4919" t="b">
        <v>0</v>
      </c>
      <c r="O4919">
        <v>0</v>
      </c>
      <c r="P4919">
        <v>1</v>
      </c>
      <c r="Q4919">
        <v>0</v>
      </c>
      <c r="R4919">
        <v>1</v>
      </c>
    </row>
    <row r="4920" spans="1:18" x14ac:dyDescent="0.25">
      <c r="A4920" t="s">
        <v>326</v>
      </c>
      <c r="B4920" t="s">
        <v>6</v>
      </c>
      <c r="C4920">
        <v>4</v>
      </c>
      <c r="D4920">
        <v>4</v>
      </c>
      <c r="E4920">
        <v>2</v>
      </c>
      <c r="F4920" s="15">
        <v>46195</v>
      </c>
      <c r="G4920" t="s">
        <v>605</v>
      </c>
      <c r="H4920">
        <v>4</v>
      </c>
      <c r="I4920">
        <v>2026</v>
      </c>
      <c r="J4920">
        <v>6</v>
      </c>
      <c r="K4920" t="s">
        <v>282</v>
      </c>
      <c r="L4920" t="s">
        <v>14</v>
      </c>
      <c r="M4920" t="s">
        <v>6</v>
      </c>
      <c r="N4920" t="b">
        <v>0</v>
      </c>
      <c r="O4920">
        <v>0</v>
      </c>
      <c r="P4920">
        <v>1</v>
      </c>
      <c r="Q4920">
        <v>0</v>
      </c>
      <c r="R4920">
        <v>0</v>
      </c>
    </row>
    <row r="4921" spans="1:18" x14ac:dyDescent="0.25">
      <c r="A4921" t="s">
        <v>326</v>
      </c>
      <c r="B4921" t="s">
        <v>6</v>
      </c>
      <c r="C4921">
        <v>4</v>
      </c>
      <c r="D4921">
        <v>4</v>
      </c>
      <c r="E4921">
        <v>2</v>
      </c>
      <c r="F4921" s="15">
        <v>46195</v>
      </c>
      <c r="G4921" t="s">
        <v>605</v>
      </c>
      <c r="H4921">
        <v>4</v>
      </c>
      <c r="I4921">
        <v>2026</v>
      </c>
      <c r="J4921">
        <v>6</v>
      </c>
      <c r="K4921" t="s">
        <v>282</v>
      </c>
      <c r="L4921" t="s">
        <v>41</v>
      </c>
      <c r="M4921" t="s">
        <v>6</v>
      </c>
      <c r="N4921" t="b">
        <v>0</v>
      </c>
      <c r="O4921">
        <v>0</v>
      </c>
      <c r="P4921">
        <v>1</v>
      </c>
      <c r="Q4921">
        <v>0</v>
      </c>
      <c r="R4921">
        <v>0</v>
      </c>
    </row>
    <row r="4922" spans="1:18" x14ac:dyDescent="0.25">
      <c r="A4922" t="s">
        <v>519</v>
      </c>
      <c r="B4922" t="s">
        <v>6</v>
      </c>
      <c r="C4922">
        <v>1</v>
      </c>
      <c r="D4922">
        <v>5</v>
      </c>
      <c r="E4922">
        <v>2</v>
      </c>
      <c r="F4922" s="15">
        <v>46195</v>
      </c>
      <c r="G4922" t="s">
        <v>606</v>
      </c>
      <c r="H4922">
        <v>4</v>
      </c>
      <c r="I4922">
        <v>2026</v>
      </c>
      <c r="J4922">
        <v>6</v>
      </c>
      <c r="K4922" t="s">
        <v>282</v>
      </c>
      <c r="L4922" t="s">
        <v>10</v>
      </c>
      <c r="M4922" t="s">
        <v>6</v>
      </c>
      <c r="N4922" t="b">
        <v>0</v>
      </c>
      <c r="O4922">
        <v>0</v>
      </c>
      <c r="P4922">
        <v>1</v>
      </c>
      <c r="Q4922">
        <v>0</v>
      </c>
      <c r="R4922">
        <v>0</v>
      </c>
    </row>
    <row r="4923" spans="1:18" x14ac:dyDescent="0.25">
      <c r="A4923" t="s">
        <v>519</v>
      </c>
      <c r="B4923" t="s">
        <v>6</v>
      </c>
      <c r="C4923">
        <v>1</v>
      </c>
      <c r="D4923">
        <v>5</v>
      </c>
      <c r="E4923">
        <v>2</v>
      </c>
      <c r="F4923" s="15">
        <v>46195</v>
      </c>
      <c r="G4923" t="s">
        <v>606</v>
      </c>
      <c r="H4923">
        <v>4</v>
      </c>
      <c r="I4923">
        <v>2026</v>
      </c>
      <c r="J4923">
        <v>6</v>
      </c>
      <c r="K4923" t="s">
        <v>282</v>
      </c>
      <c r="L4923" t="s">
        <v>580</v>
      </c>
      <c r="M4923" t="s">
        <v>8</v>
      </c>
      <c r="N4923" t="b">
        <v>0</v>
      </c>
      <c r="O4923">
        <v>0</v>
      </c>
      <c r="P4923">
        <v>1</v>
      </c>
      <c r="Q4923">
        <v>0</v>
      </c>
      <c r="R4923">
        <v>1</v>
      </c>
    </row>
    <row r="4924" spans="1:18" x14ac:dyDescent="0.25">
      <c r="A4924" t="s">
        <v>519</v>
      </c>
      <c r="B4924" t="s">
        <v>6</v>
      </c>
      <c r="C4924">
        <v>1</v>
      </c>
      <c r="D4924">
        <v>5</v>
      </c>
      <c r="E4924">
        <v>2</v>
      </c>
      <c r="F4924" s="15">
        <v>46195</v>
      </c>
      <c r="G4924" t="s">
        <v>606</v>
      </c>
      <c r="H4924">
        <v>4</v>
      </c>
      <c r="I4924">
        <v>2026</v>
      </c>
      <c r="J4924">
        <v>6</v>
      </c>
      <c r="K4924" t="s">
        <v>282</v>
      </c>
      <c r="L4924" t="s">
        <v>7</v>
      </c>
      <c r="M4924" t="s">
        <v>6</v>
      </c>
      <c r="N4924" t="b">
        <v>0</v>
      </c>
      <c r="O4924">
        <v>0</v>
      </c>
      <c r="P4924">
        <v>1</v>
      </c>
      <c r="Q4924">
        <v>0</v>
      </c>
      <c r="R4924">
        <v>0</v>
      </c>
    </row>
    <row r="4925" spans="1:18" x14ac:dyDescent="0.25">
      <c r="A4925" t="s">
        <v>10</v>
      </c>
      <c r="B4925" t="s">
        <v>6</v>
      </c>
      <c r="C4925">
        <v>2</v>
      </c>
      <c r="D4925">
        <v>5</v>
      </c>
      <c r="E4925">
        <v>2</v>
      </c>
      <c r="F4925" s="15">
        <v>46195</v>
      </c>
      <c r="G4925" t="s">
        <v>606</v>
      </c>
      <c r="H4925">
        <v>4</v>
      </c>
      <c r="I4925">
        <v>2026</v>
      </c>
      <c r="J4925">
        <v>6</v>
      </c>
      <c r="K4925" t="s">
        <v>282</v>
      </c>
      <c r="L4925" t="s">
        <v>519</v>
      </c>
      <c r="M4925" t="s">
        <v>6</v>
      </c>
      <c r="N4925" t="b">
        <v>0</v>
      </c>
      <c r="O4925">
        <v>0</v>
      </c>
      <c r="P4925">
        <v>1</v>
      </c>
      <c r="Q4925">
        <v>0</v>
      </c>
      <c r="R4925">
        <v>0</v>
      </c>
    </row>
    <row r="4926" spans="1:18" x14ac:dyDescent="0.25">
      <c r="A4926" t="s">
        <v>10</v>
      </c>
      <c r="B4926" t="s">
        <v>6</v>
      </c>
      <c r="C4926">
        <v>2</v>
      </c>
      <c r="D4926">
        <v>5</v>
      </c>
      <c r="E4926">
        <v>2</v>
      </c>
      <c r="F4926" s="15">
        <v>46195</v>
      </c>
      <c r="G4926" t="s">
        <v>606</v>
      </c>
      <c r="H4926">
        <v>4</v>
      </c>
      <c r="I4926">
        <v>2026</v>
      </c>
      <c r="J4926">
        <v>6</v>
      </c>
      <c r="K4926" t="s">
        <v>282</v>
      </c>
      <c r="L4926" t="s">
        <v>580</v>
      </c>
      <c r="M4926" t="s">
        <v>8</v>
      </c>
      <c r="N4926" t="b">
        <v>0</v>
      </c>
      <c r="O4926">
        <v>0</v>
      </c>
      <c r="P4926">
        <v>1</v>
      </c>
      <c r="Q4926">
        <v>0</v>
      </c>
      <c r="R4926">
        <v>1</v>
      </c>
    </row>
    <row r="4927" spans="1:18" x14ac:dyDescent="0.25">
      <c r="A4927" t="s">
        <v>10</v>
      </c>
      <c r="B4927" t="s">
        <v>6</v>
      </c>
      <c r="C4927">
        <v>2</v>
      </c>
      <c r="D4927">
        <v>5</v>
      </c>
      <c r="E4927">
        <v>2</v>
      </c>
      <c r="F4927" s="15">
        <v>46195</v>
      </c>
      <c r="G4927" t="s">
        <v>606</v>
      </c>
      <c r="H4927">
        <v>4</v>
      </c>
      <c r="I4927">
        <v>2026</v>
      </c>
      <c r="J4927">
        <v>6</v>
      </c>
      <c r="K4927" t="s">
        <v>282</v>
      </c>
      <c r="L4927" t="s">
        <v>7</v>
      </c>
      <c r="M4927" t="s">
        <v>6</v>
      </c>
      <c r="N4927" t="b">
        <v>0</v>
      </c>
      <c r="O4927">
        <v>0</v>
      </c>
      <c r="P4927">
        <v>1</v>
      </c>
      <c r="Q4927">
        <v>0</v>
      </c>
      <c r="R4927">
        <v>0</v>
      </c>
    </row>
    <row r="4928" spans="1:18" x14ac:dyDescent="0.25">
      <c r="A4928" t="s">
        <v>580</v>
      </c>
      <c r="B4928" t="s">
        <v>8</v>
      </c>
      <c r="C4928">
        <v>3</v>
      </c>
      <c r="D4928">
        <v>5</v>
      </c>
      <c r="E4928">
        <v>2</v>
      </c>
      <c r="F4928" s="15">
        <v>46195</v>
      </c>
      <c r="G4928" t="s">
        <v>606</v>
      </c>
      <c r="H4928">
        <v>4</v>
      </c>
      <c r="I4928">
        <v>2026</v>
      </c>
      <c r="J4928">
        <v>6</v>
      </c>
      <c r="K4928" t="s">
        <v>282</v>
      </c>
      <c r="L4928" t="s">
        <v>519</v>
      </c>
      <c r="M4928" t="s">
        <v>6</v>
      </c>
      <c r="N4928" t="b">
        <v>0</v>
      </c>
      <c r="O4928">
        <v>1</v>
      </c>
      <c r="P4928">
        <v>0</v>
      </c>
      <c r="Q4928">
        <v>0</v>
      </c>
      <c r="R4928">
        <v>0</v>
      </c>
    </row>
    <row r="4929" spans="1:18" x14ac:dyDescent="0.25">
      <c r="A4929" t="s">
        <v>580</v>
      </c>
      <c r="B4929" t="s">
        <v>8</v>
      </c>
      <c r="C4929">
        <v>3</v>
      </c>
      <c r="D4929">
        <v>5</v>
      </c>
      <c r="E4929">
        <v>2</v>
      </c>
      <c r="F4929" s="15">
        <v>46195</v>
      </c>
      <c r="G4929" t="s">
        <v>606</v>
      </c>
      <c r="H4929">
        <v>4</v>
      </c>
      <c r="I4929">
        <v>2026</v>
      </c>
      <c r="J4929">
        <v>6</v>
      </c>
      <c r="K4929" t="s">
        <v>282</v>
      </c>
      <c r="L4929" t="s">
        <v>10</v>
      </c>
      <c r="M4929" t="s">
        <v>6</v>
      </c>
      <c r="N4929" t="b">
        <v>0</v>
      </c>
      <c r="O4929">
        <v>1</v>
      </c>
      <c r="P4929">
        <v>0</v>
      </c>
      <c r="Q4929">
        <v>0</v>
      </c>
      <c r="R4929">
        <v>0</v>
      </c>
    </row>
    <row r="4930" spans="1:18" x14ac:dyDescent="0.25">
      <c r="A4930" t="s">
        <v>580</v>
      </c>
      <c r="B4930" t="s">
        <v>8</v>
      </c>
      <c r="C4930">
        <v>3</v>
      </c>
      <c r="D4930">
        <v>5</v>
      </c>
      <c r="E4930">
        <v>2</v>
      </c>
      <c r="F4930" s="15">
        <v>46195</v>
      </c>
      <c r="G4930" t="s">
        <v>606</v>
      </c>
      <c r="H4930">
        <v>4</v>
      </c>
      <c r="I4930">
        <v>2026</v>
      </c>
      <c r="J4930">
        <v>6</v>
      </c>
      <c r="K4930" t="s">
        <v>282</v>
      </c>
      <c r="L4930" t="s">
        <v>7</v>
      </c>
      <c r="M4930" t="s">
        <v>6</v>
      </c>
      <c r="N4930" t="b">
        <v>0</v>
      </c>
      <c r="O4930">
        <v>1</v>
      </c>
      <c r="P4930">
        <v>0</v>
      </c>
      <c r="Q4930">
        <v>0</v>
      </c>
      <c r="R4930">
        <v>0</v>
      </c>
    </row>
    <row r="4931" spans="1:18" x14ac:dyDescent="0.25">
      <c r="A4931" t="s">
        <v>7</v>
      </c>
      <c r="B4931" t="s">
        <v>6</v>
      </c>
      <c r="C4931">
        <v>4</v>
      </c>
      <c r="D4931">
        <v>5</v>
      </c>
      <c r="E4931">
        <v>2</v>
      </c>
      <c r="F4931" s="15">
        <v>46195</v>
      </c>
      <c r="G4931" t="s">
        <v>606</v>
      </c>
      <c r="H4931">
        <v>4</v>
      </c>
      <c r="I4931">
        <v>2026</v>
      </c>
      <c r="J4931">
        <v>6</v>
      </c>
      <c r="K4931" t="s">
        <v>282</v>
      </c>
      <c r="L4931" t="s">
        <v>519</v>
      </c>
      <c r="M4931" t="s">
        <v>6</v>
      </c>
      <c r="N4931" t="b">
        <v>0</v>
      </c>
      <c r="O4931">
        <v>0</v>
      </c>
      <c r="P4931">
        <v>1</v>
      </c>
      <c r="Q4931">
        <v>0</v>
      </c>
      <c r="R4931">
        <v>0</v>
      </c>
    </row>
    <row r="4932" spans="1:18" x14ac:dyDescent="0.25">
      <c r="A4932" t="s">
        <v>7</v>
      </c>
      <c r="B4932" t="s">
        <v>6</v>
      </c>
      <c r="C4932">
        <v>4</v>
      </c>
      <c r="D4932">
        <v>5</v>
      </c>
      <c r="E4932">
        <v>2</v>
      </c>
      <c r="F4932" s="15">
        <v>46195</v>
      </c>
      <c r="G4932" t="s">
        <v>606</v>
      </c>
      <c r="H4932">
        <v>4</v>
      </c>
      <c r="I4932">
        <v>2026</v>
      </c>
      <c r="J4932">
        <v>6</v>
      </c>
      <c r="K4932" t="s">
        <v>282</v>
      </c>
      <c r="L4932" t="s">
        <v>10</v>
      </c>
      <c r="M4932" t="s">
        <v>6</v>
      </c>
      <c r="N4932" t="b">
        <v>0</v>
      </c>
      <c r="O4932">
        <v>0</v>
      </c>
      <c r="P4932">
        <v>1</v>
      </c>
      <c r="Q4932">
        <v>0</v>
      </c>
      <c r="R4932">
        <v>0</v>
      </c>
    </row>
    <row r="4933" spans="1:18" x14ac:dyDescent="0.25">
      <c r="A4933" t="s">
        <v>7</v>
      </c>
      <c r="B4933" t="s">
        <v>6</v>
      </c>
      <c r="C4933">
        <v>4</v>
      </c>
      <c r="D4933">
        <v>5</v>
      </c>
      <c r="E4933">
        <v>2</v>
      </c>
      <c r="F4933" s="15">
        <v>46195</v>
      </c>
      <c r="G4933" t="s">
        <v>606</v>
      </c>
      <c r="H4933">
        <v>4</v>
      </c>
      <c r="I4933">
        <v>2026</v>
      </c>
      <c r="J4933">
        <v>6</v>
      </c>
      <c r="K4933" t="s">
        <v>282</v>
      </c>
      <c r="L4933" t="s">
        <v>580</v>
      </c>
      <c r="M4933" t="s">
        <v>8</v>
      </c>
      <c r="N4933" t="b">
        <v>0</v>
      </c>
      <c r="O4933">
        <v>0</v>
      </c>
      <c r="P4933">
        <v>1</v>
      </c>
      <c r="Q4933">
        <v>0</v>
      </c>
      <c r="R4933">
        <v>1</v>
      </c>
    </row>
    <row r="4934" spans="1:18" x14ac:dyDescent="0.25">
      <c r="A4934" t="s">
        <v>28</v>
      </c>
      <c r="B4934" t="s">
        <v>6</v>
      </c>
      <c r="C4934">
        <v>1</v>
      </c>
      <c r="D4934">
        <v>6</v>
      </c>
      <c r="E4934">
        <v>2</v>
      </c>
      <c r="F4934" s="15">
        <v>46195</v>
      </c>
      <c r="G4934" t="s">
        <v>607</v>
      </c>
      <c r="H4934">
        <v>4</v>
      </c>
      <c r="I4934">
        <v>2026</v>
      </c>
      <c r="J4934">
        <v>6</v>
      </c>
      <c r="K4934" t="s">
        <v>282</v>
      </c>
      <c r="L4934" t="s">
        <v>17</v>
      </c>
      <c r="M4934" t="s">
        <v>6</v>
      </c>
      <c r="N4934" t="b">
        <v>0</v>
      </c>
      <c r="O4934">
        <v>0</v>
      </c>
      <c r="P4934">
        <v>1</v>
      </c>
      <c r="Q4934">
        <v>0</v>
      </c>
      <c r="R4934">
        <v>0</v>
      </c>
    </row>
    <row r="4935" spans="1:18" x14ac:dyDescent="0.25">
      <c r="A4935" t="s">
        <v>28</v>
      </c>
      <c r="B4935" t="s">
        <v>6</v>
      </c>
      <c r="C4935">
        <v>1</v>
      </c>
      <c r="D4935">
        <v>6</v>
      </c>
      <c r="E4935">
        <v>2</v>
      </c>
      <c r="F4935" s="15">
        <v>46195</v>
      </c>
      <c r="G4935" t="s">
        <v>607</v>
      </c>
      <c r="H4935">
        <v>4</v>
      </c>
      <c r="I4935">
        <v>2026</v>
      </c>
      <c r="J4935">
        <v>6</v>
      </c>
      <c r="K4935" t="s">
        <v>282</v>
      </c>
      <c r="L4935" t="s">
        <v>15</v>
      </c>
      <c r="M4935" t="s">
        <v>8</v>
      </c>
      <c r="N4935" t="b">
        <v>0</v>
      </c>
      <c r="O4935">
        <v>0</v>
      </c>
      <c r="P4935">
        <v>1</v>
      </c>
      <c r="Q4935">
        <v>0</v>
      </c>
      <c r="R4935">
        <v>1</v>
      </c>
    </row>
    <row r="4936" spans="1:18" x14ac:dyDescent="0.25">
      <c r="A4936" t="s">
        <v>28</v>
      </c>
      <c r="B4936" t="s">
        <v>6</v>
      </c>
      <c r="C4936">
        <v>1</v>
      </c>
      <c r="D4936">
        <v>6</v>
      </c>
      <c r="E4936">
        <v>2</v>
      </c>
      <c r="F4936" s="15">
        <v>46195</v>
      </c>
      <c r="G4936" t="s">
        <v>607</v>
      </c>
      <c r="H4936">
        <v>4</v>
      </c>
      <c r="I4936">
        <v>2026</v>
      </c>
      <c r="J4936">
        <v>6</v>
      </c>
      <c r="K4936" t="s">
        <v>282</v>
      </c>
      <c r="L4936" t="s">
        <v>20</v>
      </c>
      <c r="M4936" t="s">
        <v>6</v>
      </c>
      <c r="N4936" t="b">
        <v>0</v>
      </c>
      <c r="O4936">
        <v>0</v>
      </c>
      <c r="P4936">
        <v>1</v>
      </c>
      <c r="Q4936">
        <v>0</v>
      </c>
      <c r="R4936">
        <v>0</v>
      </c>
    </row>
    <row r="4937" spans="1:18" x14ac:dyDescent="0.25">
      <c r="A4937" t="s">
        <v>17</v>
      </c>
      <c r="B4937" t="s">
        <v>6</v>
      </c>
      <c r="C4937">
        <v>2</v>
      </c>
      <c r="D4937">
        <v>6</v>
      </c>
      <c r="E4937">
        <v>2</v>
      </c>
      <c r="F4937" s="15">
        <v>46195</v>
      </c>
      <c r="G4937" t="s">
        <v>607</v>
      </c>
      <c r="H4937">
        <v>4</v>
      </c>
      <c r="I4937">
        <v>2026</v>
      </c>
      <c r="J4937">
        <v>6</v>
      </c>
      <c r="K4937" t="s">
        <v>282</v>
      </c>
      <c r="L4937" t="s">
        <v>28</v>
      </c>
      <c r="M4937" t="s">
        <v>6</v>
      </c>
      <c r="N4937" t="b">
        <v>0</v>
      </c>
      <c r="O4937">
        <v>0</v>
      </c>
      <c r="P4937">
        <v>1</v>
      </c>
      <c r="Q4937">
        <v>0</v>
      </c>
      <c r="R4937">
        <v>0</v>
      </c>
    </row>
    <row r="4938" spans="1:18" x14ac:dyDescent="0.25">
      <c r="A4938" t="s">
        <v>17</v>
      </c>
      <c r="B4938" t="s">
        <v>6</v>
      </c>
      <c r="C4938">
        <v>2</v>
      </c>
      <c r="D4938">
        <v>6</v>
      </c>
      <c r="E4938">
        <v>2</v>
      </c>
      <c r="F4938" s="15">
        <v>46195</v>
      </c>
      <c r="G4938" t="s">
        <v>607</v>
      </c>
      <c r="H4938">
        <v>4</v>
      </c>
      <c r="I4938">
        <v>2026</v>
      </c>
      <c r="J4938">
        <v>6</v>
      </c>
      <c r="K4938" t="s">
        <v>282</v>
      </c>
      <c r="L4938" t="s">
        <v>15</v>
      </c>
      <c r="M4938" t="s">
        <v>8</v>
      </c>
      <c r="N4938" t="b">
        <v>0</v>
      </c>
      <c r="O4938">
        <v>0</v>
      </c>
      <c r="P4938">
        <v>1</v>
      </c>
      <c r="Q4938">
        <v>0</v>
      </c>
      <c r="R4938">
        <v>1</v>
      </c>
    </row>
    <row r="4939" spans="1:18" x14ac:dyDescent="0.25">
      <c r="A4939" t="s">
        <v>17</v>
      </c>
      <c r="B4939" t="s">
        <v>6</v>
      </c>
      <c r="C4939">
        <v>2</v>
      </c>
      <c r="D4939">
        <v>6</v>
      </c>
      <c r="E4939">
        <v>2</v>
      </c>
      <c r="F4939" s="15">
        <v>46195</v>
      </c>
      <c r="G4939" t="s">
        <v>607</v>
      </c>
      <c r="H4939">
        <v>4</v>
      </c>
      <c r="I4939">
        <v>2026</v>
      </c>
      <c r="J4939">
        <v>6</v>
      </c>
      <c r="K4939" t="s">
        <v>282</v>
      </c>
      <c r="L4939" t="s">
        <v>20</v>
      </c>
      <c r="M4939" t="s">
        <v>6</v>
      </c>
      <c r="N4939" t="b">
        <v>0</v>
      </c>
      <c r="O4939">
        <v>0</v>
      </c>
      <c r="P4939">
        <v>1</v>
      </c>
      <c r="Q4939">
        <v>0</v>
      </c>
      <c r="R4939">
        <v>0</v>
      </c>
    </row>
    <row r="4940" spans="1:18" x14ac:dyDescent="0.25">
      <c r="A4940" t="s">
        <v>15</v>
      </c>
      <c r="B4940" t="s">
        <v>8</v>
      </c>
      <c r="C4940">
        <v>3</v>
      </c>
      <c r="D4940">
        <v>6</v>
      </c>
      <c r="E4940">
        <v>2</v>
      </c>
      <c r="F4940" s="15">
        <v>46195</v>
      </c>
      <c r="G4940" t="s">
        <v>607</v>
      </c>
      <c r="H4940">
        <v>4</v>
      </c>
      <c r="I4940">
        <v>2026</v>
      </c>
      <c r="J4940">
        <v>6</v>
      </c>
      <c r="K4940" t="s">
        <v>282</v>
      </c>
      <c r="L4940" t="s">
        <v>28</v>
      </c>
      <c r="M4940" t="s">
        <v>6</v>
      </c>
      <c r="N4940" t="b">
        <v>0</v>
      </c>
      <c r="O4940">
        <v>1</v>
      </c>
      <c r="P4940">
        <v>0</v>
      </c>
      <c r="Q4940">
        <v>0</v>
      </c>
      <c r="R4940">
        <v>0</v>
      </c>
    </row>
    <row r="4941" spans="1:18" x14ac:dyDescent="0.25">
      <c r="A4941" t="s">
        <v>15</v>
      </c>
      <c r="B4941" t="s">
        <v>8</v>
      </c>
      <c r="C4941">
        <v>3</v>
      </c>
      <c r="D4941">
        <v>6</v>
      </c>
      <c r="E4941">
        <v>2</v>
      </c>
      <c r="F4941" s="15">
        <v>46195</v>
      </c>
      <c r="G4941" t="s">
        <v>607</v>
      </c>
      <c r="H4941">
        <v>4</v>
      </c>
      <c r="I4941">
        <v>2026</v>
      </c>
      <c r="J4941">
        <v>6</v>
      </c>
      <c r="K4941" t="s">
        <v>282</v>
      </c>
      <c r="L4941" t="s">
        <v>17</v>
      </c>
      <c r="M4941" t="s">
        <v>6</v>
      </c>
      <c r="N4941" t="b">
        <v>0</v>
      </c>
      <c r="O4941">
        <v>1</v>
      </c>
      <c r="P4941">
        <v>0</v>
      </c>
      <c r="Q4941">
        <v>0</v>
      </c>
      <c r="R4941">
        <v>0</v>
      </c>
    </row>
    <row r="4942" spans="1:18" x14ac:dyDescent="0.25">
      <c r="A4942" t="s">
        <v>15</v>
      </c>
      <c r="B4942" t="s">
        <v>8</v>
      </c>
      <c r="C4942">
        <v>3</v>
      </c>
      <c r="D4942">
        <v>6</v>
      </c>
      <c r="E4942">
        <v>2</v>
      </c>
      <c r="F4942" s="15">
        <v>46195</v>
      </c>
      <c r="G4942" t="s">
        <v>607</v>
      </c>
      <c r="H4942">
        <v>4</v>
      </c>
      <c r="I4942">
        <v>2026</v>
      </c>
      <c r="J4942">
        <v>6</v>
      </c>
      <c r="K4942" t="s">
        <v>282</v>
      </c>
      <c r="L4942" t="s">
        <v>20</v>
      </c>
      <c r="M4942" t="s">
        <v>6</v>
      </c>
      <c r="N4942" t="b">
        <v>0</v>
      </c>
      <c r="O4942">
        <v>1</v>
      </c>
      <c r="P4942">
        <v>0</v>
      </c>
      <c r="Q4942">
        <v>0</v>
      </c>
      <c r="R4942">
        <v>0</v>
      </c>
    </row>
    <row r="4943" spans="1:18" x14ac:dyDescent="0.25">
      <c r="A4943" t="s">
        <v>20</v>
      </c>
      <c r="B4943" t="s">
        <v>6</v>
      </c>
      <c r="C4943">
        <v>4</v>
      </c>
      <c r="D4943">
        <v>6</v>
      </c>
      <c r="E4943">
        <v>2</v>
      </c>
      <c r="F4943" s="15">
        <v>46195</v>
      </c>
      <c r="G4943" t="s">
        <v>607</v>
      </c>
      <c r="H4943">
        <v>4</v>
      </c>
      <c r="I4943">
        <v>2026</v>
      </c>
      <c r="J4943">
        <v>6</v>
      </c>
      <c r="K4943" t="s">
        <v>282</v>
      </c>
      <c r="L4943" t="s">
        <v>28</v>
      </c>
      <c r="M4943" t="s">
        <v>6</v>
      </c>
      <c r="N4943" t="b">
        <v>0</v>
      </c>
      <c r="O4943">
        <v>0</v>
      </c>
      <c r="P4943">
        <v>1</v>
      </c>
      <c r="Q4943">
        <v>0</v>
      </c>
      <c r="R4943">
        <v>0</v>
      </c>
    </row>
    <row r="4944" spans="1:18" x14ac:dyDescent="0.25">
      <c r="A4944" t="s">
        <v>20</v>
      </c>
      <c r="B4944" t="s">
        <v>6</v>
      </c>
      <c r="C4944">
        <v>4</v>
      </c>
      <c r="D4944">
        <v>6</v>
      </c>
      <c r="E4944">
        <v>2</v>
      </c>
      <c r="F4944" s="15">
        <v>46195</v>
      </c>
      <c r="G4944" t="s">
        <v>607</v>
      </c>
      <c r="H4944">
        <v>4</v>
      </c>
      <c r="I4944">
        <v>2026</v>
      </c>
      <c r="J4944">
        <v>6</v>
      </c>
      <c r="K4944" t="s">
        <v>282</v>
      </c>
      <c r="L4944" t="s">
        <v>17</v>
      </c>
      <c r="M4944" t="s">
        <v>6</v>
      </c>
      <c r="N4944" t="b">
        <v>0</v>
      </c>
      <c r="O4944">
        <v>0</v>
      </c>
      <c r="P4944">
        <v>1</v>
      </c>
      <c r="Q4944">
        <v>0</v>
      </c>
      <c r="R4944">
        <v>0</v>
      </c>
    </row>
    <row r="4945" spans="1:18" x14ac:dyDescent="0.25">
      <c r="A4945" t="s">
        <v>20</v>
      </c>
      <c r="B4945" t="s">
        <v>6</v>
      </c>
      <c r="C4945">
        <v>4</v>
      </c>
      <c r="D4945">
        <v>6</v>
      </c>
      <c r="E4945">
        <v>2</v>
      </c>
      <c r="F4945" s="15">
        <v>46195</v>
      </c>
      <c r="G4945" t="s">
        <v>607</v>
      </c>
      <c r="H4945">
        <v>4</v>
      </c>
      <c r="I4945">
        <v>2026</v>
      </c>
      <c r="J4945">
        <v>6</v>
      </c>
      <c r="K4945" t="s">
        <v>282</v>
      </c>
      <c r="L4945" t="s">
        <v>15</v>
      </c>
      <c r="M4945" t="s">
        <v>8</v>
      </c>
      <c r="N4945" t="b">
        <v>0</v>
      </c>
      <c r="O4945">
        <v>0</v>
      </c>
      <c r="P4945">
        <v>1</v>
      </c>
      <c r="Q4945">
        <v>0</v>
      </c>
      <c r="R4945">
        <v>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2026-06-24T23:51:46Z</dcterms:modified>
</cp:coreProperties>
</file>