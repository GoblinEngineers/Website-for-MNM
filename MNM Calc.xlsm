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12F637DD-8463-47CC-B47B-1012A429B514}"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Matchups!$A$1:$R$5389</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76" i="1" l="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98" i="2"/>
  <c r="H98" i="2"/>
  <c r="I98" i="2"/>
  <c r="K98" i="2"/>
  <c r="L98" i="2"/>
  <c r="M98" i="2"/>
  <c r="G102" i="2"/>
  <c r="H102" i="2"/>
  <c r="I102" i="2"/>
  <c r="K102" i="2"/>
  <c r="L102" i="2"/>
  <c r="M102" i="2"/>
  <c r="G101" i="2"/>
  <c r="H101" i="2"/>
  <c r="I101" i="2"/>
  <c r="K101" i="2"/>
  <c r="L101" i="2"/>
  <c r="M101" i="2"/>
  <c r="G100" i="2"/>
  <c r="H100" i="2"/>
  <c r="I100" i="2"/>
  <c r="K100" i="2"/>
  <c r="L100" i="2"/>
  <c r="M100" i="2"/>
  <c r="G97" i="2"/>
  <c r="H97" i="2"/>
  <c r="I97" i="2"/>
  <c r="K97" i="2"/>
  <c r="L97" i="2"/>
  <c r="M97" i="2"/>
  <c r="G95" i="2"/>
  <c r="H95" i="2"/>
  <c r="I95" i="2"/>
  <c r="K95" i="2"/>
  <c r="L95" i="2"/>
  <c r="M95" i="2"/>
  <c r="G43" i="2"/>
  <c r="H43" i="2"/>
  <c r="I43" i="2"/>
  <c r="K43" i="2"/>
  <c r="L43" i="2"/>
  <c r="M43"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66" i="2"/>
  <c r="H66" i="2"/>
  <c r="I66" i="2"/>
  <c r="K66" i="2"/>
  <c r="L66" i="2"/>
  <c r="M66" i="2"/>
  <c r="G56" i="2"/>
  <c r="H56" i="2"/>
  <c r="I56" i="2"/>
  <c r="K56" i="2"/>
  <c r="L56" i="2"/>
  <c r="M56" i="2"/>
  <c r="G20" i="2"/>
  <c r="H20" i="2"/>
  <c r="I20" i="2"/>
  <c r="K20" i="2"/>
  <c r="L20" i="2"/>
  <c r="M20" i="2"/>
  <c r="G94" i="2"/>
  <c r="H94" i="2"/>
  <c r="I94" i="2"/>
  <c r="K94" i="2"/>
  <c r="L94" i="2"/>
  <c r="M94" i="2"/>
  <c r="G92" i="2"/>
  <c r="H92" i="2"/>
  <c r="I92" i="2"/>
  <c r="K92" i="2"/>
  <c r="L92" i="2"/>
  <c r="M9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6" i="2"/>
  <c r="H96" i="2"/>
  <c r="I96" i="2"/>
  <c r="K96" i="2"/>
  <c r="L96" i="2"/>
  <c r="M9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45" i="2"/>
  <c r="H45" i="2"/>
  <c r="I45" i="2"/>
  <c r="K45" i="2"/>
  <c r="L45" i="2"/>
  <c r="M45"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35" i="2"/>
  <c r="L16" i="2"/>
  <c r="L65" i="2"/>
  <c r="G62" i="2"/>
  <c r="M54" i="2"/>
  <c r="M68" i="2"/>
  <c r="M71" i="2"/>
  <c r="I67" i="2"/>
  <c r="M103" i="2"/>
  <c r="K69" i="2"/>
  <c r="M5" i="2"/>
  <c r="G103" i="2"/>
  <c r="K62" i="2"/>
  <c r="K42" i="2"/>
  <c r="M79" i="2"/>
  <c r="H70" i="2"/>
  <c r="I31" i="2"/>
  <c r="I6" i="2"/>
  <c r="H38" i="2"/>
  <c r="M77" i="2"/>
  <c r="H6" i="2"/>
  <c r="M7" i="2"/>
  <c r="M82" i="2"/>
  <c r="M6" i="2"/>
  <c r="H58" i="2"/>
  <c r="G75" i="2"/>
  <c r="L54" i="2"/>
  <c r="K65" i="2"/>
  <c r="G72" i="2"/>
  <c r="K79" i="2"/>
  <c r="G38" i="2"/>
  <c r="L90" i="2"/>
  <c r="K23" i="2"/>
  <c r="H60" i="2"/>
  <c r="I35" i="2"/>
  <c r="M9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9" i="2"/>
  <c r="I7" i="2"/>
  <c r="I65" i="2"/>
  <c r="L37" i="2"/>
  <c r="M37" i="2"/>
  <c r="M70" i="2"/>
  <c r="G68" i="2"/>
  <c r="G60" i="2"/>
  <c r="L7" i="2"/>
  <c r="L63" i="2"/>
  <c r="M63" i="2"/>
  <c r="H15" i="2"/>
  <c r="H31" i="2"/>
  <c r="M40" i="2"/>
  <c r="M62" i="2"/>
  <c r="G67" i="2"/>
  <c r="H64" i="2"/>
  <c r="L71" i="2"/>
  <c r="H55" i="2"/>
  <c r="L50" i="2"/>
  <c r="H74" i="2"/>
  <c r="K63" i="2"/>
  <c r="G73" i="2"/>
  <c r="K67" i="2"/>
  <c r="G74" i="2"/>
  <c r="K35" i="2"/>
  <c r="I64" i="2"/>
  <c r="L31" i="2"/>
  <c r="H93" i="2"/>
  <c r="H40" i="2"/>
  <c r="L69" i="2"/>
  <c r="M65" i="2"/>
  <c r="H42" i="2"/>
  <c r="G63" i="2"/>
  <c r="H7" i="2"/>
  <c r="G65" i="2"/>
  <c r="K77" i="2"/>
  <c r="I76" i="2"/>
  <c r="I59" i="2"/>
  <c r="M31" i="2"/>
  <c r="H62" i="2"/>
  <c r="M72" i="2"/>
  <c r="I99" i="2"/>
  <c r="I57" i="2"/>
  <c r="H79" i="2"/>
  <c r="G69" i="2"/>
  <c r="I82" i="2"/>
  <c r="H67" i="2"/>
  <c r="I60" i="2"/>
  <c r="M67" i="2"/>
  <c r="H37" i="2"/>
  <c r="L15" i="2"/>
  <c r="L53" i="2"/>
  <c r="G82" i="2"/>
  <c r="L12" i="2"/>
  <c r="I75" i="2"/>
  <c r="G53" i="2"/>
  <c r="G76" i="2"/>
  <c r="L6" i="2"/>
  <c r="L48" i="2"/>
  <c r="H5" i="2"/>
  <c r="I79" i="2"/>
  <c r="L38" i="2"/>
  <c r="G58" i="2"/>
  <c r="G99" i="2"/>
  <c r="M35" i="2"/>
  <c r="K99" i="2"/>
  <c r="I103" i="2"/>
  <c r="M74" i="2"/>
  <c r="G6" i="2"/>
  <c r="K73" i="2"/>
  <c r="I69" i="2"/>
  <c r="M50" i="2"/>
  <c r="G12" i="2"/>
  <c r="I77" i="2"/>
  <c r="K71" i="2"/>
  <c r="L78" i="2"/>
  <c r="M55" i="2"/>
  <c r="H50" i="2"/>
  <c r="H103" i="2"/>
  <c r="G71" i="2"/>
  <c r="I70" i="2"/>
  <c r="M16" i="2"/>
  <c r="I90" i="2"/>
  <c r="K6" i="2"/>
  <c r="G70" i="2"/>
  <c r="I52" i="2"/>
  <c r="G7" i="2"/>
  <c r="H53" i="2"/>
  <c r="H73" i="2"/>
  <c r="L99" i="2"/>
  <c r="M78" i="2"/>
  <c r="M23" i="2"/>
  <c r="L62" i="2"/>
  <c r="L68" i="2"/>
  <c r="K55" i="2"/>
  <c r="M90" i="2"/>
  <c r="L64" i="2"/>
  <c r="G16" i="2"/>
  <c r="M42" i="2"/>
  <c r="L72" i="2"/>
  <c r="L67" i="2"/>
  <c r="I62" i="2"/>
  <c r="K52" i="2"/>
  <c r="G93" i="2"/>
  <c r="G90" i="2"/>
  <c r="G15" i="2"/>
  <c r="M12" i="2"/>
  <c r="M61" i="2"/>
  <c r="G57" i="2"/>
  <c r="L93" i="2"/>
  <c r="K61" i="2"/>
  <c r="G54" i="2"/>
  <c r="L59" i="2"/>
  <c r="K40" i="2"/>
  <c r="L57" i="2"/>
  <c r="I16" i="2"/>
  <c r="G78" i="2"/>
  <c r="K74" i="2"/>
  <c r="K54" i="2"/>
  <c r="G40" i="2"/>
  <c r="L52" i="2"/>
  <c r="H75" i="2"/>
  <c r="M60" i="2"/>
  <c r="I55" i="2"/>
  <c r="G35" i="2"/>
  <c r="I68" i="2"/>
  <c r="L75" i="2"/>
  <c r="K16" i="2"/>
  <c r="K93" i="2"/>
  <c r="H12" i="2"/>
  <c r="M48" i="2"/>
  <c r="M69" i="2"/>
  <c r="G23" i="2"/>
  <c r="K38" i="2"/>
  <c r="K12" i="2"/>
  <c r="H54" i="2"/>
  <c r="M99" i="2"/>
  <c r="L40" i="2"/>
  <c r="I53" i="2"/>
  <c r="I48" i="2"/>
  <c r="K57" i="2"/>
  <c r="G55" i="2"/>
  <c r="M38" i="2"/>
  <c r="L82" i="2"/>
  <c r="H65" i="2"/>
  <c r="I93" i="2"/>
  <c r="G79" i="2"/>
  <c r="I74" i="2"/>
  <c r="L73" i="2"/>
  <c r="K50" i="2"/>
  <c r="H71" i="2"/>
  <c r="L61" i="2"/>
  <c r="G5" i="2"/>
  <c r="K5" i="2"/>
  <c r="M57" i="2"/>
  <c r="G31" i="2"/>
  <c r="L70" i="2"/>
  <c r="G64" i="2"/>
  <c r="G37" i="2"/>
  <c r="M64" i="2"/>
  <c r="K82" i="2"/>
  <c r="M59" i="2"/>
  <c r="K37" i="2"/>
  <c r="I40" i="2"/>
  <c r="L42" i="2"/>
  <c r="H16" i="2"/>
  <c r="H63" i="2"/>
  <c r="I23" i="2"/>
  <c r="H35" i="2"/>
  <c r="M58" i="2"/>
  <c r="I12" i="2"/>
  <c r="K75" i="2"/>
  <c r="K15" i="2"/>
  <c r="K70" i="2"/>
  <c r="L5" i="2"/>
  <c r="H82" i="2"/>
  <c r="K90" i="2"/>
  <c r="M52" i="2"/>
  <c r="G59" i="2"/>
  <c r="H61" i="2"/>
  <c r="H69" i="2"/>
  <c r="K60" i="2"/>
  <c r="H90" i="2"/>
  <c r="I38" i="2"/>
  <c r="H78" i="2"/>
  <c r="L103" i="2"/>
  <c r="I58" i="2"/>
  <c r="H23" i="2"/>
  <c r="I15" i="2"/>
  <c r="I72" i="2"/>
  <c r="G42" i="2"/>
  <c r="K103" i="2"/>
  <c r="K58" i="2"/>
  <c r="K59" i="2"/>
  <c r="M75" i="2"/>
  <c r="K72" i="2"/>
  <c r="K48" i="2"/>
  <c r="K53" i="2"/>
  <c r="K31" i="2"/>
  <c r="M53" i="2"/>
  <c r="K68" i="2"/>
  <c r="G52" i="2"/>
  <c r="K76" i="2"/>
  <c r="I42" i="2"/>
  <c r="J104" i="2" l="1"/>
  <c r="N104" i="2"/>
  <c r="O104" i="2"/>
  <c r="J13" i="2"/>
  <c r="N13" i="2"/>
  <c r="O13" i="2"/>
  <c r="J98" i="2"/>
  <c r="N98" i="2"/>
  <c r="O98" i="2" s="1"/>
  <c r="J102" i="2"/>
  <c r="N102" i="2"/>
  <c r="O102" i="2" s="1"/>
  <c r="J101" i="2"/>
  <c r="N101" i="2"/>
  <c r="O101" i="2" s="1"/>
  <c r="J100" i="2"/>
  <c r="N100" i="2"/>
  <c r="O100" i="2" s="1"/>
  <c r="J97" i="2"/>
  <c r="N97" i="2"/>
  <c r="O97" i="2" s="1"/>
  <c r="J95" i="2"/>
  <c r="N95" i="2"/>
  <c r="O95" i="2" s="1"/>
  <c r="H55" i="14"/>
  <c r="J43" i="2"/>
  <c r="N43" i="2"/>
  <c r="O43" i="2" s="1"/>
  <c r="J66" i="2"/>
  <c r="N66" i="2"/>
  <c r="O66" i="2" s="1"/>
  <c r="J56" i="2"/>
  <c r="N56" i="2"/>
  <c r="O56" i="2" s="1"/>
  <c r="J20" i="2"/>
  <c r="N20" i="2"/>
  <c r="O20" i="2" s="1"/>
  <c r="J94" i="2"/>
  <c r="N94" i="2"/>
  <c r="O94" i="2" s="1"/>
  <c r="J92" i="2"/>
  <c r="N92" i="2"/>
  <c r="O92" i="2" s="1"/>
  <c r="G55" i="14"/>
  <c r="J80" i="2"/>
  <c r="F80" i="2" s="1"/>
  <c r="N80" i="2"/>
  <c r="O80" i="2" s="1"/>
  <c r="J51" i="2"/>
  <c r="F51" i="2" s="1"/>
  <c r="N51" i="2"/>
  <c r="J85" i="2"/>
  <c r="F85" i="2" s="1"/>
  <c r="N85" i="2"/>
  <c r="J84" i="2"/>
  <c r="F84" i="2" s="1"/>
  <c r="N84" i="2"/>
  <c r="O84" i="2" s="1"/>
  <c r="J96" i="2"/>
  <c r="F96" i="2" s="1"/>
  <c r="N96" i="2"/>
  <c r="H53" i="14"/>
  <c r="J91" i="2"/>
  <c r="F91" i="2" s="1"/>
  <c r="N91" i="2"/>
  <c r="J89" i="2"/>
  <c r="N89" i="2"/>
  <c r="O89" i="2" s="1"/>
  <c r="J88" i="2"/>
  <c r="N88" i="2"/>
  <c r="J87" i="2"/>
  <c r="N87" i="2"/>
  <c r="J86" i="2"/>
  <c r="N86" i="2"/>
  <c r="J49" i="2"/>
  <c r="N49" i="2"/>
  <c r="O49" i="2" s="1"/>
  <c r="J47" i="2"/>
  <c r="N47" i="2"/>
  <c r="O47" i="2" s="1"/>
  <c r="J45" i="2"/>
  <c r="N45" i="2"/>
  <c r="J81" i="2"/>
  <c r="N81" i="2"/>
  <c r="O81" i="2" s="1"/>
  <c r="N99" i="2"/>
  <c r="O99" i="2" s="1"/>
  <c r="J99" i="2"/>
  <c r="F99" i="2" s="1"/>
  <c r="H52" i="14"/>
  <c r="N31" i="2"/>
  <c r="O31" i="2" s="1"/>
  <c r="J31" i="2"/>
  <c r="F31" i="2" s="1"/>
  <c r="N16" i="2"/>
  <c r="O16" i="2" s="1"/>
  <c r="J16" i="2"/>
  <c r="F16"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12" i="2"/>
  <c r="O12" i="2" s="1"/>
  <c r="J12" i="2"/>
  <c r="F12" i="2" s="1"/>
  <c r="N62" i="2"/>
  <c r="O62" i="2" s="1"/>
  <c r="J62" i="2"/>
  <c r="F62" i="2" s="1"/>
  <c r="N61" i="2"/>
  <c r="O61" i="2" s="1"/>
  <c r="J61" i="2"/>
  <c r="F61" i="2" s="1"/>
  <c r="N60" i="2"/>
  <c r="O60" i="2" s="1"/>
  <c r="J60" i="2"/>
  <c r="F60" i="2" s="1"/>
  <c r="N82" i="2"/>
  <c r="O82" i="2" s="1"/>
  <c r="J82" i="2"/>
  <c r="F82" i="2" s="1"/>
  <c r="N59" i="2"/>
  <c r="O59" i="2" s="1"/>
  <c r="J59" i="2"/>
  <c r="F59" i="2" s="1"/>
  <c r="N58" i="2"/>
  <c r="O58" i="2" s="1"/>
  <c r="J58" i="2"/>
  <c r="F58" i="2" s="1"/>
  <c r="N57" i="2"/>
  <c r="O57" i="2" s="1"/>
  <c r="J57" i="2"/>
  <c r="F57" i="2" s="1"/>
  <c r="N93" i="2"/>
  <c r="O93" i="2" s="1"/>
  <c r="J93" i="2"/>
  <c r="F93"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35" i="2"/>
  <c r="O35" i="2" s="1"/>
  <c r="J35" i="2"/>
  <c r="F35" i="2" s="1"/>
  <c r="N103" i="2"/>
  <c r="O103" i="2" s="1"/>
  <c r="J103" i="2"/>
  <c r="F103"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90" i="2"/>
  <c r="O90" i="2" s="1"/>
  <c r="J90" i="2"/>
  <c r="F90"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1876"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10" i="2"/>
  <c r="I25" i="2"/>
  <c r="C6" i="5"/>
  <c r="H33" i="2"/>
  <c r="G17" i="2"/>
  <c r="M14" i="2"/>
  <c r="M8" i="2"/>
  <c r="M32" i="2"/>
  <c r="I11" i="2"/>
  <c r="G14" i="2"/>
  <c r="H25" i="2"/>
  <c r="K24" i="2"/>
  <c r="G30" i="2"/>
  <c r="M83" i="2"/>
  <c r="L11" i="2"/>
  <c r="M33" i="2"/>
  <c r="L10" i="2"/>
  <c r="L44" i="2"/>
  <c r="L22" i="2"/>
  <c r="H26" i="2"/>
  <c r="G10" i="2"/>
  <c r="I9" i="2"/>
  <c r="H10" i="2"/>
  <c r="I10" i="2"/>
  <c r="G83" i="2"/>
  <c r="M27" i="2"/>
  <c r="I29" i="2"/>
  <c r="L21" i="2"/>
  <c r="K21" i="2"/>
  <c r="C9" i="5"/>
  <c r="K32" i="2"/>
  <c r="H46" i="2"/>
  <c r="I24" i="2"/>
  <c r="G22" i="2"/>
  <c r="H24" i="2"/>
  <c r="H9" i="2"/>
  <c r="K26" i="2"/>
  <c r="L26" i="2"/>
  <c r="H21" i="2"/>
  <c r="K29" i="2"/>
  <c r="G36" i="2"/>
  <c r="I19" i="2"/>
  <c r="H22" i="2"/>
  <c r="M30" i="2"/>
  <c r="L24" i="2"/>
  <c r="L14" i="2"/>
  <c r="M34" i="2"/>
  <c r="M29" i="2"/>
  <c r="G25" i="2"/>
  <c r="K11" i="2"/>
  <c r="K27" i="2"/>
  <c r="I14" i="2"/>
  <c r="G46" i="2"/>
  <c r="M22" i="2"/>
  <c r="H36" i="2"/>
  <c r="K41" i="2"/>
  <c r="I36" i="2"/>
  <c r="I30" i="2"/>
  <c r="C5" i="5"/>
  <c r="I18" i="2"/>
  <c r="M39" i="2"/>
  <c r="G32" i="2"/>
  <c r="G27" i="2"/>
  <c r="G39" i="2"/>
  <c r="I21" i="2"/>
  <c r="M46" i="2"/>
  <c r="K83" i="2"/>
  <c r="I39" i="2"/>
  <c r="G11" i="2"/>
  <c r="H28" i="2"/>
  <c r="L8" i="2"/>
  <c r="G29" i="2"/>
  <c r="M9" i="2"/>
  <c r="L41" i="2"/>
  <c r="L18" i="2"/>
  <c r="G34" i="2"/>
  <c r="I27" i="2"/>
  <c r="L29" i="2"/>
  <c r="K9" i="2"/>
  <c r="I44" i="2"/>
  <c r="M24" i="2"/>
  <c r="G18" i="2"/>
  <c r="M11" i="2"/>
  <c r="H83" i="2"/>
  <c r="G8" i="2"/>
  <c r="H17" i="2"/>
  <c r="G21" i="2"/>
  <c r="M41" i="2"/>
  <c r="K25" i="2"/>
  <c r="M10" i="2"/>
  <c r="L17" i="2"/>
  <c r="H18" i="2"/>
  <c r="H32" i="2"/>
  <c r="I26" i="2"/>
  <c r="K17" i="2"/>
  <c r="M17" i="2"/>
  <c r="H34" i="2"/>
  <c r="L33" i="2"/>
  <c r="I22" i="2"/>
  <c r="C16" i="5"/>
  <c r="I33" i="2"/>
  <c r="I17" i="2"/>
  <c r="M21" i="2"/>
  <c r="K30" i="2"/>
  <c r="K36" i="2"/>
  <c r="I28" i="2"/>
  <c r="K14" i="2"/>
  <c r="H14" i="2"/>
  <c r="H29" i="2"/>
  <c r="L36" i="2"/>
  <c r="H11" i="2"/>
  <c r="M26" i="2"/>
  <c r="C7" i="5"/>
  <c r="K8" i="2"/>
  <c r="C10" i="5"/>
  <c r="G24" i="2"/>
  <c r="K39" i="2"/>
  <c r="I34" i="2"/>
  <c r="H44" i="2"/>
  <c r="G33" i="2"/>
  <c r="L32" i="2"/>
  <c r="K22" i="2"/>
  <c r="G41" i="2"/>
  <c r="L83" i="2"/>
  <c r="H27" i="2"/>
  <c r="M44" i="2"/>
  <c r="I8" i="2"/>
  <c r="M18" i="2"/>
  <c r="L9" i="2"/>
  <c r="G9" i="2"/>
  <c r="M19" i="2"/>
  <c r="L39" i="2"/>
  <c r="L25" i="2"/>
  <c r="L27" i="2"/>
  <c r="H19" i="2"/>
  <c r="H8" i="2"/>
  <c r="K28" i="2"/>
  <c r="K44" i="2"/>
  <c r="M28" i="2"/>
  <c r="H30" i="2"/>
  <c r="K34" i="2"/>
  <c r="C8" i="5"/>
  <c r="L19" i="2"/>
  <c r="G44" i="2"/>
  <c r="I32" i="2"/>
  <c r="K33" i="2"/>
  <c r="G26" i="2"/>
  <c r="G19" i="2"/>
  <c r="L30" i="2"/>
  <c r="I83" i="2"/>
  <c r="K46" i="2"/>
  <c r="I46" i="2"/>
  <c r="G28" i="2"/>
  <c r="L28" i="2"/>
  <c r="K18" i="2"/>
  <c r="M25" i="2"/>
  <c r="M36" i="2"/>
  <c r="H1875" i="1" l="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98" i="2"/>
  <c r="E98" i="2"/>
  <c r="F102" i="2"/>
  <c r="E102" i="2"/>
  <c r="F101" i="2"/>
  <c r="E101" i="2"/>
  <c r="F100" i="2"/>
  <c r="E100" i="2"/>
  <c r="F97" i="2"/>
  <c r="E97" i="2"/>
  <c r="F95" i="2"/>
  <c r="E95" i="2"/>
  <c r="F43" i="2"/>
  <c r="E43"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66" i="2"/>
  <c r="E66" i="2"/>
  <c r="F56" i="2"/>
  <c r="E56" i="2"/>
  <c r="F20" i="2"/>
  <c r="E20" i="2"/>
  <c r="F94" i="2"/>
  <c r="E94" i="2"/>
  <c r="F92" i="2"/>
  <c r="E9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45"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96" i="2"/>
  <c r="E9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45" i="2"/>
  <c r="E45"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6" i="2"/>
  <c r="E79" i="2"/>
  <c r="E78" i="2"/>
  <c r="E77" i="2"/>
  <c r="E76" i="2"/>
  <c r="E75" i="2"/>
  <c r="E74" i="2"/>
  <c r="E73" i="2"/>
  <c r="E72" i="2"/>
  <c r="E71" i="2"/>
  <c r="E70" i="2"/>
  <c r="E69" i="2"/>
  <c r="E68" i="2"/>
  <c r="E67" i="2"/>
  <c r="E6" i="2"/>
  <c r="E65" i="2"/>
  <c r="E64" i="2"/>
  <c r="E63" i="2"/>
  <c r="E12" i="2"/>
  <c r="E62" i="2"/>
  <c r="E61" i="2"/>
  <c r="E60" i="2"/>
  <c r="E82" i="2"/>
  <c r="E59" i="2"/>
  <c r="E58" i="2"/>
  <c r="E57" i="2"/>
  <c r="E93" i="2"/>
  <c r="E55" i="2"/>
  <c r="E54" i="2"/>
  <c r="E53" i="2"/>
  <c r="E52" i="2"/>
  <c r="E5" i="2"/>
  <c r="E50" i="2"/>
  <c r="E35" i="2"/>
  <c r="E103"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90"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30" i="2"/>
  <c r="O30" i="2" s="1"/>
  <c r="J11" i="2"/>
  <c r="F11" i="2" s="1"/>
  <c r="J9" i="2"/>
  <c r="F9" i="2" s="1"/>
  <c r="J41" i="2"/>
  <c r="F41" i="2" s="1"/>
  <c r="J18" i="2"/>
  <c r="F18" i="2" s="1"/>
  <c r="J22" i="2"/>
  <c r="F22" i="2" s="1"/>
  <c r="N9" i="2"/>
  <c r="O9" i="2" s="1"/>
  <c r="N11" i="2"/>
  <c r="O11" i="2" s="1"/>
  <c r="N39" i="2"/>
  <c r="O39" i="2" s="1"/>
  <c r="N14" i="2"/>
  <c r="O14" i="2" s="1"/>
  <c r="J32" i="2"/>
  <c r="F32" i="2" s="1"/>
  <c r="N44" i="2"/>
  <c r="O44"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8" i="2"/>
  <c r="O8" i="2" s="1"/>
  <c r="N18" i="2"/>
  <c r="O18" i="2" s="1"/>
  <c r="N36" i="2"/>
  <c r="O36" i="2" s="1"/>
  <c r="N83" i="2"/>
  <c r="O83" i="2" s="1"/>
  <c r="N32" i="2"/>
  <c r="O32" i="2" s="1"/>
  <c r="N10" i="2"/>
  <c r="O10"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4" i="2"/>
  <c r="F14" i="2" s="1"/>
  <c r="J30" i="2"/>
  <c r="F30" i="2" s="1"/>
  <c r="J8" i="2"/>
  <c r="F8" i="2" s="1"/>
  <c r="J21" i="2"/>
  <c r="F21" i="2" s="1"/>
  <c r="J10" i="2"/>
  <c r="F10" i="2" s="1"/>
  <c r="J83" i="2"/>
  <c r="F83" i="2" s="1"/>
  <c r="J44" i="2"/>
  <c r="F44" i="2" s="1"/>
  <c r="C13" i="5"/>
  <c r="D9" i="5"/>
  <c r="G20" i="5"/>
  <c r="G17" i="5"/>
  <c r="G19" i="5"/>
  <c r="G16" i="5"/>
  <c r="G18" i="5"/>
  <c r="G21" i="5" s="1"/>
  <c r="P104" i="2" l="1"/>
  <c r="P13" i="2"/>
  <c r="P98" i="2"/>
  <c r="P102" i="2"/>
  <c r="P101" i="2"/>
  <c r="P100" i="2"/>
  <c r="P97" i="2"/>
  <c r="P95" i="2"/>
  <c r="P43" i="2"/>
  <c r="P66" i="2"/>
  <c r="P56" i="2"/>
  <c r="P20" i="2"/>
  <c r="P94" i="2"/>
  <c r="P92" i="2"/>
  <c r="P80" i="2"/>
  <c r="P51" i="2"/>
  <c r="P85" i="2"/>
  <c r="P84" i="2"/>
  <c r="P96" i="2"/>
  <c r="P91" i="2"/>
  <c r="P89" i="2"/>
  <c r="P88" i="2"/>
  <c r="P87" i="2"/>
  <c r="P86" i="2"/>
  <c r="P47" i="2"/>
  <c r="P49" i="2"/>
  <c r="P45" i="2"/>
  <c r="P81" i="2"/>
  <c r="P99" i="2"/>
  <c r="P31" i="2"/>
  <c r="P79" i="2"/>
  <c r="P16" i="2"/>
  <c r="P77" i="2"/>
  <c r="P78" i="2"/>
  <c r="P75" i="2"/>
  <c r="P76" i="2"/>
  <c r="P73" i="2"/>
  <c r="P74" i="2"/>
  <c r="P72" i="2"/>
  <c r="P69" i="2"/>
  <c r="P71" i="2"/>
  <c r="P70" i="2"/>
  <c r="P67" i="2"/>
  <c r="P68" i="2"/>
  <c r="P65" i="2"/>
  <c r="P6" i="2"/>
  <c r="P63" i="2"/>
  <c r="P64" i="2"/>
  <c r="P62" i="2"/>
  <c r="P12" i="2"/>
  <c r="P60" i="2"/>
  <c r="P61" i="2"/>
  <c r="P59" i="2"/>
  <c r="P82" i="2"/>
  <c r="P57" i="2"/>
  <c r="P58" i="2"/>
  <c r="P55" i="2"/>
  <c r="P93" i="2"/>
  <c r="P53" i="2"/>
  <c r="P54" i="2"/>
  <c r="P5" i="2"/>
  <c r="P52" i="2"/>
  <c r="P35" i="2"/>
  <c r="P50" i="2"/>
  <c r="P48" i="2"/>
  <c r="P103" i="2"/>
  <c r="P42" i="2"/>
  <c r="P40" i="2"/>
  <c r="E11" i="2"/>
  <c r="P37" i="2"/>
  <c r="P38" i="2"/>
  <c r="E34" i="2"/>
  <c r="E26" i="2"/>
  <c r="E32" i="2"/>
  <c r="P23" i="2"/>
  <c r="P7" i="2"/>
  <c r="P90" i="2"/>
  <c r="E9" i="2"/>
  <c r="E18" i="2"/>
  <c r="E27" i="2"/>
  <c r="E41" i="2"/>
  <c r="E46" i="2"/>
  <c r="P15" i="2"/>
  <c r="E29" i="2"/>
  <c r="E39" i="2"/>
  <c r="E19" i="2"/>
  <c r="E28" i="2"/>
  <c r="E22" i="2"/>
  <c r="E17" i="2"/>
  <c r="E33" i="2"/>
  <c r="E24" i="2"/>
  <c r="E25" i="2"/>
  <c r="P25" i="2"/>
  <c r="P34" i="2"/>
  <c r="P17" i="2"/>
  <c r="P33" i="2"/>
  <c r="P24" i="2"/>
  <c r="P32" i="2"/>
  <c r="P26" i="2"/>
  <c r="P39" i="2"/>
  <c r="P22" i="2"/>
  <c r="P9" i="2"/>
  <c r="P29" i="2"/>
  <c r="P11" i="2"/>
  <c r="P28" i="2"/>
  <c r="P19" i="2"/>
  <c r="P46" i="2"/>
  <c r="P41" i="2"/>
  <c r="P18" i="2"/>
  <c r="P27" i="2"/>
  <c r="E83" i="2"/>
  <c r="E14" i="2"/>
  <c r="E36" i="2"/>
  <c r="E10" i="2"/>
  <c r="E8" i="2"/>
  <c r="E21" i="2"/>
  <c r="E44"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30" i="2"/>
  <c r="D10" i="5"/>
  <c r="D7" i="5"/>
  <c r="D6" i="5"/>
  <c r="D5" i="5"/>
  <c r="C14" i="5"/>
  <c r="D104" i="2" l="1"/>
  <c r="C104" i="2" s="1"/>
  <c r="D13" i="2"/>
  <c r="C13" i="2" s="1"/>
  <c r="D98" i="2"/>
  <c r="C98" i="2" s="1"/>
  <c r="D102" i="2"/>
  <c r="C102" i="2" s="1"/>
  <c r="D101" i="2"/>
  <c r="C101" i="2" s="1"/>
  <c r="D100" i="2"/>
  <c r="C100" i="2" s="1"/>
  <c r="D97" i="2"/>
  <c r="C97" i="2" s="1"/>
  <c r="D95" i="2"/>
  <c r="C95" i="2" s="1"/>
  <c r="D43" i="2"/>
  <c r="C43" i="2" s="1"/>
  <c r="D66" i="2"/>
  <c r="C66" i="2" s="1"/>
  <c r="D56" i="2"/>
  <c r="C56" i="2" s="1"/>
  <c r="D20" i="2"/>
  <c r="C20" i="2" s="1"/>
  <c r="D92" i="2"/>
  <c r="C92" i="2" s="1"/>
  <c r="D94" i="2"/>
  <c r="C94" i="2" s="1"/>
  <c r="D80" i="2"/>
  <c r="C80" i="2" s="1"/>
  <c r="D85" i="2"/>
  <c r="C85" i="2" s="1"/>
  <c r="D51" i="2"/>
  <c r="C51" i="2" s="1"/>
  <c r="D96" i="2"/>
  <c r="C96" i="2" s="1"/>
  <c r="D84" i="2"/>
  <c r="C84" i="2" s="1"/>
  <c r="D91" i="2"/>
  <c r="C91" i="2" s="1"/>
  <c r="D89" i="2"/>
  <c r="C89" i="2" s="1"/>
  <c r="D88" i="2"/>
  <c r="C88" i="2" s="1"/>
  <c r="D87" i="2"/>
  <c r="C87" i="2" s="1"/>
  <c r="D86" i="2"/>
  <c r="C86" i="2" s="1"/>
  <c r="D47" i="2"/>
  <c r="C47" i="2" s="1"/>
  <c r="D49" i="2"/>
  <c r="C49" i="2" s="1"/>
  <c r="D81" i="2"/>
  <c r="C81" i="2" s="1"/>
  <c r="D45" i="2"/>
  <c r="C45" i="2" s="1"/>
  <c r="D99" i="2"/>
  <c r="C99" i="2" s="1"/>
  <c r="D16" i="2"/>
  <c r="C16"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12" i="2"/>
  <c r="C12" i="2" s="1"/>
  <c r="D63" i="2"/>
  <c r="C63" i="2" s="1"/>
  <c r="D61" i="2"/>
  <c r="C61" i="2" s="1"/>
  <c r="D62" i="2"/>
  <c r="C62" i="2" s="1"/>
  <c r="D60" i="2"/>
  <c r="C60" i="2" s="1"/>
  <c r="D59" i="2"/>
  <c r="C59" i="2" s="1"/>
  <c r="D82" i="2"/>
  <c r="C82" i="2" s="1"/>
  <c r="D57" i="2"/>
  <c r="C57" i="2" s="1"/>
  <c r="D58" i="2"/>
  <c r="C58" i="2" s="1"/>
  <c r="D55" i="2"/>
  <c r="C55" i="2" s="1"/>
  <c r="D93" i="2"/>
  <c r="C93" i="2" s="1"/>
  <c r="D53" i="2"/>
  <c r="C53" i="2" s="1"/>
  <c r="D54" i="2"/>
  <c r="C54" i="2" s="1"/>
  <c r="D5" i="2"/>
  <c r="C5" i="2" s="1"/>
  <c r="D52" i="2"/>
  <c r="C52" i="2" s="1"/>
  <c r="D35" i="2"/>
  <c r="C35" i="2" s="1"/>
  <c r="D50" i="2"/>
  <c r="C50" i="2" s="1"/>
  <c r="D48" i="2"/>
  <c r="C48" i="2" s="1"/>
  <c r="D103" i="2"/>
  <c r="C103" i="2" s="1"/>
  <c r="D42" i="2"/>
  <c r="C42" i="2" s="1"/>
  <c r="D40" i="2"/>
  <c r="C40" i="2" s="1"/>
  <c r="D38" i="2"/>
  <c r="C38" i="2" s="1"/>
  <c r="D37" i="2"/>
  <c r="C37" i="2" s="1"/>
  <c r="D23" i="2"/>
  <c r="C23" i="2" s="1"/>
  <c r="D7" i="2"/>
  <c r="C7" i="2" s="1"/>
  <c r="D90" i="2"/>
  <c r="C90" i="2" s="1"/>
  <c r="D15" i="2"/>
  <c r="C15" i="2" s="1"/>
  <c r="D25" i="2"/>
  <c r="C25" i="2" s="1"/>
  <c r="D34" i="2"/>
  <c r="C34" i="2" s="1"/>
  <c r="D17" i="2"/>
  <c r="C17" i="2" s="1"/>
  <c r="D33" i="2"/>
  <c r="C33" i="2" s="1"/>
  <c r="D24" i="2"/>
  <c r="C24" i="2" s="1"/>
  <c r="D32" i="2"/>
  <c r="C32" i="2" s="1"/>
  <c r="D26" i="2"/>
  <c r="C26" i="2" s="1"/>
  <c r="D39" i="2"/>
  <c r="C39" i="2" s="1"/>
  <c r="D22" i="2"/>
  <c r="C22" i="2" s="1"/>
  <c r="D9" i="2"/>
  <c r="C9" i="2" s="1"/>
  <c r="D28" i="2"/>
  <c r="C28" i="2" s="1"/>
  <c r="D29" i="2"/>
  <c r="C29" i="2" s="1"/>
  <c r="D11" i="2"/>
  <c r="C11" i="2" s="1"/>
  <c r="D19" i="2"/>
  <c r="C19" i="2" s="1"/>
  <c r="D46" i="2"/>
  <c r="C46" i="2" s="1"/>
  <c r="D41" i="2"/>
  <c r="C41" i="2" s="1"/>
  <c r="D18" i="2"/>
  <c r="C18" i="2" s="1"/>
  <c r="D27" i="2"/>
  <c r="C27" i="2" s="1"/>
  <c r="C15" i="5"/>
  <c r="D36" i="2"/>
  <c r="D30" i="2"/>
  <c r="D10" i="2"/>
  <c r="D21" i="2"/>
  <c r="D44" i="2"/>
  <c r="D14" i="2"/>
  <c r="D8" i="2"/>
  <c r="D83" i="2"/>
  <c r="G7" i="5"/>
  <c r="G5" i="5"/>
  <c r="G8" i="5" s="1"/>
  <c r="G6" i="5"/>
  <c r="G13" i="5"/>
  <c r="P21" i="2" l="1"/>
  <c r="C21" i="2" s="1"/>
  <c r="P44" i="2"/>
  <c r="C44" i="2" s="1"/>
  <c r="P30" i="2"/>
  <c r="C30" i="2" s="1"/>
  <c r="P10" i="2"/>
  <c r="C10" i="2" s="1"/>
  <c r="P36" i="2"/>
  <c r="C36" i="2" s="1"/>
  <c r="P8" i="2"/>
  <c r="C8" i="2" s="1"/>
  <c r="P14" i="2"/>
  <c r="C14" i="2" s="1"/>
  <c r="P83" i="2"/>
  <c r="C8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<sst xmlns="http://schemas.openxmlformats.org/spreadsheetml/2006/main" count="36402" uniqueCount="653">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</sst>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24.403280671293" createdVersion="8" refreshedVersion="8" minRefreshableVersion="3" recordCount="5304"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14T00:00:00" count="51">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14T00:00:00"/>
        <groupItems count="14">
          <s v="&lt;7/21/2025"/>
          <s v="Jan"/>
          <s v="Feb"/>
          <s v="Mar"/>
          <s v="Apr"/>
          <s v="May"/>
          <s v="Jun"/>
          <s v="Jul"/>
          <s v="Aug"/>
          <s v="Sep"/>
          <s v="Oct"/>
          <s v="Nov"/>
          <s v="Dec"/>
          <s v="&gt;7/14/2026"/>
        </groupItems>
      </fieldGroup>
    </cacheField>
    <cacheField name="Quarters (Date)" numFmtId="0" databaseField="0">
      <fieldGroup base="5">
        <rangePr groupBy="quarters" startDate="2025-07-21T00:00:00" endDate="2026-07-14T00:00:00"/>
        <groupItems count="6">
          <s v="&lt;7/21/2025"/>
          <s v="Qtr1"/>
          <s v="Qtr2"/>
          <s v="Qtr3"/>
          <s v="Qtr4"/>
          <s v="&gt;7/14/2026"/>
        </groupItems>
      </fieldGroup>
    </cacheField>
    <cacheField name="Years (Date)" numFmtId="0" databaseField="0">
      <fieldGroup base="5">
        <rangePr groupBy="years" startDate="2025-07-21T00:00:00" endDate="2026-07-14T00:00:00"/>
        <groupItems count="4">
          <s v="&lt;7/21/2025"/>
          <s v="2025"/>
          <s v="2026"/>
          <s v="&gt;7/14/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24.403280902778" createdVersion="8" refreshedVersion="8" minRefreshableVersion="3" recordCount="1875"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21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0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Current"/>
    <x v="90"/>
    <s v="Draw"/>
    <b v="0"/>
    <n v="0"/>
    <n v="0"/>
    <n v="1"/>
    <n v="0"/>
  </r>
  <r>
    <x v="5"/>
    <s v="Draw"/>
    <n v="1"/>
    <n v="1"/>
    <n v="1"/>
    <x v="50"/>
    <s v="1|19000101|46216"/>
    <n v="4"/>
    <n v="2026"/>
    <n v="7"/>
    <s v="Current"/>
    <x v="17"/>
    <s v="Draw"/>
    <b v="0"/>
    <n v="0"/>
    <n v="0"/>
    <n v="1"/>
    <n v="0"/>
  </r>
  <r>
    <x v="5"/>
    <s v="Draw"/>
    <n v="1"/>
    <n v="1"/>
    <n v="1"/>
    <x v="50"/>
    <s v="1|19000101|46216"/>
    <n v="4"/>
    <n v="2026"/>
    <n v="7"/>
    <s v="Current"/>
    <x v="2"/>
    <s v="Draw"/>
    <b v="0"/>
    <n v="0"/>
    <n v="0"/>
    <n v="1"/>
    <n v="0"/>
  </r>
  <r>
    <x v="90"/>
    <s v="Draw"/>
    <n v="2"/>
    <n v="1"/>
    <n v="1"/>
    <x v="50"/>
    <s v="1|19000101|46216"/>
    <n v="4"/>
    <n v="2026"/>
    <n v="7"/>
    <s v="Current"/>
    <x v="5"/>
    <s v="Draw"/>
    <b v="0"/>
    <n v="0"/>
    <n v="0"/>
    <n v="1"/>
    <n v="0"/>
  </r>
  <r>
    <x v="90"/>
    <s v="Draw"/>
    <n v="2"/>
    <n v="1"/>
    <n v="1"/>
    <x v="50"/>
    <s v="1|19000101|46216"/>
    <n v="4"/>
    <n v="2026"/>
    <n v="7"/>
    <s v="Current"/>
    <x v="17"/>
    <s v="Draw"/>
    <b v="0"/>
    <n v="0"/>
    <n v="0"/>
    <n v="1"/>
    <n v="0"/>
  </r>
  <r>
    <x v="90"/>
    <s v="Draw"/>
    <n v="2"/>
    <n v="1"/>
    <n v="1"/>
    <x v="50"/>
    <s v="1|19000101|46216"/>
    <n v="4"/>
    <n v="2026"/>
    <n v="7"/>
    <s v="Current"/>
    <x v="2"/>
    <s v="Draw"/>
    <b v="0"/>
    <n v="0"/>
    <n v="0"/>
    <n v="1"/>
    <n v="0"/>
  </r>
  <r>
    <x v="17"/>
    <s v="Draw"/>
    <n v="3"/>
    <n v="1"/>
    <n v="1"/>
    <x v="50"/>
    <s v="1|19000101|46216"/>
    <n v="4"/>
    <n v="2026"/>
    <n v="7"/>
    <s v="Current"/>
    <x v="5"/>
    <s v="Draw"/>
    <b v="0"/>
    <n v="0"/>
    <n v="0"/>
    <n v="1"/>
    <n v="0"/>
  </r>
  <r>
    <x v="17"/>
    <s v="Draw"/>
    <n v="3"/>
    <n v="1"/>
    <n v="1"/>
    <x v="50"/>
    <s v="1|19000101|46216"/>
    <n v="4"/>
    <n v="2026"/>
    <n v="7"/>
    <s v="Current"/>
    <x v="90"/>
    <s v="Draw"/>
    <b v="0"/>
    <n v="0"/>
    <n v="0"/>
    <n v="1"/>
    <n v="0"/>
  </r>
  <r>
    <x v="17"/>
    <s v="Draw"/>
    <n v="3"/>
    <n v="1"/>
    <n v="1"/>
    <x v="50"/>
    <s v="1|19000101|46216"/>
    <n v="4"/>
    <n v="2026"/>
    <n v="7"/>
    <s v="Current"/>
    <x v="2"/>
    <s v="Draw"/>
    <b v="0"/>
    <n v="0"/>
    <n v="0"/>
    <n v="1"/>
    <n v="0"/>
  </r>
  <r>
    <x v="3"/>
    <s v="Draw"/>
    <n v="4"/>
    <n v="1"/>
    <n v="1"/>
    <x v="50"/>
    <s v="1|19000101|46216"/>
    <n v="4"/>
    <n v="2026"/>
    <n v="7"/>
    <s v="Current"/>
    <x v="5"/>
    <s v="Draw"/>
    <b v="0"/>
    <n v="0"/>
    <n v="0"/>
    <n v="1"/>
    <n v="0"/>
  </r>
  <r>
    <x v="3"/>
    <s v="Draw"/>
    <n v="4"/>
    <n v="1"/>
    <n v="1"/>
    <x v="50"/>
    <s v="1|19000101|46216"/>
    <n v="4"/>
    <n v="2026"/>
    <n v="7"/>
    <s v="Current"/>
    <x v="90"/>
    <s v="Draw"/>
    <b v="0"/>
    <n v="0"/>
    <n v="0"/>
    <n v="1"/>
    <n v="0"/>
  </r>
  <r>
    <x v="3"/>
    <s v="Draw"/>
    <n v="4"/>
    <n v="1"/>
    <n v="1"/>
    <x v="50"/>
    <s v="1|19000101|46216"/>
    <n v="4"/>
    <n v="2026"/>
    <n v="7"/>
    <s v="Current"/>
    <x v="17"/>
    <s v="Draw"/>
    <b v="0"/>
    <n v="0"/>
    <n v="0"/>
    <n v="1"/>
    <n v="0"/>
  </r>
  <r>
    <x v="93"/>
    <s v="Loss"/>
    <n v="1"/>
    <n v="2"/>
    <n v="1"/>
    <x v="50"/>
    <s v="2|19000101|46216"/>
    <n v="4"/>
    <n v="2026"/>
    <n v="7"/>
    <s v="Current"/>
    <x v="13"/>
    <s v="Win"/>
    <b v="0"/>
    <n v="0"/>
    <n v="1"/>
    <n v="0"/>
    <n v="1"/>
  </r>
  <r>
    <x v="93"/>
    <s v="Loss"/>
    <n v="1"/>
    <n v="2"/>
    <n v="1"/>
    <x v="50"/>
    <s v="2|19000101|46216"/>
    <n v="4"/>
    <n v="2026"/>
    <n v="7"/>
    <s v="Current"/>
    <x v="34"/>
    <s v="Loss"/>
    <b v="0"/>
    <n v="0"/>
    <n v="1"/>
    <n v="0"/>
    <n v="0"/>
  </r>
  <r>
    <x v="93"/>
    <s v="Loss"/>
    <n v="1"/>
    <n v="2"/>
    <n v="1"/>
    <x v="50"/>
    <s v="2|19000101|46216"/>
    <n v="4"/>
    <n v="2026"/>
    <n v="7"/>
    <s v="Current"/>
    <x v="79"/>
    <s v="Loss"/>
    <b v="0"/>
    <n v="0"/>
    <n v="1"/>
    <n v="0"/>
    <n v="0"/>
  </r>
  <r>
    <x v="13"/>
    <s v="Win"/>
    <n v="2"/>
    <n v="2"/>
    <n v="1"/>
    <x v="50"/>
    <s v="2|19000101|46216"/>
    <n v="4"/>
    <n v="2026"/>
    <n v="7"/>
    <s v="Current"/>
    <x v="93"/>
    <s v="Loss"/>
    <b v="0"/>
    <n v="1"/>
    <n v="0"/>
    <n v="0"/>
    <n v="0"/>
  </r>
  <r>
    <x v="13"/>
    <s v="Win"/>
    <n v="2"/>
    <n v="2"/>
    <n v="1"/>
    <x v="50"/>
    <s v="2|19000101|46216"/>
    <n v="4"/>
    <n v="2026"/>
    <n v="7"/>
    <s v="Current"/>
    <x v="34"/>
    <s v="Loss"/>
    <b v="0"/>
    <n v="1"/>
    <n v="0"/>
    <n v="0"/>
    <n v="0"/>
  </r>
  <r>
    <x v="13"/>
    <s v="Win"/>
    <n v="2"/>
    <n v="2"/>
    <n v="1"/>
    <x v="50"/>
    <s v="2|19000101|46216"/>
    <n v="4"/>
    <n v="2026"/>
    <n v="7"/>
    <s v="Current"/>
    <x v="79"/>
    <s v="Loss"/>
    <b v="0"/>
    <n v="1"/>
    <n v="0"/>
    <n v="0"/>
    <n v="0"/>
  </r>
  <r>
    <x v="34"/>
    <s v="Loss"/>
    <n v="3"/>
    <n v="2"/>
    <n v="1"/>
    <x v="50"/>
    <s v="2|19000101|46216"/>
    <n v="4"/>
    <n v="2026"/>
    <n v="7"/>
    <s v="Current"/>
    <x v="93"/>
    <s v="Loss"/>
    <b v="0"/>
    <n v="0"/>
    <n v="1"/>
    <n v="0"/>
    <n v="0"/>
  </r>
  <r>
    <x v="34"/>
    <s v="Loss"/>
    <n v="3"/>
    <n v="2"/>
    <n v="1"/>
    <x v="50"/>
    <s v="2|19000101|46216"/>
    <n v="4"/>
    <n v="2026"/>
    <n v="7"/>
    <s v="Current"/>
    <x v="13"/>
    <s v="Win"/>
    <b v="0"/>
    <n v="0"/>
    <n v="1"/>
    <n v="0"/>
    <n v="1"/>
  </r>
  <r>
    <x v="34"/>
    <s v="Loss"/>
    <n v="3"/>
    <n v="2"/>
    <n v="1"/>
    <x v="50"/>
    <s v="2|19000101|46216"/>
    <n v="4"/>
    <n v="2026"/>
    <n v="7"/>
    <s v="Current"/>
    <x v="79"/>
    <s v="Loss"/>
    <b v="0"/>
    <n v="0"/>
    <n v="1"/>
    <n v="0"/>
    <n v="0"/>
  </r>
  <r>
    <x v="79"/>
    <s v="Loss"/>
    <n v="4"/>
    <n v="2"/>
    <n v="1"/>
    <x v="50"/>
    <s v="2|19000101|46216"/>
    <n v="4"/>
    <n v="2026"/>
    <n v="7"/>
    <s v="Current"/>
    <x v="93"/>
    <s v="Loss"/>
    <b v="0"/>
    <n v="0"/>
    <n v="1"/>
    <n v="0"/>
    <n v="0"/>
  </r>
  <r>
    <x v="79"/>
    <s v="Loss"/>
    <n v="4"/>
    <n v="2"/>
    <n v="1"/>
    <x v="50"/>
    <s v="2|19000101|46216"/>
    <n v="4"/>
    <n v="2026"/>
    <n v="7"/>
    <s v="Current"/>
    <x v="13"/>
    <s v="Win"/>
    <b v="0"/>
    <n v="0"/>
    <n v="1"/>
    <n v="0"/>
    <n v="1"/>
  </r>
  <r>
    <x v="79"/>
    <s v="Loss"/>
    <n v="4"/>
    <n v="2"/>
    <n v="1"/>
    <x v="50"/>
    <s v="2|19000101|46216"/>
    <n v="4"/>
    <n v="2026"/>
    <n v="7"/>
    <s v="Current"/>
    <x v="34"/>
    <s v="Loss"/>
    <b v="0"/>
    <n v="0"/>
    <n v="1"/>
    <n v="0"/>
    <n v="0"/>
  </r>
  <r>
    <x v="46"/>
    <s v="Loss"/>
    <n v="1"/>
    <n v="3"/>
    <n v="1"/>
    <x v="50"/>
    <s v="3|19000101|46216"/>
    <n v="4"/>
    <n v="2026"/>
    <n v="7"/>
    <s v="Current"/>
    <x v="21"/>
    <s v="Win"/>
    <b v="0"/>
    <n v="0"/>
    <n v="1"/>
    <n v="0"/>
    <n v="1"/>
  </r>
  <r>
    <x v="46"/>
    <s v="Loss"/>
    <n v="1"/>
    <n v="3"/>
    <n v="1"/>
    <x v="50"/>
    <s v="3|19000101|46216"/>
    <n v="4"/>
    <n v="2026"/>
    <n v="7"/>
    <s v="Current"/>
    <x v="84"/>
    <s v="Loss"/>
    <b v="0"/>
    <n v="0"/>
    <n v="1"/>
    <n v="0"/>
    <n v="0"/>
  </r>
  <r>
    <x v="46"/>
    <s v="Loss"/>
    <n v="1"/>
    <n v="3"/>
    <n v="1"/>
    <x v="50"/>
    <s v="3|19000101|46216"/>
    <n v="4"/>
    <n v="2026"/>
    <n v="7"/>
    <s v="Current"/>
    <x v="0"/>
    <s v="Loss"/>
    <b v="0"/>
    <n v="0"/>
    <n v="1"/>
    <n v="0"/>
    <n v="0"/>
  </r>
  <r>
    <x v="21"/>
    <s v="Win"/>
    <n v="2"/>
    <n v="3"/>
    <n v="1"/>
    <x v="50"/>
    <s v="3|19000101|46216"/>
    <n v="4"/>
    <n v="2026"/>
    <n v="7"/>
    <s v="Current"/>
    <x v="46"/>
    <s v="Loss"/>
    <b v="0"/>
    <n v="1"/>
    <n v="0"/>
    <n v="0"/>
    <n v="0"/>
  </r>
  <r>
    <x v="21"/>
    <s v="Win"/>
    <n v="2"/>
    <n v="3"/>
    <n v="1"/>
    <x v="50"/>
    <s v="3|19000101|46216"/>
    <n v="4"/>
    <n v="2026"/>
    <n v="7"/>
    <s v="Current"/>
    <x v="84"/>
    <s v="Loss"/>
    <b v="0"/>
    <n v="1"/>
    <n v="0"/>
    <n v="0"/>
    <n v="0"/>
  </r>
  <r>
    <x v="21"/>
    <s v="Win"/>
    <n v="2"/>
    <n v="3"/>
    <n v="1"/>
    <x v="50"/>
    <s v="3|19000101|46216"/>
    <n v="4"/>
    <n v="2026"/>
    <n v="7"/>
    <s v="Current"/>
    <x v="0"/>
    <s v="Loss"/>
    <b v="0"/>
    <n v="1"/>
    <n v="0"/>
    <n v="0"/>
    <n v="0"/>
  </r>
  <r>
    <x v="84"/>
    <s v="Loss"/>
    <n v="3"/>
    <n v="3"/>
    <n v="1"/>
    <x v="50"/>
    <s v="3|19000101|46216"/>
    <n v="4"/>
    <n v="2026"/>
    <n v="7"/>
    <s v="Current"/>
    <x v="46"/>
    <s v="Loss"/>
    <b v="0"/>
    <n v="0"/>
    <n v="1"/>
    <n v="0"/>
    <n v="0"/>
  </r>
  <r>
    <x v="84"/>
    <s v="Loss"/>
    <n v="3"/>
    <n v="3"/>
    <n v="1"/>
    <x v="50"/>
    <s v="3|19000101|46216"/>
    <n v="4"/>
    <n v="2026"/>
    <n v="7"/>
    <s v="Current"/>
    <x v="21"/>
    <s v="Win"/>
    <b v="0"/>
    <n v="0"/>
    <n v="1"/>
    <n v="0"/>
    <n v="1"/>
  </r>
  <r>
    <x v="84"/>
    <s v="Loss"/>
    <n v="3"/>
    <n v="3"/>
    <n v="1"/>
    <x v="50"/>
    <s v="3|19000101|46216"/>
    <n v="4"/>
    <n v="2026"/>
    <n v="7"/>
    <s v="Current"/>
    <x v="0"/>
    <s v="Loss"/>
    <b v="0"/>
    <n v="0"/>
    <n v="1"/>
    <n v="0"/>
    <n v="0"/>
  </r>
  <r>
    <x v="1"/>
    <s v="Loss"/>
    <n v="4"/>
    <n v="3"/>
    <n v="1"/>
    <x v="50"/>
    <s v="3|19000101|46216"/>
    <n v="4"/>
    <n v="2026"/>
    <n v="7"/>
    <s v="Current"/>
    <x v="46"/>
    <s v="Loss"/>
    <b v="0"/>
    <n v="0"/>
    <n v="1"/>
    <n v="0"/>
    <n v="0"/>
  </r>
  <r>
    <x v="1"/>
    <s v="Loss"/>
    <n v="4"/>
    <n v="3"/>
    <n v="1"/>
    <x v="50"/>
    <s v="3|19000101|46216"/>
    <n v="4"/>
    <n v="2026"/>
    <n v="7"/>
    <s v="Current"/>
    <x v="21"/>
    <s v="Win"/>
    <b v="0"/>
    <n v="0"/>
    <n v="1"/>
    <n v="0"/>
    <n v="1"/>
  </r>
  <r>
    <x v="1"/>
    <s v="Loss"/>
    <n v="4"/>
    <n v="3"/>
    <n v="1"/>
    <x v="50"/>
    <s v="3|19000101|46216"/>
    <n v="4"/>
    <n v="2026"/>
    <n v="7"/>
    <s v="Current"/>
    <x v="84"/>
    <s v="Loss"/>
    <b v="0"/>
    <n v="0"/>
    <n v="1"/>
    <n v="0"/>
    <n v="0"/>
  </r>
  <r>
    <x v="44"/>
    <s v="Loss"/>
    <n v="1"/>
    <n v="4"/>
    <n v="1"/>
    <x v="50"/>
    <s v="4|19000101|46216"/>
    <n v="4"/>
    <n v="2026"/>
    <n v="7"/>
    <s v="Current"/>
    <x v="7"/>
    <s v="Loss"/>
    <b v="0"/>
    <n v="0"/>
    <n v="1"/>
    <n v="0"/>
    <n v="0"/>
  </r>
  <r>
    <x v="44"/>
    <s v="Loss"/>
    <n v="1"/>
    <n v="4"/>
    <n v="1"/>
    <x v="50"/>
    <s v="4|19000101|46216"/>
    <n v="4"/>
    <n v="2026"/>
    <n v="7"/>
    <s v="Current"/>
    <x v="10"/>
    <s v="Loss"/>
    <b v="0"/>
    <n v="0"/>
    <n v="1"/>
    <n v="0"/>
    <n v="0"/>
  </r>
  <r>
    <x v="44"/>
    <s v="Loss"/>
    <n v="1"/>
    <n v="4"/>
    <n v="1"/>
    <x v="50"/>
    <s v="4|19000101|46216"/>
    <n v="4"/>
    <n v="2026"/>
    <n v="7"/>
    <s v="Current"/>
    <x v="4"/>
    <s v="Win"/>
    <b v="0"/>
    <n v="0"/>
    <n v="1"/>
    <n v="0"/>
    <n v="1"/>
  </r>
  <r>
    <x v="7"/>
    <s v="Loss"/>
    <n v="2"/>
    <n v="4"/>
    <n v="1"/>
    <x v="50"/>
    <s v="4|19000101|46216"/>
    <n v="4"/>
    <n v="2026"/>
    <n v="7"/>
    <s v="Current"/>
    <x v="44"/>
    <s v="Loss"/>
    <b v="0"/>
    <n v="0"/>
    <n v="1"/>
    <n v="0"/>
    <n v="0"/>
  </r>
  <r>
    <x v="7"/>
    <s v="Loss"/>
    <n v="2"/>
    <n v="4"/>
    <n v="1"/>
    <x v="50"/>
    <s v="4|19000101|46216"/>
    <n v="4"/>
    <n v="2026"/>
    <n v="7"/>
    <s v="Current"/>
    <x v="10"/>
    <s v="Loss"/>
    <b v="0"/>
    <n v="0"/>
    <n v="1"/>
    <n v="0"/>
    <n v="0"/>
  </r>
  <r>
    <x v="7"/>
    <s v="Loss"/>
    <n v="2"/>
    <n v="4"/>
    <n v="1"/>
    <x v="50"/>
    <s v="4|19000101|46216"/>
    <n v="4"/>
    <n v="2026"/>
    <n v="7"/>
    <s v="Current"/>
    <x v="4"/>
    <s v="Win"/>
    <b v="0"/>
    <n v="0"/>
    <n v="1"/>
    <n v="0"/>
    <n v="1"/>
  </r>
  <r>
    <x v="10"/>
    <s v="Loss"/>
    <n v="3"/>
    <n v="4"/>
    <n v="1"/>
    <x v="50"/>
    <s v="4|19000101|46216"/>
    <n v="4"/>
    <n v="2026"/>
    <n v="7"/>
    <s v="Current"/>
    <x v="44"/>
    <s v="Loss"/>
    <b v="0"/>
    <n v="0"/>
    <n v="1"/>
    <n v="0"/>
    <n v="0"/>
  </r>
  <r>
    <x v="10"/>
    <s v="Loss"/>
    <n v="3"/>
    <n v="4"/>
    <n v="1"/>
    <x v="50"/>
    <s v="4|19000101|46216"/>
    <n v="4"/>
    <n v="2026"/>
    <n v="7"/>
    <s v="Current"/>
    <x v="7"/>
    <s v="Loss"/>
    <b v="0"/>
    <n v="0"/>
    <n v="1"/>
    <n v="0"/>
    <n v="0"/>
  </r>
  <r>
    <x v="10"/>
    <s v="Loss"/>
    <n v="3"/>
    <n v="4"/>
    <n v="1"/>
    <x v="50"/>
    <s v="4|19000101|46216"/>
    <n v="4"/>
    <n v="2026"/>
    <n v="7"/>
    <s v="Current"/>
    <x v="4"/>
    <s v="Win"/>
    <b v="0"/>
    <n v="0"/>
    <n v="1"/>
    <n v="0"/>
    <n v="1"/>
  </r>
  <r>
    <x v="4"/>
    <s v="Win"/>
    <n v="4"/>
    <n v="4"/>
    <n v="1"/>
    <x v="50"/>
    <s v="4|19000101|46216"/>
    <n v="4"/>
    <n v="2026"/>
    <n v="7"/>
    <s v="Current"/>
    <x v="44"/>
    <s v="Loss"/>
    <b v="0"/>
    <n v="1"/>
    <n v="0"/>
    <n v="0"/>
    <n v="0"/>
  </r>
  <r>
    <x v="4"/>
    <s v="Win"/>
    <n v="4"/>
    <n v="4"/>
    <n v="1"/>
    <x v="50"/>
    <s v="4|19000101|46216"/>
    <n v="4"/>
    <n v="2026"/>
    <n v="7"/>
    <s v="Current"/>
    <x v="7"/>
    <s v="Loss"/>
    <b v="0"/>
    <n v="1"/>
    <n v="0"/>
    <n v="0"/>
    <n v="0"/>
  </r>
  <r>
    <x v="4"/>
    <s v="Win"/>
    <n v="4"/>
    <n v="4"/>
    <n v="1"/>
    <x v="50"/>
    <s v="4|19000101|46216"/>
    <n v="4"/>
    <n v="2026"/>
    <n v="7"/>
    <s v="Current"/>
    <x v="10"/>
    <s v="Loss"/>
    <b v="0"/>
    <n v="1"/>
    <n v="0"/>
    <n v="0"/>
    <n v="0"/>
  </r>
  <r>
    <x v="14"/>
    <s v="Win"/>
    <n v="1"/>
    <n v="5"/>
    <n v="1"/>
    <x v="50"/>
    <s v="5|19000101|46216"/>
    <n v="4"/>
    <n v="2026"/>
    <n v="7"/>
    <s v="Current"/>
    <x v="20"/>
    <s v="Loss"/>
    <b v="0"/>
    <n v="1"/>
    <n v="0"/>
    <n v="0"/>
    <n v="0"/>
  </r>
  <r>
    <x v="14"/>
    <s v="Win"/>
    <n v="1"/>
    <n v="5"/>
    <n v="1"/>
    <x v="50"/>
    <s v="5|19000101|46216"/>
    <n v="4"/>
    <n v="2026"/>
    <n v="7"/>
    <s v="Current"/>
    <x v="70"/>
    <s v="Loss"/>
    <b v="0"/>
    <n v="1"/>
    <n v="0"/>
    <n v="0"/>
    <n v="0"/>
  </r>
  <r>
    <x v="14"/>
    <s v="Win"/>
    <n v="1"/>
    <n v="5"/>
    <n v="1"/>
    <x v="50"/>
    <s v="5|19000101|46216"/>
    <n v="4"/>
    <n v="2026"/>
    <n v="7"/>
    <s v="Current"/>
    <x v="18"/>
    <s v="Loss"/>
    <b v="0"/>
    <n v="1"/>
    <n v="0"/>
    <n v="0"/>
    <n v="0"/>
  </r>
  <r>
    <x v="20"/>
    <s v="Loss"/>
    <n v="2"/>
    <n v="5"/>
    <n v="1"/>
    <x v="50"/>
    <s v="5|19000101|46216"/>
    <n v="4"/>
    <n v="2026"/>
    <n v="7"/>
    <s v="Current"/>
    <x v="14"/>
    <s v="Win"/>
    <b v="0"/>
    <n v="0"/>
    <n v="1"/>
    <n v="0"/>
    <n v="1"/>
  </r>
  <r>
    <x v="20"/>
    <s v="Loss"/>
    <n v="2"/>
    <n v="5"/>
    <n v="1"/>
    <x v="50"/>
    <s v="5|19000101|46216"/>
    <n v="4"/>
    <n v="2026"/>
    <n v="7"/>
    <s v="Current"/>
    <x v="70"/>
    <s v="Loss"/>
    <b v="0"/>
    <n v="0"/>
    <n v="1"/>
    <n v="0"/>
    <n v="0"/>
  </r>
  <r>
    <x v="20"/>
    <s v="Loss"/>
    <n v="2"/>
    <n v="5"/>
    <n v="1"/>
    <x v="50"/>
    <s v="5|19000101|46216"/>
    <n v="4"/>
    <n v="2026"/>
    <n v="7"/>
    <s v="Current"/>
    <x v="18"/>
    <s v="Loss"/>
    <b v="0"/>
    <n v="0"/>
    <n v="1"/>
    <n v="0"/>
    <n v="0"/>
  </r>
  <r>
    <x v="70"/>
    <s v="Loss"/>
    <n v="3"/>
    <n v="5"/>
    <n v="1"/>
    <x v="50"/>
    <s v="5|19000101|46216"/>
    <n v="4"/>
    <n v="2026"/>
    <n v="7"/>
    <s v="Current"/>
    <x v="14"/>
    <s v="Win"/>
    <b v="0"/>
    <n v="0"/>
    <n v="1"/>
    <n v="0"/>
    <n v="1"/>
  </r>
  <r>
    <x v="70"/>
    <s v="Loss"/>
    <n v="3"/>
    <n v="5"/>
    <n v="1"/>
    <x v="50"/>
    <s v="5|19000101|46216"/>
    <n v="4"/>
    <n v="2026"/>
    <n v="7"/>
    <s v="Current"/>
    <x v="20"/>
    <s v="Loss"/>
    <b v="0"/>
    <n v="0"/>
    <n v="1"/>
    <n v="0"/>
    <n v="0"/>
  </r>
  <r>
    <x v="70"/>
    <s v="Loss"/>
    <n v="3"/>
    <n v="5"/>
    <n v="1"/>
    <x v="50"/>
    <s v="5|19000101|46216"/>
    <n v="4"/>
    <n v="2026"/>
    <n v="7"/>
    <s v="Current"/>
    <x v="18"/>
    <s v="Loss"/>
    <b v="0"/>
    <n v="0"/>
    <n v="1"/>
    <n v="0"/>
    <n v="0"/>
  </r>
  <r>
    <x v="18"/>
    <s v="Loss"/>
    <n v="4"/>
    <n v="5"/>
    <n v="1"/>
    <x v="50"/>
    <s v="5|19000101|46216"/>
    <n v="4"/>
    <n v="2026"/>
    <n v="7"/>
    <s v="Current"/>
    <x v="14"/>
    <s v="Win"/>
    <b v="0"/>
    <n v="0"/>
    <n v="1"/>
    <n v="0"/>
    <n v="1"/>
  </r>
  <r>
    <x v="18"/>
    <s v="Loss"/>
    <n v="4"/>
    <n v="5"/>
    <n v="1"/>
    <x v="50"/>
    <s v="5|19000101|46216"/>
    <n v="4"/>
    <n v="2026"/>
    <n v="7"/>
    <s v="Current"/>
    <x v="20"/>
    <s v="Loss"/>
    <b v="0"/>
    <n v="0"/>
    <n v="1"/>
    <n v="0"/>
    <n v="0"/>
  </r>
  <r>
    <x v="18"/>
    <s v="Loss"/>
    <n v="4"/>
    <n v="5"/>
    <n v="1"/>
    <x v="50"/>
    <s v="5|19000101|46216"/>
    <n v="4"/>
    <n v="2026"/>
    <n v="7"/>
    <s v="Current"/>
    <x v="70"/>
    <s v="Loss"/>
    <b v="0"/>
    <n v="0"/>
    <n v="1"/>
    <n v="0"/>
    <n v="0"/>
  </r>
  <r>
    <x v="21"/>
    <s v="Loss"/>
    <n v="1"/>
    <n v="1"/>
    <n v="2"/>
    <x v="50"/>
    <s v="1|19000102|46216"/>
    <n v="4"/>
    <n v="2026"/>
    <n v="7"/>
    <s v="Current"/>
    <x v="4"/>
    <s v="Loss"/>
    <b v="0"/>
    <n v="0"/>
    <n v="1"/>
    <n v="0"/>
    <n v="0"/>
  </r>
  <r>
    <x v="21"/>
    <s v="Loss"/>
    <n v="1"/>
    <n v="1"/>
    <n v="2"/>
    <x v="50"/>
    <s v="1|19000102|46216"/>
    <n v="4"/>
    <n v="2026"/>
    <n v="7"/>
    <s v="Current"/>
    <x v="13"/>
    <s v="Loss"/>
    <b v="0"/>
    <n v="0"/>
    <n v="1"/>
    <n v="0"/>
    <n v="0"/>
  </r>
  <r>
    <x v="21"/>
    <s v="Loss"/>
    <n v="1"/>
    <n v="1"/>
    <n v="2"/>
    <x v="50"/>
    <s v="1|19000102|46216"/>
    <n v="4"/>
    <n v="2026"/>
    <n v="7"/>
    <s v="Current"/>
    <x v="14"/>
    <s v="Win"/>
    <b v="0"/>
    <n v="0"/>
    <n v="1"/>
    <n v="0"/>
    <n v="1"/>
  </r>
  <r>
    <x v="4"/>
    <s v="Loss"/>
    <n v="2"/>
    <n v="1"/>
    <n v="2"/>
    <x v="50"/>
    <s v="1|19000102|46216"/>
    <n v="4"/>
    <n v="2026"/>
    <n v="7"/>
    <s v="Current"/>
    <x v="21"/>
    <s v="Loss"/>
    <b v="0"/>
    <n v="0"/>
    <n v="1"/>
    <n v="0"/>
    <n v="0"/>
  </r>
  <r>
    <x v="4"/>
    <s v="Loss"/>
    <n v="2"/>
    <n v="1"/>
    <n v="2"/>
    <x v="50"/>
    <s v="1|19000102|46216"/>
    <n v="4"/>
    <n v="2026"/>
    <n v="7"/>
    <s v="Current"/>
    <x v="13"/>
    <s v="Loss"/>
    <b v="0"/>
    <n v="0"/>
    <n v="1"/>
    <n v="0"/>
    <n v="0"/>
  </r>
  <r>
    <x v="4"/>
    <s v="Loss"/>
    <n v="2"/>
    <n v="1"/>
    <n v="2"/>
    <x v="50"/>
    <s v="1|19000102|46216"/>
    <n v="4"/>
    <n v="2026"/>
    <n v="7"/>
    <s v="Current"/>
    <x v="14"/>
    <s v="Win"/>
    <b v="0"/>
    <n v="0"/>
    <n v="1"/>
    <n v="0"/>
    <n v="1"/>
  </r>
  <r>
    <x v="13"/>
    <s v="Loss"/>
    <n v="3"/>
    <n v="1"/>
    <n v="2"/>
    <x v="50"/>
    <s v="1|19000102|46216"/>
    <n v="4"/>
    <n v="2026"/>
    <n v="7"/>
    <s v="Current"/>
    <x v="21"/>
    <s v="Loss"/>
    <b v="0"/>
    <n v="0"/>
    <n v="1"/>
    <n v="0"/>
    <n v="0"/>
  </r>
  <r>
    <x v="13"/>
    <s v="Loss"/>
    <n v="3"/>
    <n v="1"/>
    <n v="2"/>
    <x v="50"/>
    <s v="1|19000102|46216"/>
    <n v="4"/>
    <n v="2026"/>
    <n v="7"/>
    <s v="Current"/>
    <x v="4"/>
    <s v="Loss"/>
    <b v="0"/>
    <n v="0"/>
    <n v="1"/>
    <n v="0"/>
    <n v="0"/>
  </r>
  <r>
    <x v="13"/>
    <s v="Loss"/>
    <n v="3"/>
    <n v="1"/>
    <n v="2"/>
    <x v="50"/>
    <s v="1|19000102|46216"/>
    <n v="4"/>
    <n v="2026"/>
    <n v="7"/>
    <s v="Current"/>
    <x v="14"/>
    <s v="Win"/>
    <b v="0"/>
    <n v="0"/>
    <n v="1"/>
    <n v="0"/>
    <n v="1"/>
  </r>
  <r>
    <x v="14"/>
    <s v="Win"/>
    <n v="4"/>
    <n v="1"/>
    <n v="2"/>
    <x v="50"/>
    <s v="1|19000102|46216"/>
    <n v="4"/>
    <n v="2026"/>
    <n v="7"/>
    <s v="Current"/>
    <x v="21"/>
    <s v="Loss"/>
    <b v="0"/>
    <n v="1"/>
    <n v="0"/>
    <n v="0"/>
    <n v="0"/>
  </r>
  <r>
    <x v="14"/>
    <s v="Win"/>
    <n v="4"/>
    <n v="1"/>
    <n v="2"/>
    <x v="50"/>
    <s v="1|19000102|46216"/>
    <n v="4"/>
    <n v="2026"/>
    <n v="7"/>
    <s v="Current"/>
    <x v="4"/>
    <s v="Loss"/>
    <b v="0"/>
    <n v="1"/>
    <n v="0"/>
    <n v="0"/>
    <n v="0"/>
  </r>
  <r>
    <x v="14"/>
    <s v="Win"/>
    <n v="4"/>
    <n v="1"/>
    <n v="2"/>
    <x v="50"/>
    <s v="1|19000102|46216"/>
    <n v="4"/>
    <n v="2026"/>
    <n v="7"/>
    <s v="Current"/>
    <x v="13"/>
    <s v="Loss"/>
    <b v="0"/>
    <n v="1"/>
    <n v="0"/>
    <n v="0"/>
    <n v="0"/>
  </r>
  <r>
    <x v="3"/>
    <s v="Win"/>
    <n v="1"/>
    <n v="2"/>
    <n v="2"/>
    <x v="50"/>
    <s v="2|19000102|46216"/>
    <n v="4"/>
    <n v="2026"/>
    <n v="7"/>
    <s v="Current"/>
    <x v="79"/>
    <s v="Loss"/>
    <b v="0"/>
    <n v="1"/>
    <n v="0"/>
    <n v="0"/>
    <n v="0"/>
  </r>
  <r>
    <x v="3"/>
    <s v="Win"/>
    <n v="1"/>
    <n v="2"/>
    <n v="2"/>
    <x v="50"/>
    <s v="2|19000102|46216"/>
    <n v="4"/>
    <n v="2026"/>
    <n v="7"/>
    <s v="Current"/>
    <x v="7"/>
    <s v="Loss"/>
    <b v="0"/>
    <n v="1"/>
    <n v="0"/>
    <n v="0"/>
    <n v="0"/>
  </r>
  <r>
    <x v="3"/>
    <s v="Win"/>
    <n v="1"/>
    <n v="2"/>
    <n v="2"/>
    <x v="50"/>
    <s v="2|19000102|46216"/>
    <n v="4"/>
    <n v="2026"/>
    <n v="7"/>
    <s v="Current"/>
    <x v="46"/>
    <s v="Loss"/>
    <b v="0"/>
    <n v="1"/>
    <n v="0"/>
    <n v="0"/>
    <n v="0"/>
  </r>
  <r>
    <x v="79"/>
    <s v="Loss"/>
    <n v="2"/>
    <n v="2"/>
    <n v="2"/>
    <x v="50"/>
    <s v="2|19000102|46216"/>
    <n v="4"/>
    <n v="2026"/>
    <n v="7"/>
    <s v="Current"/>
    <x v="2"/>
    <s v="Win"/>
    <b v="0"/>
    <n v="0"/>
    <n v="1"/>
    <n v="0"/>
    <n v="1"/>
  </r>
  <r>
    <x v="79"/>
    <s v="Loss"/>
    <n v="2"/>
    <n v="2"/>
    <n v="2"/>
    <x v="50"/>
    <s v="2|19000102|46216"/>
    <n v="4"/>
    <n v="2026"/>
    <n v="7"/>
    <s v="Current"/>
    <x v="7"/>
    <s v="Loss"/>
    <b v="0"/>
    <n v="0"/>
    <n v="1"/>
    <n v="0"/>
    <n v="0"/>
  </r>
  <r>
    <x v="79"/>
    <s v="Loss"/>
    <n v="2"/>
    <n v="2"/>
    <n v="2"/>
    <x v="50"/>
    <s v="2|19000102|46216"/>
    <n v="4"/>
    <n v="2026"/>
    <n v="7"/>
    <s v="Current"/>
    <x v="46"/>
    <s v="Loss"/>
    <b v="0"/>
    <n v="0"/>
    <n v="1"/>
    <n v="0"/>
    <n v="0"/>
  </r>
  <r>
    <x v="7"/>
    <s v="Loss"/>
    <n v="3"/>
    <n v="2"/>
    <n v="2"/>
    <x v="50"/>
    <s v="2|19000102|46216"/>
    <n v="4"/>
    <n v="2026"/>
    <n v="7"/>
    <s v="Current"/>
    <x v="2"/>
    <s v="Win"/>
    <b v="0"/>
    <n v="0"/>
    <n v="1"/>
    <n v="0"/>
    <n v="1"/>
  </r>
  <r>
    <x v="7"/>
    <s v="Loss"/>
    <n v="3"/>
    <n v="2"/>
    <n v="2"/>
    <x v="50"/>
    <s v="2|19000102|46216"/>
    <n v="4"/>
    <n v="2026"/>
    <n v="7"/>
    <s v="Current"/>
    <x v="79"/>
    <s v="Loss"/>
    <b v="0"/>
    <n v="0"/>
    <n v="1"/>
    <n v="0"/>
    <n v="0"/>
  </r>
  <r>
    <x v="7"/>
    <s v="Loss"/>
    <n v="3"/>
    <n v="2"/>
    <n v="2"/>
    <x v="50"/>
    <s v="2|19000102|46216"/>
    <n v="4"/>
    <n v="2026"/>
    <n v="7"/>
    <s v="Current"/>
    <x v="46"/>
    <s v="Loss"/>
    <b v="0"/>
    <n v="0"/>
    <n v="1"/>
    <n v="0"/>
    <n v="0"/>
  </r>
  <r>
    <x v="46"/>
    <s v="Loss"/>
    <n v="4"/>
    <n v="2"/>
    <n v="2"/>
    <x v="50"/>
    <s v="2|19000102|46216"/>
    <n v="4"/>
    <n v="2026"/>
    <n v="7"/>
    <s v="Current"/>
    <x v="2"/>
    <s v="Win"/>
    <b v="0"/>
    <n v="0"/>
    <n v="1"/>
    <n v="0"/>
    <n v="1"/>
  </r>
  <r>
    <x v="46"/>
    <s v="Loss"/>
    <n v="4"/>
    <n v="2"/>
    <n v="2"/>
    <x v="50"/>
    <s v="2|19000102|46216"/>
    <n v="4"/>
    <n v="2026"/>
    <n v="7"/>
    <s v="Current"/>
    <x v="79"/>
    <s v="Loss"/>
    <b v="0"/>
    <n v="0"/>
    <n v="1"/>
    <n v="0"/>
    <n v="0"/>
  </r>
  <r>
    <x v="46"/>
    <s v="Loss"/>
    <n v="4"/>
    <n v="2"/>
    <n v="2"/>
    <x v="50"/>
    <s v="2|19000102|46216"/>
    <n v="4"/>
    <n v="2026"/>
    <n v="7"/>
    <s v="Current"/>
    <x v="7"/>
    <s v="Loss"/>
    <b v="0"/>
    <n v="0"/>
    <n v="1"/>
    <n v="0"/>
    <n v="0"/>
  </r>
  <r>
    <x v="90"/>
    <s v="Loss"/>
    <n v="1"/>
    <n v="3"/>
    <n v="2"/>
    <x v="50"/>
    <s v="3|19000102|46216"/>
    <n v="4"/>
    <n v="2026"/>
    <n v="7"/>
    <s v="Current"/>
    <x v="18"/>
    <s v="Loss"/>
    <b v="0"/>
    <n v="0"/>
    <n v="1"/>
    <n v="0"/>
    <n v="0"/>
  </r>
  <r>
    <x v="90"/>
    <s v="Loss"/>
    <n v="1"/>
    <n v="3"/>
    <n v="2"/>
    <x v="50"/>
    <s v="3|19000102|46216"/>
    <n v="4"/>
    <n v="2026"/>
    <n v="7"/>
    <s v="Current"/>
    <x v="10"/>
    <s v="Loss"/>
    <b v="0"/>
    <n v="0"/>
    <n v="1"/>
    <n v="0"/>
    <n v="0"/>
  </r>
  <r>
    <x v="90"/>
    <s v="Loss"/>
    <n v="1"/>
    <n v="3"/>
    <n v="2"/>
    <x v="50"/>
    <s v="3|19000102|46216"/>
    <n v="4"/>
    <n v="2026"/>
    <n v="7"/>
    <s v="Current"/>
    <x v="93"/>
    <s v="Win"/>
    <b v="0"/>
    <n v="0"/>
    <n v="1"/>
    <n v="0"/>
    <n v="1"/>
  </r>
  <r>
    <x v="18"/>
    <s v="Loss"/>
    <n v="2"/>
    <n v="3"/>
    <n v="2"/>
    <x v="50"/>
    <s v="3|19000102|46216"/>
    <n v="4"/>
    <n v="2026"/>
    <n v="7"/>
    <s v="Current"/>
    <x v="90"/>
    <s v="Loss"/>
    <b v="0"/>
    <n v="0"/>
    <n v="1"/>
    <n v="0"/>
    <n v="0"/>
  </r>
  <r>
    <x v="18"/>
    <s v="Loss"/>
    <n v="2"/>
    <n v="3"/>
    <n v="2"/>
    <x v="50"/>
    <s v="3|19000102|46216"/>
    <n v="4"/>
    <n v="2026"/>
    <n v="7"/>
    <s v="Current"/>
    <x v="10"/>
    <s v="Loss"/>
    <b v="0"/>
    <n v="0"/>
    <n v="1"/>
    <n v="0"/>
    <n v="0"/>
  </r>
  <r>
    <x v="18"/>
    <s v="Loss"/>
    <n v="2"/>
    <n v="3"/>
    <n v="2"/>
    <x v="50"/>
    <s v="3|19000102|46216"/>
    <n v="4"/>
    <n v="2026"/>
    <n v="7"/>
    <s v="Current"/>
    <x v="93"/>
    <s v="Win"/>
    <b v="0"/>
    <n v="0"/>
    <n v="1"/>
    <n v="0"/>
    <n v="1"/>
  </r>
  <r>
    <x v="10"/>
    <s v="Loss"/>
    <n v="3"/>
    <n v="3"/>
    <n v="2"/>
    <x v="50"/>
    <s v="3|19000102|46216"/>
    <n v="4"/>
    <n v="2026"/>
    <n v="7"/>
    <s v="Current"/>
    <x v="90"/>
    <s v="Loss"/>
    <b v="0"/>
    <n v="0"/>
    <n v="1"/>
    <n v="0"/>
    <n v="0"/>
  </r>
  <r>
    <x v="10"/>
    <s v="Loss"/>
    <n v="3"/>
    <n v="3"/>
    <n v="2"/>
    <x v="50"/>
    <s v="3|19000102|46216"/>
    <n v="4"/>
    <n v="2026"/>
    <n v="7"/>
    <s v="Current"/>
    <x v="18"/>
    <s v="Loss"/>
    <b v="0"/>
    <n v="0"/>
    <n v="1"/>
    <n v="0"/>
    <n v="0"/>
  </r>
  <r>
    <x v="10"/>
    <s v="Loss"/>
    <n v="3"/>
    <n v="3"/>
    <n v="2"/>
    <x v="50"/>
    <s v="3|19000102|46216"/>
    <n v="4"/>
    <n v="2026"/>
    <n v="7"/>
    <s v="Current"/>
    <x v="93"/>
    <s v="Win"/>
    <b v="0"/>
    <n v="0"/>
    <n v="1"/>
    <n v="0"/>
    <n v="1"/>
  </r>
  <r>
    <x v="93"/>
    <s v="Win"/>
    <n v="4"/>
    <n v="3"/>
    <n v="2"/>
    <x v="50"/>
    <s v="3|19000102|46216"/>
    <n v="4"/>
    <n v="2026"/>
    <n v="7"/>
    <s v="Current"/>
    <x v="90"/>
    <s v="Loss"/>
    <b v="0"/>
    <n v="1"/>
    <n v="0"/>
    <n v="0"/>
    <n v="0"/>
  </r>
  <r>
    <x v="93"/>
    <s v="Win"/>
    <n v="4"/>
    <n v="3"/>
    <n v="2"/>
    <x v="50"/>
    <s v="3|19000102|46216"/>
    <n v="4"/>
    <n v="2026"/>
    <n v="7"/>
    <s v="Current"/>
    <x v="18"/>
    <s v="Loss"/>
    <b v="0"/>
    <n v="1"/>
    <n v="0"/>
    <n v="0"/>
    <n v="0"/>
  </r>
  <r>
    <x v="93"/>
    <s v="Win"/>
    <n v="4"/>
    <n v="3"/>
    <n v="2"/>
    <x v="50"/>
    <s v="3|19000102|46216"/>
    <n v="4"/>
    <n v="2026"/>
    <n v="7"/>
    <s v="Current"/>
    <x v="10"/>
    <s v="Loss"/>
    <b v="0"/>
    <n v="1"/>
    <n v="0"/>
    <n v="0"/>
    <n v="0"/>
  </r>
  <r>
    <x v="5"/>
    <s v="Loss"/>
    <n v="1"/>
    <n v="4"/>
    <n v="2"/>
    <x v="50"/>
    <s v="4|19000102|46216"/>
    <n v="4"/>
    <n v="2026"/>
    <n v="7"/>
    <s v="Current"/>
    <x v="0"/>
    <s v="Loss"/>
    <b v="0"/>
    <n v="0"/>
    <n v="1"/>
    <n v="0"/>
    <n v="0"/>
  </r>
  <r>
    <x v="5"/>
    <s v="Loss"/>
    <n v="1"/>
    <n v="4"/>
    <n v="2"/>
    <x v="50"/>
    <s v="4|19000102|46216"/>
    <n v="4"/>
    <n v="2026"/>
    <n v="7"/>
    <s v="Current"/>
    <x v="20"/>
    <s v="Win"/>
    <b v="0"/>
    <n v="0"/>
    <n v="1"/>
    <n v="0"/>
    <n v="1"/>
  </r>
  <r>
    <x v="5"/>
    <s v="Loss"/>
    <n v="1"/>
    <n v="4"/>
    <n v="2"/>
    <x v="50"/>
    <s v="4|19000102|46216"/>
    <n v="4"/>
    <n v="2026"/>
    <n v="7"/>
    <s v="Current"/>
    <x v="44"/>
    <s v="Loss"/>
    <b v="0"/>
    <n v="0"/>
    <n v="1"/>
    <n v="0"/>
    <n v="0"/>
  </r>
  <r>
    <x v="1"/>
    <s v="Loss"/>
    <n v="2"/>
    <n v="4"/>
    <n v="2"/>
    <x v="50"/>
    <s v="4|19000102|46216"/>
    <n v="4"/>
    <n v="2026"/>
    <n v="7"/>
    <s v="Current"/>
    <x v="5"/>
    <s v="Loss"/>
    <b v="0"/>
    <n v="0"/>
    <n v="1"/>
    <n v="0"/>
    <n v="0"/>
  </r>
  <r>
    <x v="1"/>
    <s v="Loss"/>
    <n v="2"/>
    <n v="4"/>
    <n v="2"/>
    <x v="50"/>
    <s v="4|19000102|46216"/>
    <n v="4"/>
    <n v="2026"/>
    <n v="7"/>
    <s v="Current"/>
    <x v="20"/>
    <s v="Win"/>
    <b v="0"/>
    <n v="0"/>
    <n v="1"/>
    <n v="0"/>
    <n v="1"/>
  </r>
  <r>
    <x v="1"/>
    <s v="Loss"/>
    <n v="2"/>
    <n v="4"/>
    <n v="2"/>
    <x v="50"/>
    <s v="4|19000102|46216"/>
    <n v="4"/>
    <n v="2026"/>
    <n v="7"/>
    <s v="Current"/>
    <x v="44"/>
    <s v="Loss"/>
    <b v="0"/>
    <n v="0"/>
    <n v="1"/>
    <n v="0"/>
    <n v="0"/>
  </r>
  <r>
    <x v="20"/>
    <s v="Win"/>
    <n v="3"/>
    <n v="4"/>
    <n v="2"/>
    <x v="50"/>
    <s v="4|19000102|46216"/>
    <n v="4"/>
    <n v="2026"/>
    <n v="7"/>
    <s v="Current"/>
    <x v="5"/>
    <s v="Loss"/>
    <b v="0"/>
    <n v="1"/>
    <n v="0"/>
    <n v="0"/>
    <n v="0"/>
  </r>
  <r>
    <x v="20"/>
    <s v="Win"/>
    <n v="3"/>
    <n v="4"/>
    <n v="2"/>
    <x v="50"/>
    <s v="4|19000102|46216"/>
    <n v="4"/>
    <n v="2026"/>
    <n v="7"/>
    <s v="Current"/>
    <x v="0"/>
    <s v="Loss"/>
    <b v="0"/>
    <n v="1"/>
    <n v="0"/>
    <n v="0"/>
    <n v="0"/>
  </r>
  <r>
    <x v="20"/>
    <s v="Win"/>
    <n v="3"/>
    <n v="4"/>
    <n v="2"/>
    <x v="50"/>
    <s v="4|19000102|46216"/>
    <n v="4"/>
    <n v="2026"/>
    <n v="7"/>
    <s v="Current"/>
    <x v="44"/>
    <s v="Loss"/>
    <b v="0"/>
    <n v="1"/>
    <n v="0"/>
    <n v="0"/>
    <n v="0"/>
  </r>
  <r>
    <x v="44"/>
    <s v="Loss"/>
    <n v="4"/>
    <n v="4"/>
    <n v="2"/>
    <x v="50"/>
    <s v="4|19000102|46216"/>
    <n v="4"/>
    <n v="2026"/>
    <n v="7"/>
    <s v="Current"/>
    <x v="5"/>
    <s v="Loss"/>
    <b v="0"/>
    <n v="0"/>
    <n v="1"/>
    <n v="0"/>
    <n v="0"/>
  </r>
  <r>
    <x v="44"/>
    <s v="Loss"/>
    <n v="4"/>
    <n v="4"/>
    <n v="2"/>
    <x v="50"/>
    <s v="4|19000102|46216"/>
    <n v="4"/>
    <n v="2026"/>
    <n v="7"/>
    <s v="Current"/>
    <x v="0"/>
    <s v="Loss"/>
    <b v="0"/>
    <n v="0"/>
    <n v="1"/>
    <n v="0"/>
    <n v="0"/>
  </r>
  <r>
    <x v="44"/>
    <s v="Loss"/>
    <n v="4"/>
    <n v="4"/>
    <n v="2"/>
    <x v="50"/>
    <s v="4|19000102|46216"/>
    <n v="4"/>
    <n v="2026"/>
    <n v="7"/>
    <s v="Current"/>
    <x v="20"/>
    <s v="Win"/>
    <b v="0"/>
    <n v="0"/>
    <n v="1"/>
    <n v="0"/>
    <n v="1"/>
  </r>
  <r>
    <x v="17"/>
    <s v="Loss"/>
    <n v="1"/>
    <n v="5"/>
    <n v="2"/>
    <x v="50"/>
    <s v="5|19000102|46216"/>
    <n v="4"/>
    <n v="2026"/>
    <n v="7"/>
    <s v="Current"/>
    <x v="70"/>
    <s v="Win"/>
    <b v="0"/>
    <n v="0"/>
    <n v="1"/>
    <n v="0"/>
    <n v="1"/>
  </r>
  <r>
    <x v="17"/>
    <s v="Loss"/>
    <n v="1"/>
    <n v="5"/>
    <n v="2"/>
    <x v="50"/>
    <s v="5|19000102|46216"/>
    <n v="4"/>
    <n v="2026"/>
    <n v="7"/>
    <s v="Current"/>
    <x v="84"/>
    <s v="Loss"/>
    <b v="0"/>
    <n v="0"/>
    <n v="1"/>
    <n v="0"/>
    <n v="0"/>
  </r>
  <r>
    <x v="17"/>
    <s v="Loss"/>
    <n v="1"/>
    <n v="5"/>
    <n v="2"/>
    <x v="50"/>
    <s v="5|19000102|46216"/>
    <n v="4"/>
    <n v="2026"/>
    <n v="7"/>
    <s v="Current"/>
    <x v="34"/>
    <s v="Loss"/>
    <b v="0"/>
    <n v="0"/>
    <n v="1"/>
    <n v="0"/>
    <n v="0"/>
  </r>
  <r>
    <x v="70"/>
    <s v="Win"/>
    <n v="2"/>
    <n v="5"/>
    <n v="2"/>
    <x v="50"/>
    <s v="5|19000102|46216"/>
    <n v="4"/>
    <n v="2026"/>
    <n v="7"/>
    <s v="Current"/>
    <x v="17"/>
    <s v="Loss"/>
    <b v="0"/>
    <n v="1"/>
    <n v="0"/>
    <n v="0"/>
    <n v="0"/>
  </r>
  <r>
    <x v="70"/>
    <s v="Win"/>
    <n v="2"/>
    <n v="5"/>
    <n v="2"/>
    <x v="50"/>
    <s v="5|19000102|46216"/>
    <n v="4"/>
    <n v="2026"/>
    <n v="7"/>
    <s v="Current"/>
    <x v="84"/>
    <s v="Loss"/>
    <b v="0"/>
    <n v="1"/>
    <n v="0"/>
    <n v="0"/>
    <n v="0"/>
  </r>
  <r>
    <x v="70"/>
    <s v="Win"/>
    <n v="2"/>
    <n v="5"/>
    <n v="2"/>
    <x v="50"/>
    <s v="5|19000102|46216"/>
    <n v="4"/>
    <n v="2026"/>
    <n v="7"/>
    <s v="Current"/>
    <x v="34"/>
    <s v="Loss"/>
    <b v="0"/>
    <n v="1"/>
    <n v="0"/>
    <n v="0"/>
    <n v="0"/>
  </r>
  <r>
    <x v="84"/>
    <s v="Loss"/>
    <n v="3"/>
    <n v="5"/>
    <n v="2"/>
    <x v="50"/>
    <s v="5|19000102|46216"/>
    <n v="4"/>
    <n v="2026"/>
    <n v="7"/>
    <s v="Current"/>
    <x v="17"/>
    <s v="Loss"/>
    <b v="0"/>
    <n v="0"/>
    <n v="1"/>
    <n v="0"/>
    <n v="0"/>
  </r>
  <r>
    <x v="84"/>
    <s v="Loss"/>
    <n v="3"/>
    <n v="5"/>
    <n v="2"/>
    <x v="50"/>
    <s v="5|19000102|46216"/>
    <n v="4"/>
    <n v="2026"/>
    <n v="7"/>
    <s v="Current"/>
    <x v="70"/>
    <s v="Win"/>
    <b v="0"/>
    <n v="0"/>
    <n v="1"/>
    <n v="0"/>
    <n v="1"/>
  </r>
  <r>
    <x v="84"/>
    <s v="Loss"/>
    <n v="3"/>
    <n v="5"/>
    <n v="2"/>
    <x v="50"/>
    <s v="5|19000102|46216"/>
    <n v="4"/>
    <n v="2026"/>
    <n v="7"/>
    <s v="Current"/>
    <x v="34"/>
    <s v="Loss"/>
    <b v="0"/>
    <n v="0"/>
    <n v="1"/>
    <n v="0"/>
    <n v="0"/>
  </r>
  <r>
    <x v="34"/>
    <s v="Loss"/>
    <n v="4"/>
    <n v="5"/>
    <n v="2"/>
    <x v="50"/>
    <s v="5|19000102|46216"/>
    <n v="4"/>
    <n v="2026"/>
    <n v="7"/>
    <s v="Current"/>
    <x v="17"/>
    <s v="Loss"/>
    <b v="0"/>
    <n v="0"/>
    <n v="1"/>
    <n v="0"/>
    <n v="0"/>
  </r>
  <r>
    <x v="34"/>
    <s v="Loss"/>
    <n v="4"/>
    <n v="5"/>
    <n v="2"/>
    <x v="50"/>
    <s v="5|19000102|46216"/>
    <n v="4"/>
    <n v="2026"/>
    <n v="7"/>
    <s v="Current"/>
    <x v="70"/>
    <s v="Win"/>
    <b v="0"/>
    <n v="0"/>
    <n v="1"/>
    <n v="0"/>
    <n v="1"/>
  </r>
  <r>
    <x v="34"/>
    <s v="Loss"/>
    <n v="4"/>
    <n v="5"/>
    <n v="2"/>
    <x v="50"/>
    <s v="5|19000102|46216"/>
    <n v="4"/>
    <n v="2026"/>
    <n v="7"/>
    <s v="Current"/>
    <x v="84"/>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1"/>
  </r>
  <r>
    <x v="1"/>
    <x v="1"/>
    <x v="0"/>
    <n v="1"/>
    <n v="1"/>
    <d v="2026-07-20T00:00:00"/>
    <s v="1|19000101|46223"/>
    <x v="0"/>
    <x v="1"/>
    <x v="6"/>
    <x v="1"/>
  </r>
  <r>
    <x v="11"/>
    <x v="1"/>
    <x v="1"/>
    <n v="1"/>
    <n v="1"/>
    <d v="2026-07-20T00:00:00"/>
    <s v="1|19000101|46223"/>
    <x v="0"/>
    <x v="1"/>
    <x v="6"/>
    <x v="1"/>
  </r>
  <r>
    <x v="10"/>
    <x v="1"/>
    <x v="2"/>
    <n v="1"/>
    <n v="1"/>
    <d v="2026-07-20T00:00:00"/>
    <s v="1|19000101|46223"/>
    <x v="0"/>
    <x v="1"/>
    <x v="6"/>
    <x v="1"/>
  </r>
  <r>
    <x v="19"/>
    <x v="1"/>
    <x v="4"/>
    <n v="2"/>
    <n v="1"/>
    <d v="2026-07-20T00:00:00"/>
    <s v="2|19000101|46223"/>
    <x v="0"/>
    <x v="1"/>
    <x v="6"/>
    <x v="1"/>
  </r>
  <r>
    <x v="33"/>
    <x v="1"/>
    <x v="0"/>
    <n v="2"/>
    <n v="1"/>
    <d v="2026-07-20T00:00:00"/>
    <s v="2|19000101|46223"/>
    <x v="0"/>
    <x v="1"/>
    <x v="6"/>
    <x v="1"/>
  </r>
  <r>
    <x v="27"/>
    <x v="1"/>
    <x v="1"/>
    <n v="2"/>
    <n v="1"/>
    <d v="2026-07-20T00:00:00"/>
    <s v="2|19000101|46223"/>
    <x v="0"/>
    <x v="1"/>
    <x v="6"/>
    <x v="1"/>
  </r>
  <r>
    <x v="8"/>
    <x v="0"/>
    <x v="2"/>
    <n v="2"/>
    <n v="1"/>
    <d v="2026-07-20T00:00:00"/>
    <s v="2|19000101|46223"/>
    <x v="0"/>
    <x v="1"/>
    <x v="6"/>
    <x v="1"/>
  </r>
  <r>
    <x v="58"/>
    <x v="0"/>
    <x v="4"/>
    <n v="3"/>
    <n v="1"/>
    <d v="2026-07-20T00:00:00"/>
    <s v="3|19000101|46223"/>
    <x v="0"/>
    <x v="1"/>
    <x v="6"/>
    <x v="1"/>
  </r>
  <r>
    <x v="42"/>
    <x v="1"/>
    <x v="0"/>
    <n v="3"/>
    <n v="1"/>
    <d v="2026-07-20T00:00:00"/>
    <s v="3|19000101|46223"/>
    <x v="0"/>
    <x v="1"/>
    <x v="6"/>
    <x v="1"/>
  </r>
  <r>
    <x v="84"/>
    <x v="1"/>
    <x v="1"/>
    <n v="3"/>
    <n v="1"/>
    <d v="2026-07-20T00:00:00"/>
    <s v="3|19000101|46223"/>
    <x v="0"/>
    <x v="1"/>
    <x v="6"/>
    <x v="1"/>
  </r>
  <r>
    <x v="9"/>
    <x v="1"/>
    <x v="2"/>
    <n v="3"/>
    <n v="1"/>
    <d v="2026-07-20T00:00:00"/>
    <s v="3|19000101|46223"/>
    <x v="0"/>
    <x v="1"/>
    <x v="6"/>
    <x v="1"/>
  </r>
  <r>
    <x v="13"/>
    <x v="1"/>
    <x v="4"/>
    <n v="4"/>
    <n v="1"/>
    <d v="2026-07-20T00:00:00"/>
    <s v="4|19000101|46223"/>
    <x v="2"/>
    <x v="1"/>
    <x v="6"/>
    <x v="1"/>
  </r>
  <r>
    <x v="62"/>
    <x v="1"/>
    <x v="0"/>
    <n v="4"/>
    <n v="1"/>
    <d v="2026-07-20T00:00:00"/>
    <s v="4|19000101|46223"/>
    <x v="2"/>
    <x v="1"/>
    <x v="6"/>
    <x v="1"/>
  </r>
  <r>
    <x v="57"/>
    <x v="0"/>
    <x v="1"/>
    <n v="4"/>
    <n v="1"/>
    <d v="2026-07-20T00:00:00"/>
    <s v="4|19000101|46223"/>
    <x v="2"/>
    <x v="1"/>
    <x v="6"/>
    <x v="1"/>
  </r>
  <r>
    <x v="8"/>
    <x v="2"/>
    <x v="4"/>
    <n v="1"/>
    <n v="2"/>
    <d v="2026-07-20T00:00:00"/>
    <s v="1|19000102|46223"/>
    <x v="0"/>
    <x v="1"/>
    <x v="6"/>
    <x v="1"/>
  </r>
  <r>
    <x v="57"/>
    <x v="2"/>
    <x v="0"/>
    <n v="1"/>
    <n v="2"/>
    <d v="2026-07-20T00:00:00"/>
    <s v="1|19000102|46223"/>
    <x v="0"/>
    <x v="1"/>
    <x v="6"/>
    <x v="1"/>
  </r>
  <r>
    <x v="18"/>
    <x v="2"/>
    <x v="1"/>
    <n v="1"/>
    <n v="2"/>
    <d v="2026-07-20T00:00:00"/>
    <s v="1|19000102|46223"/>
    <x v="0"/>
    <x v="1"/>
    <x v="6"/>
    <x v="1"/>
  </r>
  <r>
    <x v="58"/>
    <x v="2"/>
    <x v="2"/>
    <n v="1"/>
    <n v="2"/>
    <d v="2026-07-20T00:00:00"/>
    <s v="1|19000102|46223"/>
    <x v="0"/>
    <x v="1"/>
    <x v="6"/>
    <x v="1"/>
  </r>
  <r>
    <x v="19"/>
    <x v="1"/>
    <x v="4"/>
    <n v="2"/>
    <n v="2"/>
    <d v="2026-07-20T00:00:00"/>
    <s v="2|19000102|46223"/>
    <x v="0"/>
    <x v="1"/>
    <x v="6"/>
    <x v="1"/>
  </r>
  <r>
    <x v="13"/>
    <x v="0"/>
    <x v="0"/>
    <n v="2"/>
    <n v="2"/>
    <d v="2026-07-20T00:00:00"/>
    <s v="2|19000102|46223"/>
    <x v="0"/>
    <x v="1"/>
    <x v="6"/>
    <x v="1"/>
  </r>
  <r>
    <x v="42"/>
    <x v="1"/>
    <x v="1"/>
    <n v="2"/>
    <n v="2"/>
    <d v="2026-07-20T00:00:00"/>
    <s v="2|19000102|46223"/>
    <x v="0"/>
    <x v="1"/>
    <x v="6"/>
    <x v="1"/>
  </r>
  <r>
    <x v="1"/>
    <x v="1"/>
    <x v="2"/>
    <n v="2"/>
    <n v="2"/>
    <d v="2026-07-20T00:00:00"/>
    <s v="2|19000102|46223"/>
    <x v="0"/>
    <x v="1"/>
    <x v="6"/>
    <x v="1"/>
  </r>
  <r>
    <x v="10"/>
    <x v="1"/>
    <x v="4"/>
    <n v="3"/>
    <n v="2"/>
    <d v="2026-07-20T00:00:00"/>
    <s v="3|19000102|46223"/>
    <x v="0"/>
    <x v="1"/>
    <x v="6"/>
    <x v="1"/>
  </r>
  <r>
    <x v="84"/>
    <x v="0"/>
    <x v="0"/>
    <n v="3"/>
    <n v="2"/>
    <d v="2026-07-20T00:00:00"/>
    <s v="3|19000102|46223"/>
    <x v="0"/>
    <x v="1"/>
    <x v="6"/>
    <x v="1"/>
  </r>
  <r>
    <x v="62"/>
    <x v="1"/>
    <x v="1"/>
    <n v="3"/>
    <n v="2"/>
    <d v="2026-07-20T00:00:00"/>
    <s v="3|19000102|46223"/>
    <x v="0"/>
    <x v="1"/>
    <x v="6"/>
    <x v="1"/>
  </r>
  <r>
    <x v="33"/>
    <x v="1"/>
    <x v="2"/>
    <n v="3"/>
    <n v="2"/>
    <d v="2026-07-20T00:00:00"/>
    <s v="3|19000102|46223"/>
    <x v="0"/>
    <x v="1"/>
    <x v="6"/>
    <x v="1"/>
  </r>
  <r>
    <x v="9"/>
    <x v="1"/>
    <x v="4"/>
    <n v="4"/>
    <n v="2"/>
    <d v="2026-07-20T00:00:00"/>
    <s v="4|19000102|46223"/>
    <x v="2"/>
    <x v="1"/>
    <x v="6"/>
    <x v="1"/>
  </r>
  <r>
    <x v="27"/>
    <x v="0"/>
    <x v="0"/>
    <n v="4"/>
    <n v="2"/>
    <d v="2026-07-20T00:00:00"/>
    <s v="4|19000102|46223"/>
    <x v="2"/>
    <x v="1"/>
    <x v="6"/>
    <x v="1"/>
  </r>
  <r>
    <x v="11"/>
    <x v="1"/>
    <x v="1"/>
    <n v="4"/>
    <n v="2"/>
    <d v="2026-07-20T00:00:00"/>
    <s v="4|19000102|46223"/>
    <x v="2"/>
    <x v="1"/>
    <x v="6"/>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5"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9"/>
        <item x="48"/>
        <item x="46"/>
        <item x="43"/>
        <item m="1" x="126"/>
        <item m="1" x="121"/>
        <item x="21"/>
        <item x="44"/>
        <item m="1" x="127"/>
        <item x="11"/>
        <item x="16"/>
        <item x="58"/>
        <item m="1" x="96"/>
        <item x="64"/>
        <item m="1" x="124"/>
        <item m="1" x="123"/>
        <item x="66"/>
        <item x="65"/>
        <item x="67"/>
        <item x="68"/>
        <item x="69"/>
        <item x="70"/>
        <item x="71"/>
        <item x="72"/>
        <item x="32"/>
        <item x="38"/>
        <item x="39"/>
        <item x="41"/>
        <item x="73"/>
        <item x="74"/>
        <item m="1" x="114"/>
        <item m="1" x="115"/>
        <item m="1" x="113"/>
        <item m="1" x="109"/>
        <item m="1" x="100"/>
        <item m="1" x="111"/>
        <item x="76"/>
        <item x="77"/>
        <item x="78"/>
        <item m="1" x="107"/>
        <item x="79"/>
        <item m="1" x="101"/>
        <item x="80"/>
        <item m="1" x="108"/>
        <item m="1" x="94"/>
        <item m="1" x="102"/>
        <item x="47"/>
        <item x="81"/>
        <item x="82"/>
        <item x="83"/>
        <item x="84"/>
        <item x="75"/>
        <item m="1" x="104"/>
        <item m="1" x="105"/>
        <item x="85"/>
        <item x="86"/>
        <item m="1" x="103"/>
        <item x="87"/>
        <item m="1" x="106"/>
        <item x="88"/>
        <item x="89"/>
        <item m="1" x="98"/>
        <item x="91"/>
        <item x="92"/>
        <item x="90"/>
        <item m="1" x="97"/>
        <item m="1" x="95"/>
        <item x="93"/>
        <item t="default"/>
      </items>
    </pivotField>
    <pivotField showAll="0"/>
    <pivotField showAll="0"/>
    <pivotField showAll="0"/>
    <pivotField showAll="0"/>
    <pivotField numFmtId="22" showAll="0">
      <items count="52">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9"/>
        <item x="46"/>
        <item x="43"/>
        <item m="1" x="126"/>
        <item m="1" x="121"/>
        <item x="21"/>
        <item x="44"/>
        <item m="1" x="127"/>
        <item x="11"/>
        <item x="16"/>
        <item x="58"/>
        <item m="1" x="96"/>
        <item x="64"/>
        <item m="1" x="124"/>
        <item m="1" x="123"/>
        <item x="65"/>
        <item x="66"/>
        <item x="67"/>
        <item x="68"/>
        <item x="69"/>
        <item x="70"/>
        <item x="71"/>
        <item x="72"/>
        <item x="32"/>
        <item x="38"/>
        <item x="39"/>
        <item x="41"/>
        <item x="73"/>
        <item x="74"/>
        <item m="1" x="114"/>
        <item m="1" x="115"/>
        <item m="1" x="113"/>
        <item m="1" x="109"/>
        <item m="1" x="100"/>
        <item m="1" x="111"/>
        <item x="76"/>
        <item x="77"/>
        <item x="78"/>
        <item m="1" x="107"/>
        <item x="79"/>
        <item m="1" x="101"/>
        <item m="1" x="108"/>
        <item x="80"/>
        <item m="1" x="94"/>
        <item m="1" x="102"/>
        <item x="48"/>
        <item x="81"/>
        <item x="82"/>
        <item x="83"/>
        <item x="84"/>
        <item x="75"/>
        <item m="1" x="105"/>
        <item x="85"/>
        <item m="1" x="104"/>
        <item x="86"/>
        <item m="1" x="103"/>
        <item x="87"/>
        <item m="1" x="106"/>
        <item x="88"/>
        <item x="89"/>
        <item m="1" x="98"/>
        <item x="91"/>
        <item x="92"/>
        <item x="90"/>
        <item m="1" x="97"/>
        <item m="1" x="95"/>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2"/>
    </i>
    <i>
      <x v="1"/>
    </i>
    <i>
      <x v="6"/>
    </i>
    <i>
      <x v="4"/>
    </i>
    <i>
      <x v="9"/>
    </i>
    <i>
      <x v="48"/>
    </i>
    <i>
      <x v="5"/>
    </i>
    <i>
      <x v="19"/>
    </i>
    <i>
      <x v="33"/>
    </i>
    <i>
      <x v="10"/>
    </i>
    <i>
      <x v="56"/>
    </i>
    <i>
      <x v="74"/>
    </i>
    <i>
      <x v="64"/>
    </i>
    <i>
      <x v="25"/>
    </i>
    <i>
      <x v="41"/>
    </i>
    <i>
      <x v="13"/>
    </i>
    <i>
      <x v="42"/>
    </i>
    <i>
      <x v="88"/>
    </i>
    <i>
      <x v="43"/>
    </i>
    <i>
      <x v="77"/>
    </i>
    <i>
      <x v="49"/>
    </i>
    <i>
      <x v="45"/>
    </i>
    <i>
      <x v="70"/>
    </i>
    <i>
      <x v="69"/>
    </i>
    <i>
      <x v="107"/>
    </i>
    <i>
      <x/>
    </i>
    <i>
      <x v="76"/>
    </i>
    <i>
      <x v="116"/>
    </i>
    <i>
      <x v="91"/>
    </i>
    <i>
      <x v="39"/>
    </i>
    <i>
      <x v="31"/>
    </i>
    <i>
      <x v="11"/>
    </i>
    <i>
      <x v="52"/>
    </i>
    <i>
      <x v="117"/>
    </i>
    <i>
      <x v="35"/>
    </i>
    <i>
      <x v="38"/>
    </i>
    <i>
      <x v="44"/>
    </i>
    <i>
      <x v="105"/>
    </i>
    <i>
      <x v="93"/>
    </i>
    <i>
      <x v="37"/>
    </i>
    <i>
      <x v="110"/>
    </i>
    <i>
      <x v="14"/>
    </i>
    <i>
      <x v="36"/>
    </i>
    <i>
      <x v="120"/>
    </i>
    <i>
      <x v="95"/>
    </i>
    <i>
      <x v="131"/>
    </i>
    <i>
      <x v="66"/>
    </i>
    <i>
      <x v="27"/>
    </i>
    <i>
      <x v="3"/>
    </i>
    <i>
      <x v="2"/>
    </i>
    <i>
      <x v="118"/>
    </i>
    <i>
      <x v="90"/>
    </i>
    <i>
      <x v="30"/>
    </i>
    <i>
      <x v="134"/>
    </i>
    <i>
      <x v="78"/>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4"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2"/>
        <filter val="4"/>
        <filter val="6"/>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876" totalsRowShown="0">
  <autoFilter ref="A1:K1876" xr:uid="{5D12F212-41F7-47F6-8D3C-5B1C2A153568}">
    <filterColumn colId="0">
      <filters>
        <filter val="Arman"/>
        <filter val="Arman 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389" tableType="queryTable" totalsRowShown="0">
  <autoFilter ref="A1:R5389"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S30" sqref="S30"/>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2</v>
      </c>
      <c r="D5" s="7">
        <f>_xlfn.RANK.EQ(View_Table[[#This Row],[Weighted Win%]], View_Table[Weighted Win%], 0)</f>
        <v>1</v>
      </c>
      <c r="E5" s="9">
        <f>_xlfn.LET(_xlpm.g,View_Table[[#This Row],[Games]], _xlpm.w,(View_Table[[#This Row],[Wins]] + View_Table[[#This Row],[Draws]] * 0.25), _xlpm.fake, MAX(0,25-_xlpm.g), IF(_xlpm.g=0,0,(_xlpm.w + _xlpm.fake*0.25)/(_xlpm.g + _xlpm.fake)))</f>
        <v>0.34</v>
      </c>
      <c r="F5" s="8">
        <f>IF(View_Table[[#This Row],[Games]]=0,0,(View_Table[[#This Row],[Wins]] + (View_Table[[#This Row],[Draws]] * 0.25))/View_Table[[#This Row],[Games]])</f>
        <v>0.8125</v>
      </c>
      <c r="G5" s="5">
        <f>IFERROR(
    GETPIVOTDATA(
        "Result",
        'Pivot Table'!$A$3,
        "Player",View_Table[[#This Row],[Player]],
        "Result","Win"
    ),
    0
)</f>
        <v>3</v>
      </c>
      <c r="H5" s="5">
        <f>IFERROR(
    GETPIVOTDATA(
        "Result",
        'Pivot Table'!$A$3,
        "Player",View_Table[[#This Row],[Player]],
        "Result","Loss"
    ),
    0
)</f>
        <v>0</v>
      </c>
      <c r="I5" s="5">
        <f>IFERROR(
    GETPIVOTDATA(
        "Result",
        'Pivot Table'!$A$3,
        "Player",View_Table[[#This Row],[Player]],
        "Result","Draw"
    ),
    0
)</f>
        <v>1</v>
      </c>
      <c r="J5" s="5">
        <f>View_Table[[#This Row],[Wins]]+View_Table[[#This Row],[Losses]]+View_Table[[#This Row],[Draws]]</f>
        <v>4</v>
      </c>
      <c r="K5" s="7">
        <f>IFERROR(
    GETPIVOTDATA(
        "Result",
        'Pivot Table Previous'!$A$3,
        "Player",View_Table[[#This Row],[Player]],
        "Result","Win"
    ),
    0
)</f>
        <v>2</v>
      </c>
      <c r="L5" s="5">
        <f>IFERROR(
    GETPIVOTDATA(
        "Result",
        'Pivot Table Previous'!$A$3,
        "Player",View_Table[[#This Row],[Player]],
        "Result","Loss"
    ),
    0
)</f>
        <v>0</v>
      </c>
      <c r="M5" s="5">
        <f>IFERROR(
    GETPIVOTDATA(
        "Result",
        'Pivot Table Previous'!$A$3,
        "Player",View_Table[[#This Row],[Player]],
        "Result","Draw"
    ),
    0
)</f>
        <v>0</v>
      </c>
      <c r="N5" s="5">
        <f>View_Table[[#This Row],[Wins Previous]]+View_Table[[#This Row],[Losses Previous]]+View_Table[[#This Row],[Draws Previous]]</f>
        <v>2</v>
      </c>
      <c r="O5" s="9">
        <f>_xlfn.LET(_xlpm.g,View_Table[[#This Row],[Games Previous]], _xlpm.w,(View_Table[[#This Row],[Wins Previous]] + View_Table[[#This Row],[Draws Previous]] * 0.25), _xlpm.fake, MAX(0,25-_xlpm.g), IF(_xlpm.g=0,0,(_xlpm.w + _xlpm.fake*0.25)/(_xlpm.g + _xlpm.fake)))</f>
        <v>0.31</v>
      </c>
      <c r="P5" s="7">
        <f>_xlfn.RANK.EQ(View_Table[[#This Row],[Weighted Win% Previous]], View_Table[Weighted Win% Previous], 0)</f>
        <v>3</v>
      </c>
    </row>
    <row r="6" spans="2:16" x14ac:dyDescent="0.25">
      <c r="B6" s="3" t="s">
        <v>15</v>
      </c>
      <c r="C6" s="6">
        <f>View_Table[[#This Row],[Rank Previous]]-View_Table[[#This Row],[Rank]]</f>
        <v>-1</v>
      </c>
      <c r="D6" s="7">
        <f>_xlfn.RANK.EQ(View_Table[[#This Row],[Weighted Win%]], View_Table[Weighted Win%], 0)</f>
        <v>2</v>
      </c>
      <c r="E6" s="9">
        <f>_xlfn.LET(_xlpm.g,View_Table[[#This Row],[Games]], _xlpm.w,(View_Table[[#This Row],[Wins]] + View_Table[[#This Row],[Draws]] * 0.25), _xlpm.fake, MAX(0,25-_xlpm.g), IF(_xlpm.g=0,0,(_xlpm.w + _xlpm.fake*0.25)/(_xlpm.g + _xlpm.fake)))</f>
        <v>0.32</v>
      </c>
      <c r="F6" s="8">
        <f>IF(View_Table[[#This Row],[Games]]=0,0,(View_Table[[#This Row],[Wins]] + (View_Table[[#This Row],[Draws]] * 0.25))/View_Table[[#This Row],[Games]])</f>
        <v>0.54166666666666663</v>
      </c>
      <c r="G6" s="5">
        <f>IFERROR(
    GETPIVOTDATA(
        "Result",
        'Pivot Table'!$A$3,
        "Player",View_Table[[#This Row],[Player]],
        "Result","Win"
    ),
    0
)</f>
        <v>3</v>
      </c>
      <c r="H6" s="5">
        <f>IFERROR(
    GETPIVOTDATA(
        "Result",
        'Pivot Table'!$A$3,
        "Player",View_Table[[#This Row],[Player]],
        "Result","Loss"
    ),
    0
)</f>
        <v>2</v>
      </c>
      <c r="I6" s="5">
        <f>IFERROR(
    GETPIVOTDATA(
        "Result",
        'Pivot Table'!$A$3,
        "Player",View_Table[[#This Row],[Player]],
        "Result","Draw"
    ),
    0
)</f>
        <v>1</v>
      </c>
      <c r="J6" s="5">
        <f>View_Table[[#This Row],[Wins]]+View_Table[[#This Row],[Losses]]+View_Table[[#This Row],[Draws]]</f>
        <v>6</v>
      </c>
      <c r="K6" s="7">
        <f>IFERROR(
    GETPIVOTDATA(
        "Result",
        'Pivot Table Previous'!$A$3,
        "Player",View_Table[[#This Row],[Player]],
        "Result","Win"
    ),
    0
)</f>
        <v>3</v>
      </c>
      <c r="L6" s="5">
        <f>IFERROR(
    GETPIVOTDATA(
        "Result",
        'Pivot Table Previous'!$A$3,
        "Player",View_Table[[#This Row],[Player]],
        "Result","Loss"
    ),
    0
)</f>
        <v>0</v>
      </c>
      <c r="M6" s="5">
        <f>IFERROR(
    GETPIVOTDATA(
        "Result",
        'Pivot Table Previous'!$A$3,
        "Player",View_Table[[#This Row],[Player]],
        "Result","Draw"
    ),
    0
)</f>
        <v>1</v>
      </c>
      <c r="N6" s="5">
        <f>View_Table[[#This Row],[Wins Previous]]+View_Table[[#This Row],[Losses Previous]]+View_Table[[#This Row],[Draws Previous]]</f>
        <v>4</v>
      </c>
      <c r="O6" s="9">
        <f>_xlfn.LET(_xlpm.g,View_Table[[#This Row],[Games Previous]], _xlpm.w,(View_Table[[#This Row],[Wins Previous]] + View_Table[[#This Row],[Draws Previous]] * 0.25), _xlpm.fake, MAX(0,25-_xlpm.g), IF(_xlpm.g=0,0,(_xlpm.w + _xlpm.fake*0.25)/(_xlpm.g + _xlpm.fake)))</f>
        <v>0.34</v>
      </c>
      <c r="P6" s="7">
        <f>_xlfn.RANK.EQ(View_Table[[#This Row],[Weighted Win% Previous]], View_Table[Weighted Win% Previous], 0)</f>
        <v>1</v>
      </c>
    </row>
    <row r="7" spans="2:16" hidden="1" x14ac:dyDescent="0.25">
      <c r="B7" s="3" t="s">
        <v>434</v>
      </c>
      <c r="C7" s="6">
        <f>View_Table[[#This Row],[Rank Previous]]-View_Table[[#This Row],[Rank]]</f>
        <v>0</v>
      </c>
      <c r="D7" s="7">
        <f>_xlfn.RANK.EQ(View_Table[[#This Row],[Weighted Win%]], View_Table[Weighted Win%], 0)</f>
        <v>29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29</v>
      </c>
    </row>
    <row r="8" spans="2:16" x14ac:dyDescent="0.25">
      <c r="B8" s="3" t="s">
        <v>19</v>
      </c>
      <c r="C8" s="6">
        <f>View_Table[[#This Row],[Rank Previous]]-View_Table[[#This Row],[Rank]]</f>
        <v>2</v>
      </c>
      <c r="D8" s="7">
        <f>_xlfn.RANK.EQ(View_Table[[#This Row],[Weighted Win%]], View_Table[Weighted Win%], 0)</f>
        <v>2</v>
      </c>
      <c r="E8" s="9">
        <f>_xlfn.LET(_xlpm.g,View_Table[[#This Row],[Games]], _xlpm.w,(View_Table[[#This Row],[Wins]] + View_Table[[#This Row],[Draws]] * 0.25), _xlpm.fake, MAX(0,25-_xlpm.g), IF(_xlpm.g=0,0,(_xlpm.w + _xlpm.fake*0.25)/(_xlpm.g + _xlpm.fake)))</f>
        <v>0.32</v>
      </c>
      <c r="F8" s="8">
        <f>IF(View_Table[[#This Row],[Games]]=0,0,(View_Table[[#This Row],[Wins]] + (View_Table[[#This Row],[Draws]] * 0.25))/View_Table[[#This Row],[Games]])</f>
        <v>0.54166666666666663</v>
      </c>
      <c r="G8" s="5">
        <f>IFERROR(
    GETPIVOTDATA(
        "Result",
        'Pivot Table'!$A$3,
        "Player",View_Table[[#This Row],[Player]],
        "Result","Win"
    ),
    0
)</f>
        <v>3</v>
      </c>
      <c r="H8" s="5">
        <f>IFERROR(
    GETPIVOTDATA(
        "Result",
        'Pivot Table'!$A$3,
        "Player",View_Table[[#This Row],[Player]],
        "Result","Loss"
    ),
    0
)</f>
        <v>2</v>
      </c>
      <c r="I8" s="5">
        <f>IFERROR(
    GETPIVOTDATA(
        "Result",
        'Pivot Table'!$A$3,
        "Player",View_Table[[#This Row],[Player]],
        "Result","Draw"
    ),
    0
)</f>
        <v>1</v>
      </c>
      <c r="J8" s="5">
        <f>View_Table[[#This Row],[Wins]]+View_Table[[#This Row],[Losses]]+View_Table[[#This Row],[Draws]]</f>
        <v>6</v>
      </c>
      <c r="K8" s="5">
        <f>IFERROR(
    GETPIVOTDATA(
        "Result",
        'Pivot Table Previous'!$A$3,
        "Player",View_Table[[#This Row],[Player]],
        "Result","Win"
    ),
    0
)</f>
        <v>2</v>
      </c>
      <c r="L8" s="5">
        <f>IFERROR(
    GETPIVOTDATA(
        "Result",
        'Pivot Table Previous'!$A$3,
        "Player",View_Table[[#This Row],[Player]],
        "Result","Loss"
    ),
    0
)</f>
        <v>2</v>
      </c>
      <c r="M8" s="5">
        <f>IFERROR(
    GETPIVOTDATA(
        "Result",
        'Pivot Table Previous'!$A$3,
        "Player",View_Table[[#This Row],[Player]],
        "Result","Draw"
    ),
    0
)</f>
        <v>0</v>
      </c>
      <c r="N8" s="5">
        <f>View_Table[[#This Row],[Wins Previous]]+View_Table[[#This Row],[Losses Previous]]+View_Table[[#This Row],[Draws Previous]]</f>
        <v>4</v>
      </c>
      <c r="O8" s="9">
        <f>_xlfn.LET(_xlpm.g,View_Table[[#This Row],[Games Previous]], _xlpm.w,(View_Table[[#This Row],[Wins Previous]] + View_Table[[#This Row],[Draws Previous]] * 0.25), _xlpm.fake, MAX(0,25-_xlpm.g), IF(_xlpm.g=0,0,(_xlpm.w + _xlpm.fake*0.25)/(_xlpm.g + _xlpm.fake)))</f>
        <v>0.28999999999999998</v>
      </c>
      <c r="P8" s="7">
        <f>IF(View_Table[[#This Row],[Games Previous]]=0,
    View_Table[[#This Row],[Rank]],
    _xlfn.RANK.EQ(View_Table[[#This Row],[Weighted Win% Previous]], View_Table[Weighted Win% Previous], 0)
)</f>
        <v>4</v>
      </c>
    </row>
    <row r="9" spans="2:16" x14ac:dyDescent="0.25">
      <c r="B9" s="3" t="s">
        <v>352</v>
      </c>
      <c r="C9" s="6">
        <f>View_Table[[#This Row],[Rank Previous]]-View_Table[[#This Row],[Rank]]</f>
        <v>-2</v>
      </c>
      <c r="D9" s="7">
        <f>_xlfn.RANK.EQ(View_Table[[#This Row],[Weighted Win%]], View_Table[Weighted Win%], 0)</f>
        <v>4</v>
      </c>
      <c r="E9" s="9">
        <f>_xlfn.LET(_xlpm.g,View_Table[[#This Row],[Games]], _xlpm.w,(View_Table[[#This Row],[Wins]] + View_Table[[#This Row],[Draws]] * 0.25), _xlpm.fake, MAX(0,25-_xlpm.g), IF(_xlpm.g=0,0,(_xlpm.w + _xlpm.fake*0.25)/(_xlpm.g + _xlpm.fake)))</f>
        <v>0.31</v>
      </c>
      <c r="F9" s="8">
        <f>IF(View_Table[[#This Row],[Games]]=0,0,(View_Table[[#This Row],[Wins]] + (View_Table[[#This Row],[Draws]] * 0.25))/View_Table[[#This Row],[Games]])</f>
        <v>0.5</v>
      </c>
      <c r="G9" s="5">
        <f>IFERROR(
    GETPIVOTDATA(
        "Result",
        'Pivot Table'!$A$3,
        "Player",View_Table[[#This Row],[Player]],
        "Result","Win"
    ),
    0
)</f>
        <v>3</v>
      </c>
      <c r="H9" s="5">
        <f>IFERROR(
    GETPIVOTDATA(
        "Result",
        'Pivot Table'!$A$3,
        "Player",View_Table[[#This Row],[Player]],
        "Result","Loss"
    ),
    0
)</f>
        <v>3</v>
      </c>
      <c r="I9" s="5">
        <f>IFERROR(
    GETPIVOTDATA(
        "Result",
        'Pivot Table'!$A$3,
        "Player",View_Table[[#This Row],[Player]],
        "Result","Draw"
    ),
    0
)</f>
        <v>0</v>
      </c>
      <c r="J9" s="5">
        <f>View_Table[[#This Row],[Wins]]+View_Table[[#This Row],[Losses]]+View_Table[[#This Row],[Draws]]</f>
        <v>6</v>
      </c>
      <c r="K9" s="7">
        <f>IFERROR(
    GETPIVOTDATA(
        "Result",
        'Pivot Table Previous'!$A$3,
        "Player",View_Table[[#This Row],[Player]],
        "Result","Win"
    ),
    0
)</f>
        <v>3</v>
      </c>
      <c r="L9" s="5">
        <f>IFERROR(
    GETPIVOTDATA(
        "Result",
        'Pivot Table Previous'!$A$3,
        "Player",View_Table[[#This Row],[Player]],
        "Result","Loss"
    ),
    0
)</f>
        <v>1</v>
      </c>
      <c r="M9" s="5">
        <f>IFERROR(
    GETPIVOTDATA(
        "Result",
        'Pivot Table Previous'!$A$3,
        "Player",View_Table[[#This Row],[Player]],
        "Result","Draw"
    ),
    0
)</f>
        <v>0</v>
      </c>
      <c r="N9" s="5">
        <f>View_Table[[#This Row],[Wins Previous]]+View_Table[[#This Row],[Losses Previous]]+View_Table[[#This Row],[Draws Previous]]</f>
        <v>4</v>
      </c>
      <c r="O9" s="9">
        <f>_xlfn.LET(_xlpm.g,View_Table[[#This Row],[Games Previous]], _xlpm.w,(View_Table[[#This Row],[Wins Previous]] + View_Table[[#This Row],[Draws Previous]] * 0.25), _xlpm.fake, MAX(0,25-_xlpm.g), IF(_xlpm.g=0,0,(_xlpm.w + _xlpm.fake*0.25)/(_xlpm.g + _xlpm.fake)))</f>
        <v>0.33</v>
      </c>
      <c r="P9" s="7">
        <f>_xlfn.RANK.EQ(View_Table[[#This Row],[Weighted Win% Previous]], View_Table[Weighted Win% Previous], 0)</f>
        <v>2</v>
      </c>
    </row>
    <row r="10" spans="2:16" x14ac:dyDescent="0.25">
      <c r="B10" s="3" t="s">
        <v>17</v>
      </c>
      <c r="C10" s="6">
        <f>View_Table[[#This Row],[Rank Previous]]-View_Table[[#This Row],[Rank]]</f>
        <v>4</v>
      </c>
      <c r="D10" s="7">
        <f>_xlfn.RANK.EQ(View_Table[[#This Row],[Weighted Win%]], View_Table[Weighted Win%], 0)</f>
        <v>5</v>
      </c>
      <c r="E10" s="9">
        <f>_xlfn.LET(_xlpm.g,View_Table[[#This Row],[Games]], _xlpm.w,(View_Table[[#This Row],[Wins]] + View_Table[[#This Row],[Draws]] * 0.25), _xlpm.fake, MAX(0,25-_xlpm.g), IF(_xlpm.g=0,0,(_xlpm.w + _xlpm.fake*0.25)/(_xlpm.g + _xlpm.fake)))</f>
        <v>0.28000000000000003</v>
      </c>
      <c r="F10" s="8">
        <f>IF(View_Table[[#This Row],[Games]]=0,0,(View_Table[[#This Row],[Wins]] + (View_Table[[#This Row],[Draws]] * 0.25))/View_Table[[#This Row],[Games]])</f>
        <v>0.375</v>
      </c>
      <c r="G10" s="5">
        <f>IFERROR(
    GETPIVOTDATA(
        "Result",
        'Pivot Table'!$A$3,
        "Player",View_Table[[#This Row],[Player]],
        "Result","Win"
    ),
    0
)</f>
        <v>2</v>
      </c>
      <c r="H10" s="5">
        <f>IFERROR(
    GETPIVOTDATA(
        "Result",
        'Pivot Table'!$A$3,
        "Player",View_Table[[#This Row],[Player]],
        "Result","Loss"
    ),
    0
)</f>
        <v>3</v>
      </c>
      <c r="I10" s="5">
        <f>IFERROR(
    GETPIVOTDATA(
        "Result",
        'Pivot Table'!$A$3,
        "Player",View_Table[[#This Row],[Player]],
        "Result","Draw"
    ),
    0
)</f>
        <v>1</v>
      </c>
      <c r="J10" s="5">
        <f>View_Table[[#This Row],[Wins]]+View_Table[[#This Row],[Losses]]+View_Table[[#This Row],[Draws]]</f>
        <v>6</v>
      </c>
      <c r="K10" s="5">
        <f>IFERROR(
    GETPIVOTDATA(
        "Result",
        'Pivot Table Previous'!$A$3,
        "Player",View_Table[[#This Row],[Player]],
        "Result","Win"
    ),
    0
)</f>
        <v>1</v>
      </c>
      <c r="L10" s="5">
        <f>IFERROR(
    GETPIVOTDATA(
        "Result",
        'Pivot Table Previous'!$A$3,
        "Player",View_Table[[#This Row],[Player]],
        "Result","Loss"
    ),
    0
)</f>
        <v>3</v>
      </c>
      <c r="M10" s="5">
        <f>IFERROR(
    GETPIVOTDATA(
        "Result",
        'Pivot Table Previous'!$A$3,
        "Player",View_Table[[#This Row],[Player]],
        "Result","Draw"
    ),
    0
)</f>
        <v>0</v>
      </c>
      <c r="N10" s="5">
        <f>View_Table[[#This Row],[Wins Previous]]+View_Table[[#This Row],[Losses Previous]]+View_Table[[#This Row],[Draws Previous]]</f>
        <v>4</v>
      </c>
      <c r="O10" s="9">
        <f>_xlfn.LET(_xlpm.g,View_Table[[#This Row],[Games Previous]], _xlpm.w,(View_Table[[#This Row],[Wins Previous]] + View_Table[[#This Row],[Draws Previous]] * 0.25), _xlpm.fake, MAX(0,25-_xlpm.g), IF(_xlpm.g=0,0,(_xlpm.w + _xlpm.fake*0.25)/(_xlpm.g + _xlpm.fake)))</f>
        <v>0.25</v>
      </c>
      <c r="P10" s="7">
        <f>IF(View_Table[[#This Row],[Games Previous]]=0,
    View_Table[[#This Row],[Rank]],
    _xlfn.RANK.EQ(View_Table[[#This Row],[Weighted Win% Previous]], View_Table[Weighted Win% Previous], 0)
)</f>
        <v>9</v>
      </c>
    </row>
    <row r="11" spans="2:16" hidden="1" x14ac:dyDescent="0.25">
      <c r="B11" s="3" t="s">
        <v>322</v>
      </c>
      <c r="C11" s="6">
        <f>View_Table[[#This Row],[Rank Previous]]-View_Table[[#This Row],[Rank]]</f>
        <v>0</v>
      </c>
      <c r="D11" s="7">
        <f>_xlfn.RANK.EQ(View_Table[[#This Row],[Weighted Win%]], View_Table[Weighted Win%], 0)</f>
        <v>29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29</v>
      </c>
    </row>
    <row r="12" spans="2:16" x14ac:dyDescent="0.25">
      <c r="B12" s="3" t="s">
        <v>326</v>
      </c>
      <c r="C12" s="6">
        <f>View_Table[[#This Row],[Rank Previous]]-View_Table[[#This Row],[Rank]]</f>
        <v>-1</v>
      </c>
      <c r="D12" s="7">
        <f>_xlfn.RANK.EQ(View_Table[[#This Row],[Weighted Win%]], View_Table[Weighted Win%], 0)</f>
        <v>6</v>
      </c>
      <c r="E12" s="9">
        <f>_xlfn.LET(_xlpm.g,View_Table[[#This Row],[Games]], _xlpm.w,(View_Table[[#This Row],[Wins]] + View_Table[[#This Row],[Draws]] * 0.25), _xlpm.fake, MAX(0,25-_xlpm.g), IF(_xlpm.g=0,0,(_xlpm.w + _xlpm.fake*0.25)/(_xlpm.g + _xlpm.fake)))</f>
        <v>0.27</v>
      </c>
      <c r="F12" s="8">
        <f>IF(View_Table[[#This Row],[Games]]=0,0,(View_Table[[#This Row],[Wins]] + (View_Table[[#This Row],[Draws]] * 0.25))/View_Table[[#This Row],[Games]])</f>
        <v>0.5</v>
      </c>
      <c r="G12" s="5">
        <f>IFERROR(
    GETPIVOTDATA(
        "Result",
        'Pivot Table'!$A$3,
        "Player",View_Table[[#This Row],[Player]],
        "Result","Win"
    ),
    0
)</f>
        <v>1</v>
      </c>
      <c r="H12" s="5">
        <f>IFERROR(
    GETPIVOTDATA(
        "Result",
        'Pivot Table'!$A$3,
        "Player",View_Table[[#This Row],[Player]],
        "Result","Loss"
    ),
    0
)</f>
        <v>1</v>
      </c>
      <c r="I12" s="5">
        <f>IFERROR(
    GETPIVOTDATA(
        "Result",
        'Pivot Table'!$A$3,
        "Player",View_Table[[#This Row],[Player]],
        "Result","Draw"
    ),
    0
)</f>
        <v>0</v>
      </c>
      <c r="J12" s="5">
        <f>View_Table[[#This Row],[Wins]]+View_Table[[#This Row],[Losses]]+View_Table[[#This Row],[Draws]]</f>
        <v>2</v>
      </c>
      <c r="K12" s="7">
        <f>IFERROR(
    GETPIVOTDATA(
        "Result",
        'Pivot Table Previous'!$A$3,
        "Player",View_Table[[#This Row],[Player]],
        "Result","Win"
    ),
    0
)</f>
        <v>1</v>
      </c>
      <c r="L12" s="5">
        <f>IFERROR(
    GETPIVOTDATA(
        "Result",
        'Pivot Table Previous'!$A$3,
        "Player",View_Table[[#This Row],[Player]],
        "Result","Loss"
    ),
    0
)</f>
        <v>1</v>
      </c>
      <c r="M12" s="5">
        <f>IFERROR(
    GETPIVOTDATA(
        "Result",
        'Pivot Table Previous'!$A$3,
        "Player",View_Table[[#This Row],[Player]],
        "Result","Draw"
    ),
    0
)</f>
        <v>0</v>
      </c>
      <c r="N12" s="5">
        <f>View_Table[[#This Row],[Wins Previous]]+View_Table[[#This Row],[Losses Previous]]+View_Table[[#This Row],[Draws Previous]]</f>
        <v>2</v>
      </c>
      <c r="O12" s="9">
        <f>_xlfn.LET(_xlpm.g,View_Table[[#This Row],[Games Previous]], _xlpm.w,(View_Table[[#This Row],[Wins Previous]] + View_Table[[#This Row],[Draws Previous]] * 0.25), _xlpm.fake, MAX(0,25-_xlpm.g), IF(_xlpm.g=0,0,(_xlpm.w + _xlpm.fake*0.25)/(_xlpm.g + _xlpm.fake)))</f>
        <v>0.27</v>
      </c>
      <c r="P12" s="7">
        <f>_xlfn.RANK.EQ(View_Table[[#This Row],[Weighted Win% Previous]], View_Table[Weighted Win% Previous], 0)</f>
        <v>5</v>
      </c>
    </row>
    <row r="13" spans="2:16" x14ac:dyDescent="0.25">
      <c r="B13" s="3" t="s">
        <v>11</v>
      </c>
      <c r="C13" s="6">
        <f>View_Table[[#This Row],[Rank Previous]]-View_Table[[#This Row],[Rank]]</f>
        <v>-1</v>
      </c>
      <c r="D13" s="7">
        <f>_xlfn.RANK.EQ(View_Table[[#This Row],[Weighted Win%]], View_Table[Weighted Win%], 0)</f>
        <v>6</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7">
        <f>IFERROR(
    GETPIVOTDATA(
        "Result",
        'Pivot Table Previous'!$A$3,
        "Player",View_Table[[#This Row],[Player]],
        "Result","Win"
    ),
    0
)</f>
        <v>1</v>
      </c>
      <c r="L13" s="5">
        <f>IFERROR(
    GETPIVOTDATA(
        "Result",
        'Pivot Table Previous'!$A$3,
        "Player",View_Table[[#This Row],[Player]],
        "Result","Loss"
    ),
    0
)</f>
        <v>1</v>
      </c>
      <c r="M13" s="5">
        <f>IFERROR(
    GETPIVOTDATA(
        "Result",
        'Pivot Table Previous'!$A$3,
        "Player",View_Table[[#This Row],[Player]],
        "Result","Draw"
    ),
    0
)</f>
        <v>0</v>
      </c>
      <c r="N13" s="5">
        <f>View_Table[[#This Row],[Wins Previous]]+View_Table[[#This Row],[Losses Previous]]+View_Table[[#This Row],[Draws Previous]]</f>
        <v>2</v>
      </c>
      <c r="O13" s="9">
        <f>_xlfn.LET(_xlpm.g,View_Table[[#This Row],[Games Previous]], _xlpm.w,(View_Table[[#This Row],[Wins Previous]] + View_Table[[#This Row],[Draws Previous]] * 0.25), _xlpm.fake, MAX(0,25-_xlpm.g), IF(_xlpm.g=0,0,(_xlpm.w + _xlpm.fake*0.25)/(_xlpm.g + _xlpm.fake)))</f>
        <v>0.27</v>
      </c>
      <c r="P13" s="7">
        <f>_xlfn.RANK.EQ(View_Table[[#This Row],[Weighted Win% Previous]], View_Table[Weighted Win% Previous], 0)</f>
        <v>5</v>
      </c>
    </row>
    <row r="14" spans="2:16" x14ac:dyDescent="0.25">
      <c r="B14" s="3" t="s">
        <v>7</v>
      </c>
      <c r="C14" s="6">
        <f>View_Table[[#This Row],[Rank Previous]]-View_Table[[#This Row],[Rank]]</f>
        <v>3</v>
      </c>
      <c r="D14" s="7">
        <f>_xlfn.RANK.EQ(View_Table[[#This Row],[Weighted Win%]], View_Table[Weighted Win%], 0)</f>
        <v>6</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0.33333333333333331</v>
      </c>
      <c r="G14" s="5">
        <f>IFERROR(
    GETPIVOTDATA(
        "Result",
        'Pivot Table'!$A$3,
        "Player",View_Table[[#This Row],[Player]],
        "Result","Win"
    ),
    0
)</f>
        <v>2</v>
      </c>
      <c r="H14" s="5">
        <f>IFERROR(
    GETPIVOTDATA(
        "Result",
        'Pivot Table'!$A$3,
        "Player",View_Table[[#This Row],[Player]],
        "Result","Loss"
    ),
    0
)</f>
        <v>4</v>
      </c>
      <c r="I14" s="5">
        <f>IFERROR(
    GETPIVOTDATA(
        "Result",
        'Pivot Table'!$A$3,
        "Player",View_Table[[#This Row],[Player]],
        "Result","Draw"
    ),
    0
)</f>
        <v>0</v>
      </c>
      <c r="J14" s="5">
        <f>View_Table[[#This Row],[Wins]]+View_Table[[#This Row],[Losses]]+View_Table[[#This Row],[Draws]]</f>
        <v>6</v>
      </c>
      <c r="K14" s="5">
        <f>IFERROR(
    GETPIVOTDATA(
        "Result",
        'Pivot Table Previous'!$A$3,
        "Player",View_Table[[#This Row],[Player]],
        "Result","Win"
    ),
    0
)</f>
        <v>1</v>
      </c>
      <c r="L14" s="5">
        <f>IFERROR(
    GETPIVOTDATA(
        "Result",
        'Pivot Table Previous'!$A$3,
        "Player",View_Table[[#This Row],[Player]],
        "Result","Loss"
    ),
    0
)</f>
        <v>3</v>
      </c>
      <c r="M14" s="5">
        <f>IFERROR(
    GETPIVOTDATA(
        "Result",
        'Pivot Table Previous'!$A$3,
        "Player",View_Table[[#This Row],[Player]],
        "Result","Draw"
    ),
    0
)</f>
        <v>0</v>
      </c>
      <c r="N14" s="5">
        <f>View_Table[[#This Row],[Wins Previous]]+View_Table[[#This Row],[Losses Previous]]+View_Table[[#This Row],[Draws Previous]]</f>
        <v>4</v>
      </c>
      <c r="O14" s="9">
        <f>_xlfn.LET(_xlpm.g,View_Table[[#This Row],[Games Previous]], _xlpm.w,(View_Table[[#This Row],[Wins Previous]] + View_Table[[#This Row],[Draws Previous]] * 0.25), _xlpm.fake, MAX(0,25-_xlpm.g), IF(_xlpm.g=0,0,(_xlpm.w + _xlpm.fake*0.25)/(_xlpm.g + _xlpm.fake)))</f>
        <v>0.25</v>
      </c>
      <c r="P14" s="7">
        <f>IF(View_Table[[#This Row],[Games Previous]]=0,
    View_Table[[#This Row],[Rank]],
    _xlfn.RANK.EQ(View_Table[[#This Row],[Weighted Win% Previous]], View_Table[Weighted Win% Previous], 0)
)</f>
        <v>9</v>
      </c>
    </row>
    <row r="15" spans="2:16" hidden="1" x14ac:dyDescent="0.25">
      <c r="B15" s="3" t="s">
        <v>421</v>
      </c>
      <c r="C15" s="6">
        <f>View_Table[[#This Row],[Rank Previous]]-View_Table[[#This Row],[Rank]]</f>
        <v>0</v>
      </c>
      <c r="D15" s="7">
        <f>_xlfn.RANK.EQ(View_Table[[#This Row],[Weighted Win%]], View_Table[Weighted Win%], 0)</f>
        <v>29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29</v>
      </c>
    </row>
    <row r="16" spans="2:16" x14ac:dyDescent="0.25">
      <c r="B16" s="3" t="s">
        <v>405</v>
      </c>
      <c r="C16" s="6">
        <f>View_Table[[#This Row],[Rank Previous]]-View_Table[[#This Row],[Rank]]</f>
        <v>-1</v>
      </c>
      <c r="D16" s="7">
        <f>_xlfn.RANK.EQ(View_Table[[#This Row],[Weighted Win%]], View_Table[Weighted Win%], 0)</f>
        <v>9</v>
      </c>
      <c r="E16" s="9">
        <f>_xlfn.LET(_xlpm.g,View_Table[[#This Row],[Games]], _xlpm.w,(View_Table[[#This Row],[Wins]] + View_Table[[#This Row],[Draws]] * 0.25), _xlpm.fake, MAX(0,25-_xlpm.g), IF(_xlpm.g=0,0,(_xlpm.w + _xlpm.fake*0.25)/(_xlpm.g + _xlpm.fake)))</f>
        <v>0.26</v>
      </c>
      <c r="F16" s="8">
        <f>IF(View_Table[[#This Row],[Games]]=0,0,(View_Table[[#This Row],[Wins]] + (View_Table[[#This Row],[Draws]] * 0.25))/View_Table[[#This Row],[Games]])</f>
        <v>0.3125</v>
      </c>
      <c r="G16" s="5">
        <f>IFERROR(
    GETPIVOTDATA(
        "Result",
        'Pivot Table'!$A$3,
        "Player",View_Table[[#This Row],[Player]],
        "Result","Win"
    ),
    0
)</f>
        <v>1</v>
      </c>
      <c r="H16" s="5">
        <f>IFERROR(
    GETPIVOTDATA(
        "Result",
        'Pivot Table'!$A$3,
        "Player",View_Table[[#This Row],[Player]],
        "Result","Loss"
    ),
    0
)</f>
        <v>2</v>
      </c>
      <c r="I16" s="5">
        <f>IFERROR(
    GETPIVOTDATA(
        "Result",
        'Pivot Table'!$A$3,
        "Player",View_Table[[#This Row],[Player]],
        "Result","Draw"
    ),
    0
)</f>
        <v>1</v>
      </c>
      <c r="J16" s="5">
        <f>View_Table[[#This Row],[Wins]]+View_Table[[#This Row],[Losses]]+View_Table[[#This Row],[Draws]]</f>
        <v>4</v>
      </c>
      <c r="K16" s="7">
        <f>IFERROR(
    GETPIVOTDATA(
        "Result",
        'Pivot Table Previous'!$A$3,
        "Player",View_Table[[#This Row],[Player]],
        "Result","Win"
    ),
    0
)</f>
        <v>1</v>
      </c>
      <c r="L16" s="5">
        <f>IFERROR(
    GETPIVOTDATA(
        "Result",
        'Pivot Table Previous'!$A$3,
        "Player",View_Table[[#This Row],[Player]],
        "Result","Loss"
    ),
    0
)</f>
        <v>2</v>
      </c>
      <c r="M16" s="5">
        <f>IFERROR(
    GETPIVOTDATA(
        "Result",
        'Pivot Table Previous'!$A$3,
        "Player",View_Table[[#This Row],[Player]],
        "Result","Draw"
    ),
    0
)</f>
        <v>1</v>
      </c>
      <c r="N16" s="5">
        <f>View_Table[[#This Row],[Wins Previous]]+View_Table[[#This Row],[Losses Previous]]+View_Table[[#This Row],[Draws Previous]]</f>
        <v>4</v>
      </c>
      <c r="O16" s="9">
        <f>_xlfn.LET(_xlpm.g,View_Table[[#This Row],[Games Previous]], _xlpm.w,(View_Table[[#This Row],[Wins Previous]] + View_Table[[#This Row],[Draws Previous]] * 0.25), _xlpm.fake, MAX(0,25-_xlpm.g), IF(_xlpm.g=0,0,(_xlpm.w + _xlpm.fake*0.25)/(_xlpm.g + _xlpm.fake)))</f>
        <v>0.26</v>
      </c>
      <c r="P16" s="7">
        <f>_xlfn.RANK.EQ(View_Table[[#This Row],[Weighted Win% Previous]], View_Table[Weighted Win% Previous], 0)</f>
        <v>8</v>
      </c>
    </row>
    <row r="17" spans="2:16" hidden="1" x14ac:dyDescent="0.25">
      <c r="B17" s="3" t="s">
        <v>402</v>
      </c>
      <c r="C17" s="6">
        <f>View_Table[[#This Row],[Rank Previous]]-View_Table[[#This Row],[Rank]]</f>
        <v>0</v>
      </c>
      <c r="D17" s="7">
        <f>_xlfn.RANK.EQ(View_Table[[#This Row],[Weighted Win%]], View_Table[Weighted Win%], 0)</f>
        <v>29</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29</v>
      </c>
    </row>
    <row r="18" spans="2:16" x14ac:dyDescent="0.25">
      <c r="B18" s="3" t="s">
        <v>9</v>
      </c>
      <c r="C18" s="6">
        <f>View_Table[[#This Row],[Rank Previous]]-View_Table[[#This Row],[Rank]]</f>
        <v>8</v>
      </c>
      <c r="D18" s="7">
        <f>_xlfn.RANK.EQ(View_Table[[#This Row],[Weighted Win%]], View_Table[Weighted Win%], 0)</f>
        <v>9</v>
      </c>
      <c r="E18" s="9">
        <f>_xlfn.LET(_xlpm.g,View_Table[[#This Row],[Games]], _xlpm.w,(View_Table[[#This Row],[Wins]] + View_Table[[#This Row],[Draws]] * 0.25), _xlpm.fake, MAX(0,25-_xlpm.g), IF(_xlpm.g=0,0,(_xlpm.w + _xlpm.fake*0.25)/(_xlpm.g + _xlpm.fake)))</f>
        <v>0.26</v>
      </c>
      <c r="F18" s="8">
        <f>IF(View_Table[[#This Row],[Games]]=0,0,(View_Table[[#This Row],[Wins]] + (View_Table[[#This Row],[Draws]] * 0.25))/View_Table[[#This Row],[Games]])</f>
        <v>0.29166666666666669</v>
      </c>
      <c r="G18" s="5">
        <f>IFERROR(
    GETPIVOTDATA(
        "Result",
        'Pivot Table'!$A$3,
        "Player",View_Table[[#This Row],[Player]],
        "Result","Win"
    ),
    0
)</f>
        <v>1</v>
      </c>
      <c r="H18" s="5">
        <f>IFERROR(
    GETPIVOTDATA(
        "Result",
        'Pivot Table'!$A$3,
        "Player",View_Table[[#This Row],[Player]],
        "Result","Loss"
    ),
    0
)</f>
        <v>2</v>
      </c>
      <c r="I18" s="5">
        <f>IFERROR(
    GETPIVOTDATA(
        "Result",
        'Pivot Table'!$A$3,
        "Player",View_Table[[#This Row],[Player]],
        "Result","Draw"
    ),
    0
)</f>
        <v>3</v>
      </c>
      <c r="J18" s="5">
        <f>View_Table[[#This Row],[Wins]]+View_Table[[#This Row],[Losses]]+View_Table[[#This Row],[Draws]]</f>
        <v>6</v>
      </c>
      <c r="K18" s="7">
        <f>IFERROR(
    GETPIVOTDATA(
        "Result",
        'Pivot Table Previous'!$A$3,
        "Player",View_Table[[#This Row],[Player]],
        "Result","Win"
    ),
    0
)</f>
        <v>0</v>
      </c>
      <c r="L18" s="5">
        <f>IFERROR(
    GETPIVOTDATA(
        "Result",
        'Pivot Table Previous'!$A$3,
        "Player",View_Table[[#This Row],[Player]],
        "Result","Loss"
    ),
    0
)</f>
        <v>2</v>
      </c>
      <c r="M18" s="5">
        <f>IFERROR(
    GETPIVOTDATA(
        "Result",
        'Pivot Table Previous'!$A$3,
        "Player",View_Table[[#This Row],[Player]],
        "Result","Draw"
    ),
    0
)</f>
        <v>2</v>
      </c>
      <c r="N18" s="5">
        <f>View_Table[[#This Row],[Wins Previous]]+View_Table[[#This Row],[Losses Previous]]+View_Table[[#This Row],[Draws Previous]]</f>
        <v>4</v>
      </c>
      <c r="O18" s="9">
        <f>_xlfn.LET(_xlpm.g,View_Table[[#This Row],[Games Previous]], _xlpm.w,(View_Table[[#This Row],[Wins Previous]] + View_Table[[#This Row],[Draws Previous]] * 0.25), _xlpm.fake, MAX(0,25-_xlpm.g), IF(_xlpm.g=0,0,(_xlpm.w + _xlpm.fake*0.25)/(_xlpm.g + _xlpm.fake)))</f>
        <v>0.23</v>
      </c>
      <c r="P18" s="7">
        <f>_xlfn.RANK.EQ(View_Table[[#This Row],[Weighted Win% Previous]], View_Table[Weighted Win% Previous], 0)</f>
        <v>17</v>
      </c>
    </row>
    <row r="19" spans="2:16" hidden="1" x14ac:dyDescent="0.25">
      <c r="B19" s="3" t="s">
        <v>296</v>
      </c>
      <c r="C19" s="6">
        <f>View_Table[[#This Row],[Rank Previous]]-View_Table[[#This Row],[Rank]]</f>
        <v>0</v>
      </c>
      <c r="D19" s="7">
        <f>_xlfn.RANK.EQ(View_Table[[#This Row],[Weighted Win%]], View_Table[Weighted Win%], 0)</f>
        <v>29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29</v>
      </c>
    </row>
    <row r="20" spans="2:16" hidden="1" x14ac:dyDescent="0.25">
      <c r="B20" s="3" t="s">
        <v>607</v>
      </c>
      <c r="C20" s="6">
        <f>View_Table[[#This Row],[Rank Previous]]-View_Table[[#This Row],[Rank]]</f>
        <v>0</v>
      </c>
      <c r="D20" s="7">
        <f>_xlfn.RANK.EQ(View_Table[[#This Row],[Weighted Win%]], View_Table[Weighted Win%], 0)</f>
        <v>29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29</v>
      </c>
    </row>
    <row r="21" spans="2:16" hidden="1" x14ac:dyDescent="0.25">
      <c r="B21" s="3" t="s">
        <v>22</v>
      </c>
      <c r="C21" s="6">
        <f>View_Table[[#This Row],[Rank Previous]]-View_Table[[#This Row],[Rank]]</f>
        <v>0</v>
      </c>
      <c r="D21" s="7">
        <f>_xlfn.RANK.EQ(View_Table[[#This Row],[Weighted Win%]], View_Table[Weighted Win%], 0)</f>
        <v>29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29</v>
      </c>
    </row>
    <row r="22" spans="2:16" hidden="1" x14ac:dyDescent="0.25">
      <c r="B22" s="3" t="s">
        <v>364</v>
      </c>
      <c r="C22" s="6">
        <f>View_Table[[#This Row],[Rank Previous]]-View_Table[[#This Row],[Rank]]</f>
        <v>0</v>
      </c>
      <c r="D22" s="7">
        <f>_xlfn.RANK.EQ(View_Table[[#This Row],[Weighted Win%]], View_Table[Weighted Win%], 0)</f>
        <v>29</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29</v>
      </c>
    </row>
    <row r="23" spans="2:16" hidden="1" x14ac:dyDescent="0.25">
      <c r="B23" s="3" t="s">
        <v>432</v>
      </c>
      <c r="C23" s="6">
        <f>View_Table[[#This Row],[Rank Previous]]-View_Table[[#This Row],[Rank]]</f>
        <v>0</v>
      </c>
      <c r="D23" s="7">
        <f>_xlfn.RANK.EQ(View_Table[[#This Row],[Weighted Win%]], View_Table[Weighted Win%], 0)</f>
        <v>29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29</v>
      </c>
    </row>
    <row r="24" spans="2:16" hidden="1" x14ac:dyDescent="0.25">
      <c r="B24" s="3" t="s">
        <v>400</v>
      </c>
      <c r="C24" s="6">
        <f>View_Table[[#This Row],[Rank Previous]]-View_Table[[#This Row],[Rank]]</f>
        <v>0</v>
      </c>
      <c r="D24" s="7">
        <f>_xlfn.RANK.EQ(View_Table[[#This Row],[Weighted Win%]], View_Table[Weighted Win%], 0)</f>
        <v>29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29</v>
      </c>
    </row>
    <row r="25" spans="2:16" hidden="1" x14ac:dyDescent="0.25">
      <c r="B25" s="3" t="s">
        <v>406</v>
      </c>
      <c r="C25" s="6">
        <f>View_Table[[#This Row],[Rank Previous]]-View_Table[[#This Row],[Rank]]</f>
        <v>0</v>
      </c>
      <c r="D25" s="7">
        <f>_xlfn.RANK.EQ(View_Table[[#This Row],[Weighted Win%]], View_Table[Weighted Win%], 0)</f>
        <v>29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29</v>
      </c>
    </row>
    <row r="26" spans="2:16" hidden="1" x14ac:dyDescent="0.25">
      <c r="B26" s="3" t="s">
        <v>386</v>
      </c>
      <c r="C26" s="6">
        <f>View_Table[[#This Row],[Rank Previous]]-View_Table[[#This Row],[Rank]]</f>
        <v>0</v>
      </c>
      <c r="D26" s="7">
        <f>_xlfn.RANK.EQ(View_Table[[#This Row],[Weighted Win%]], View_Table[Weighted Win%], 0)</f>
        <v>29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29</v>
      </c>
    </row>
    <row r="27" spans="2:16" hidden="1" x14ac:dyDescent="0.25">
      <c r="B27" s="3" t="s">
        <v>43</v>
      </c>
      <c r="C27" s="6">
        <f>View_Table[[#This Row],[Rank Previous]]-View_Table[[#This Row],[Rank]]</f>
        <v>0</v>
      </c>
      <c r="D27" s="7">
        <f>_xlfn.RANK.EQ(View_Table[[#This Row],[Weighted Win%]], View_Table[Weighted Win%], 0)</f>
        <v>29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29</v>
      </c>
    </row>
    <row r="28" spans="2:16" hidden="1" x14ac:dyDescent="0.25">
      <c r="B28" s="3" t="s">
        <v>323</v>
      </c>
      <c r="C28" s="6">
        <f>View_Table[[#This Row],[Rank Previous]]-View_Table[[#This Row],[Rank]]</f>
        <v>0</v>
      </c>
      <c r="D28" s="7">
        <f>_xlfn.RANK.EQ(View_Table[[#This Row],[Weighted Win%]], View_Table[Weighted Win%], 0)</f>
        <v>29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29</v>
      </c>
    </row>
    <row r="29" spans="2:16" hidden="1" x14ac:dyDescent="0.25">
      <c r="B29" s="3" t="s">
        <v>324</v>
      </c>
      <c r="C29" s="6">
        <f>View_Table[[#This Row],[Rank Previous]]-View_Table[[#This Row],[Rank]]</f>
        <v>0</v>
      </c>
      <c r="D29" s="7">
        <f>_xlfn.RANK.EQ(View_Table[[#This Row],[Weighted Win%]], View_Table[Weighted Win%], 0)</f>
        <v>29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29</v>
      </c>
    </row>
    <row r="30" spans="2:16" x14ac:dyDescent="0.25">
      <c r="B30" s="3" t="s">
        <v>13</v>
      </c>
      <c r="C30" s="6">
        <f>View_Table[[#This Row],[Rank Previous]]-View_Table[[#This Row],[Rank]]</f>
        <v>-6</v>
      </c>
      <c r="D30" s="7">
        <f>_xlfn.RANK.EQ(View_Table[[#This Row],[Weighted Win%]], View_Table[Weighted Win%], 0)</f>
        <v>11</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1</v>
      </c>
      <c r="H30" s="5">
        <f>IFERROR(
    GETPIVOTDATA(
        "Result",
        'Pivot Table'!$A$3,
        "Player",View_Table[[#This Row],[Player]],
        "Result","Loss"
    ),
    0
)</f>
        <v>3</v>
      </c>
      <c r="I30" s="5">
        <f>IFERROR(
    GETPIVOTDATA(
        "Result",
        'Pivot Table'!$A$3,
        "Player",View_Table[[#This Row],[Player]],
        "Result","Draw"
    ),
    0
)</f>
        <v>2</v>
      </c>
      <c r="J30" s="5">
        <f>View_Table[[#This Row],[Wins]]+View_Table[[#This Row],[Losses]]+View_Table[[#This Row],[Draws]]</f>
        <v>6</v>
      </c>
      <c r="K30" s="5">
        <f>IFERROR(
    GETPIVOTDATA(
        "Result",
        'Pivot Table Previous'!$A$3,
        "Player",View_Table[[#This Row],[Player]],
        "Result","Win"
    ),
    0
)</f>
        <v>1</v>
      </c>
      <c r="L30" s="5">
        <f>IFERROR(
    GETPIVOTDATA(
        "Result",
        'Pivot Table Previous'!$A$3,
        "Player",View_Table[[#This Row],[Player]],
        "Result","Loss"
    ),
    0
)</f>
        <v>1</v>
      </c>
      <c r="M30" s="5">
        <f>IFERROR(
    GETPIVOTDATA(
        "Result",
        'Pivot Table Previous'!$A$3,
        "Player",View_Table[[#This Row],[Player]],
        "Result","Draw"
    ),
    0
)</f>
        <v>2</v>
      </c>
      <c r="N30" s="5">
        <f>View_Table[[#This Row],[Wins Previous]]+View_Table[[#This Row],[Losses Previous]]+View_Table[[#This Row],[Draws Previous]]</f>
        <v>4</v>
      </c>
      <c r="O30" s="9">
        <f>_xlfn.LET(_xlpm.g,View_Table[[#This Row],[Games Previous]], _xlpm.w,(View_Table[[#This Row],[Wins Previous]] + View_Table[[#This Row],[Draws Previous]] * 0.25), _xlpm.fake, MAX(0,25-_xlpm.g), IF(_xlpm.g=0,0,(_xlpm.w + _xlpm.fake*0.25)/(_xlpm.g + _xlpm.fake)))</f>
        <v>0.27</v>
      </c>
      <c r="P30" s="7">
        <f>IF(View_Table[[#This Row],[Games Previous]]=0,
    View_Table[[#This Row],[Rank]],
    _xlfn.RANK.EQ(View_Table[[#This Row],[Weighted Win% Previous]], View_Table[Weighted Win% Previous], 0)
)</f>
        <v>5</v>
      </c>
    </row>
    <row r="31" spans="2:16" hidden="1" x14ac:dyDescent="0.25">
      <c r="B31" s="3" t="s">
        <v>478</v>
      </c>
      <c r="C31" s="6">
        <f>View_Table[[#This Row],[Rank Previous]]-View_Table[[#This Row],[Rank]]</f>
        <v>0</v>
      </c>
      <c r="D31" s="7">
        <f>_xlfn.RANK.EQ(View_Table[[#This Row],[Weighted Win%]], View_Table[Weighted Win%], 0)</f>
        <v>29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29</v>
      </c>
    </row>
    <row r="32" spans="2:16" hidden="1" x14ac:dyDescent="0.25">
      <c r="B32" s="3" t="s">
        <v>401</v>
      </c>
      <c r="C32" s="6">
        <f>View_Table[[#This Row],[Rank Previous]]-View_Table[[#This Row],[Rank]]</f>
        <v>0</v>
      </c>
      <c r="D32" s="7">
        <f>_xlfn.RANK.EQ(View_Table[[#This Row],[Weighted Win%]], View_Table[Weighted Win%], 0)</f>
        <v>29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29</v>
      </c>
    </row>
    <row r="33" spans="2:16" hidden="1" x14ac:dyDescent="0.25">
      <c r="B33" s="3" t="s">
        <v>403</v>
      </c>
      <c r="C33" s="6">
        <f>View_Table[[#This Row],[Rank Previous]]-View_Table[[#This Row],[Rank]]</f>
        <v>0</v>
      </c>
      <c r="D33" s="7">
        <f>_xlfn.RANK.EQ(View_Table[[#This Row],[Weighted Win%]], View_Table[Weighted Win%], 0)</f>
        <v>29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29</v>
      </c>
    </row>
    <row r="34" spans="2:16" hidden="1" x14ac:dyDescent="0.25">
      <c r="B34" s="3" t="s">
        <v>404</v>
      </c>
      <c r="C34" s="6">
        <f>View_Table[[#This Row],[Rank Previous]]-View_Table[[#This Row],[Rank]]</f>
        <v>0</v>
      </c>
      <c r="D34" s="7">
        <f>_xlfn.RANK.EQ(View_Table[[#This Row],[Weighted Win%]], View_Table[Weighted Win%], 0)</f>
        <v>29</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29</v>
      </c>
    </row>
    <row r="35" spans="2:16" x14ac:dyDescent="0.25">
      <c r="B35" s="3" t="s">
        <v>20</v>
      </c>
      <c r="C35" s="6">
        <f>View_Table[[#This Row],[Rank Previous]]-View_Table[[#This Row],[Rank]]</f>
        <v>-2</v>
      </c>
      <c r="D35" s="7">
        <f>_xlfn.RANK.EQ(View_Table[[#This Row],[Weighted Win%]], View_Table[Weighted Win%], 0)</f>
        <v>11</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1</v>
      </c>
      <c r="H35" s="5">
        <f>IFERROR(
    GETPIVOTDATA(
        "Result",
        'Pivot Table'!$A$3,
        "Player",View_Table[[#This Row],[Player]],
        "Result","Loss"
    ),
    0
)</f>
        <v>3</v>
      </c>
      <c r="I35" s="5">
        <f>IFERROR(
    GETPIVOTDATA(
        "Result",
        'Pivot Table'!$A$3,
        "Player",View_Table[[#This Row],[Player]],
        "Result","Draw"
    ),
    0
)</f>
        <v>0</v>
      </c>
      <c r="J35" s="5">
        <f>View_Table[[#This Row],[Wins]]+View_Table[[#This Row],[Losses]]+View_Table[[#This Row],[Draws]]</f>
        <v>4</v>
      </c>
      <c r="K35" s="7">
        <f>IFERROR(
    GETPIVOTDATA(
        "Result",
        'Pivot Table Previous'!$A$3,
        "Player",View_Table[[#This Row],[Player]],
        "Result","Win"
    ),
    0
)</f>
        <v>1</v>
      </c>
      <c r="L35" s="5">
        <f>IFERROR(
    GETPIVOTDATA(
        "Result",
        'Pivot Table Previous'!$A$3,
        "Player",View_Table[[#This Row],[Player]],
        "Result","Loss"
    ),
    0
)</f>
        <v>3</v>
      </c>
      <c r="M35" s="5">
        <f>IFERROR(
    GETPIVOTDATA(
        "Result",
        'Pivot Table Previous'!$A$3,
        "Player",View_Table[[#This Row],[Player]],
        "Result","Draw"
    ),
    0
)</f>
        <v>0</v>
      </c>
      <c r="N35" s="5">
        <f>View_Table[[#This Row],[Wins Previous]]+View_Table[[#This Row],[Losses Previous]]+View_Table[[#This Row],[Draws Previous]]</f>
        <v>4</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9</v>
      </c>
    </row>
    <row r="36" spans="2:16" hidden="1" x14ac:dyDescent="0.25">
      <c r="B36" s="3" t="s">
        <v>59</v>
      </c>
      <c r="C36" s="6">
        <f>View_Table[[#This Row],[Rank Previous]]-View_Table[[#This Row],[Rank]]</f>
        <v>0</v>
      </c>
      <c r="D36" s="7">
        <f>_xlfn.RANK.EQ(View_Table[[#This Row],[Weighted Win%]], View_Table[Weighted Win%], 0)</f>
        <v>29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29</v>
      </c>
    </row>
    <row r="37" spans="2:16" hidden="1" x14ac:dyDescent="0.25">
      <c r="B37" s="3" t="s">
        <v>437</v>
      </c>
      <c r="C37" s="6">
        <f>View_Table[[#This Row],[Rank Previous]]-View_Table[[#This Row],[Rank]]</f>
        <v>0</v>
      </c>
      <c r="D37" s="7">
        <f>_xlfn.RANK.EQ(View_Table[[#This Row],[Weighted Win%]], View_Table[Weighted Win%], 0)</f>
        <v>29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29</v>
      </c>
    </row>
    <row r="38" spans="2:16" hidden="1" x14ac:dyDescent="0.25">
      <c r="B38" s="3" t="s">
        <v>438</v>
      </c>
      <c r="C38" s="6">
        <f>View_Table[[#This Row],[Rank Previous]]-View_Table[[#This Row],[Rank]]</f>
        <v>0</v>
      </c>
      <c r="D38" s="7">
        <f>_xlfn.RANK.EQ(View_Table[[#This Row],[Weighted Win%]], View_Table[Weighted Win%], 0)</f>
        <v>29</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29</v>
      </c>
    </row>
    <row r="39" spans="2:16" hidden="1" x14ac:dyDescent="0.25">
      <c r="B39" s="3" t="s">
        <v>365</v>
      </c>
      <c r="C39" s="6">
        <f>View_Table[[#This Row],[Rank Previous]]-View_Table[[#This Row],[Rank]]</f>
        <v>0</v>
      </c>
      <c r="D39" s="7">
        <f>_xlfn.RANK.EQ(View_Table[[#This Row],[Weighted Win%]], View_Table[Weighted Win%], 0)</f>
        <v>29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29</v>
      </c>
    </row>
    <row r="40" spans="2:16" hidden="1" x14ac:dyDescent="0.25">
      <c r="B40" s="3" t="s">
        <v>463</v>
      </c>
      <c r="C40" s="6">
        <f>View_Table[[#This Row],[Rank Previous]]-View_Table[[#This Row],[Rank]]</f>
        <v>0</v>
      </c>
      <c r="D40" s="7">
        <f>_xlfn.RANK.EQ(View_Table[[#This Row],[Weighted Win%]], View_Table[Weighted Win%], 0)</f>
        <v>29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29</v>
      </c>
    </row>
    <row r="41" spans="2:16" hidden="1" x14ac:dyDescent="0.25">
      <c r="B41" s="3" t="s">
        <v>42</v>
      </c>
      <c r="C41" s="6">
        <f>View_Table[[#This Row],[Rank Previous]]-View_Table[[#This Row],[Rank]]</f>
        <v>0</v>
      </c>
      <c r="D41" s="7">
        <f>_xlfn.RANK.EQ(View_Table[[#This Row],[Weighted Win%]], View_Table[Weighted Win%], 0)</f>
        <v>29</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29</v>
      </c>
    </row>
    <row r="42" spans="2:16" hidden="1" x14ac:dyDescent="0.25">
      <c r="B42" s="3" t="s">
        <v>464</v>
      </c>
      <c r="C42" s="6">
        <f>View_Table[[#This Row],[Rank Previous]]-View_Table[[#This Row],[Rank]]</f>
        <v>0</v>
      </c>
      <c r="D42" s="7">
        <f>_xlfn.RANK.EQ(View_Table[[#This Row],[Weighted Win%]], View_Table[Weighted Win%], 0)</f>
        <v>29</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29</v>
      </c>
    </row>
    <row r="43" spans="2:16" x14ac:dyDescent="0.25">
      <c r="B43" s="3" t="s">
        <v>622</v>
      </c>
      <c r="C43" s="6">
        <f>View_Table[[#This Row],[Rank Previous]]-View_Table[[#This Row],[Rank]]</f>
        <v>-2</v>
      </c>
      <c r="D43" s="7">
        <f>_xlfn.RANK.EQ(View_Table[[#This Row],[Weighted Win%]], View_Table[Weighted Win%], 0)</f>
        <v>11</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0</v>
      </c>
      <c r="J43" s="5">
        <f>View_Table[[#This Row],[Wins]]+View_Table[[#This Row],[Losses]]+View_Table[[#This Row],[Draws]]</f>
        <v>4</v>
      </c>
      <c r="K43" s="7">
        <f>IFERROR(
    GETPIVOTDATA(
        "Result",
        'Pivot Table Previous'!$A$3,
        "Player",View_Table[[#This Row],[Player]],
        "Result","Win"
    ),
    0
)</f>
        <v>1</v>
      </c>
      <c r="L43" s="5">
        <f>IFERROR(
    GETPIVOTDATA(
        "Result",
        'Pivot Table Previous'!$A$3,
        "Player",View_Table[[#This Row],[Player]],
        "Result","Loss"
    ),
    0
)</f>
        <v>3</v>
      </c>
      <c r="M43" s="5">
        <f>IFERROR(
    GETPIVOTDATA(
        "Result",
        'Pivot Table Previous'!$A$3,
        "Player",View_Table[[#This Row],[Player]],
        "Result","Draw"
    ),
    0
)</f>
        <v>0</v>
      </c>
      <c r="N43" s="5">
        <f>View_Table[[#This Row],[Wins Previous]]+View_Table[[#This Row],[Losses Previous]]+View_Table[[#This Row],[Draws Previous]]</f>
        <v>4</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9</v>
      </c>
    </row>
    <row r="44" spans="2:16" x14ac:dyDescent="0.25">
      <c r="B44" s="3" t="s">
        <v>41</v>
      </c>
      <c r="C44" s="6">
        <f>View_Table[[#This Row],[Rank Previous]]-View_Table[[#This Row],[Rank]]</f>
        <v>6</v>
      </c>
      <c r="D44" s="7">
        <f>_xlfn.RANK.EQ(View_Table[[#This Row],[Weighted Win%]], View_Table[Weighted Win%], 0)</f>
        <v>11</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1</v>
      </c>
      <c r="H44" s="5">
        <f>IFERROR(
    GETPIVOTDATA(
        "Result",
        'Pivot Table'!$A$3,
        "Player",View_Table[[#This Row],[Player]],
        "Result","Loss"
    ),
    0
)</f>
        <v>3</v>
      </c>
      <c r="I44" s="5">
        <f>IFERROR(
    GETPIVOTDATA(
        "Result",
        'Pivot Table'!$A$3,
        "Player",View_Table[[#This Row],[Player]],
        "Result","Draw"
    ),
    0
)</f>
        <v>0</v>
      </c>
      <c r="J44" s="5">
        <f>View_Table[[#This Row],[Wins]]+View_Table[[#This Row],[Losses]]+View_Table[[#This Row],[Draws]]</f>
        <v>4</v>
      </c>
      <c r="K44" s="5">
        <f>IFERROR(
    GETPIVOTDATA(
        "Result",
        'Pivot Table Previous'!$A$3,
        "Player",View_Table[[#This Row],[Player]],
        "Result","Win"
    ),
    0
)</f>
        <v>0</v>
      </c>
      <c r="L44" s="5">
        <f>IFERROR(
    GETPIVOTDATA(
        "Result",
        'Pivot Table Previous'!$A$3,
        "Player",View_Table[[#This Row],[Player]],
        "Result","Loss"
    ),
    0
)</f>
        <v>2</v>
      </c>
      <c r="M44" s="5">
        <f>IFERROR(
    GETPIVOTDATA(
        "Result",
        'Pivot Table Previous'!$A$3,
        "Player",View_Table[[#This Row],[Player]],
        "Result","Draw"
    ),
    0
)</f>
        <v>0</v>
      </c>
      <c r="N44" s="5">
        <f>View_Table[[#This Row],[Wins Previous]]+View_Table[[#This Row],[Losses Previous]]+View_Table[[#This Row],[Draws Previous]]</f>
        <v>2</v>
      </c>
      <c r="O44" s="9">
        <f>_xlfn.LET(_xlpm.g,View_Table[[#This Row],[Games Previous]], _xlpm.w,(View_Table[[#This Row],[Wins Previous]] + View_Table[[#This Row],[Draws Previous]] * 0.25), _xlpm.fake, MAX(0,25-_xlpm.g), IF(_xlpm.g=0,0,(_xlpm.w + _xlpm.fake*0.25)/(_xlpm.g + _xlpm.fake)))</f>
        <v>0.23</v>
      </c>
      <c r="P44" s="7">
        <f>IF(View_Table[[#This Row],[Games Previous]]=0,
    View_Table[[#This Row],[Rank]],
    _xlfn.RANK.EQ(View_Table[[#This Row],[Weighted Win% Previous]], View_Table[Weighted Win% Previous], 0)
)</f>
        <v>17</v>
      </c>
    </row>
    <row r="45" spans="2:16" x14ac:dyDescent="0.25">
      <c r="B45" s="3" t="s">
        <v>540</v>
      </c>
      <c r="C45" s="6">
        <f>View_Table[[#This Row],[Rank Previous]]-View_Table[[#This Row],[Rank]]</f>
        <v>0</v>
      </c>
      <c r="D45" s="7">
        <f>_xlfn.RANK.EQ(View_Table[[#This Row],[Weighted Win%]], View_Table[Weighted Win%], 0)</f>
        <v>15</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0.125</v>
      </c>
      <c r="G45" s="5">
        <f>IFERROR(
    GETPIVOTDATA(
        "Result",
        'Pivot Table'!$A$3,
        "Player",View_Table[[#This Row],[Player]],
        "Result","Win"
    ),
    0
)</f>
        <v>0</v>
      </c>
      <c r="H45" s="5">
        <f>IFERROR(
    GETPIVOTDATA(
        "Result",
        'Pivot Table'!$A$3,
        "Player",View_Table[[#This Row],[Player]],
        "Result","Loss"
    ),
    0
)</f>
        <v>1</v>
      </c>
      <c r="I45" s="5">
        <f>IFERROR(
    GETPIVOTDATA(
        "Result",
        'Pivot Table'!$A$3,
        "Player",View_Table[[#This Row],[Player]],
        "Result","Draw"
    ),
    0
)</f>
        <v>1</v>
      </c>
      <c r="J45" s="5">
        <f>View_Table[[#This Row],[Wins]]+View_Table[[#This Row],[Losses]]+View_Table[[#This Row],[Draws]]</f>
        <v>2</v>
      </c>
      <c r="K45" s="7">
        <f>IFERROR(
    GETPIVOTDATA(
        "Result",
        'Pivot Table Previous'!$A$3,
        "Player",View_Table[[#This Row],[Player]],
        "Result","Win"
    ),
    0
)</f>
        <v>0</v>
      </c>
      <c r="L45" s="5">
        <f>IFERROR(
    GETPIVOTDATA(
        "Result",
        'Pivot Table Previous'!$A$3,
        "Player",View_Table[[#This Row],[Player]],
        "Result","Loss"
    ),
    0
)</f>
        <v>1</v>
      </c>
      <c r="M45" s="5">
        <f>IFERROR(
    GETPIVOTDATA(
        "Result",
        'Pivot Table Previous'!$A$3,
        "Player",View_Table[[#This Row],[Player]],
        "Result","Draw"
    ),
    0
)</f>
        <v>1</v>
      </c>
      <c r="N45" s="5">
        <f>View_Table[[#This Row],[Wins Previous]]+View_Table[[#This Row],[Losses Previous]]+View_Table[[#This Row],[Draws Previous]]</f>
        <v>2</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15</v>
      </c>
    </row>
    <row r="46" spans="2:16" hidden="1" x14ac:dyDescent="0.25">
      <c r="B46" s="3" t="s">
        <v>30</v>
      </c>
      <c r="C46" s="6">
        <f>View_Table[[#This Row],[Rank Previous]]-View_Table[[#This Row],[Rank]]</f>
        <v>0</v>
      </c>
      <c r="D46" s="7">
        <f>_xlfn.RANK.EQ(View_Table[[#This Row],[Weighted Win%]], View_Table[Weighted Win%], 0)</f>
        <v>29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29</v>
      </c>
    </row>
    <row r="47" spans="2:16" hidden="1" x14ac:dyDescent="0.25">
      <c r="B47" s="3" t="s">
        <v>541</v>
      </c>
      <c r="C47" s="6">
        <f>View_Table[[#This Row],[Rank Previous]]-View_Table[[#This Row],[Rank]]</f>
        <v>0</v>
      </c>
      <c r="D47" s="7">
        <f>_xlfn.RANK.EQ(View_Table[[#This Row],[Weighted Win%]], View_Table[Weighted Win%], 0)</f>
        <v>29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29</v>
      </c>
    </row>
    <row r="48" spans="2:16" hidden="1" x14ac:dyDescent="0.25">
      <c r="B48" s="3" t="s">
        <v>46</v>
      </c>
      <c r="C48" s="6">
        <f>View_Table[[#This Row],[Rank Previous]]-View_Table[[#This Row],[Rank]]</f>
        <v>0</v>
      </c>
      <c r="D48" s="7">
        <f>_xlfn.RANK.EQ(View_Table[[#This Row],[Weighted Win%]], View_Table[Weighted Win%], 0)</f>
        <v>29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29</v>
      </c>
    </row>
    <row r="49" spans="2:16" hidden="1" x14ac:dyDescent="0.25">
      <c r="B49" s="3" t="s">
        <v>542</v>
      </c>
      <c r="C49" s="6">
        <f>View_Table[[#This Row],[Rank Previous]]-View_Table[[#This Row],[Rank]]</f>
        <v>0</v>
      </c>
      <c r="D49" s="7">
        <f>_xlfn.RANK.EQ(View_Table[[#This Row],[Weighted Win%]], View_Table[Weighted Win%], 0)</f>
        <v>29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29</v>
      </c>
    </row>
    <row r="50" spans="2:16" hidden="1" x14ac:dyDescent="0.25">
      <c r="B50" s="3" t="s">
        <v>57</v>
      </c>
      <c r="C50" s="6">
        <f>View_Table[[#This Row],[Rank Previous]]-View_Table[[#This Row],[Rank]]</f>
        <v>0</v>
      </c>
      <c r="D50" s="7">
        <f>_xlfn.RANK.EQ(View_Table[[#This Row],[Weighted Win%]], View_Table[Weighted Win%], 0)</f>
        <v>29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29</v>
      </c>
    </row>
    <row r="51" spans="2:16" hidden="1" x14ac:dyDescent="0.25">
      <c r="B51" s="3" t="s">
        <v>591</v>
      </c>
      <c r="C51" s="6">
        <f>View_Table[[#This Row],[Rank Previous]]-View_Table[[#This Row],[Rank]]</f>
        <v>0</v>
      </c>
      <c r="D51" s="7">
        <f>_xlfn.RANK.EQ(View_Table[[#This Row],[Weighted Win%]], View_Table[Weighted Win%], 0)</f>
        <v>29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29</v>
      </c>
    </row>
    <row r="52" spans="2:16" hidden="1" x14ac:dyDescent="0.25">
      <c r="B52" s="3" t="s">
        <v>61</v>
      </c>
      <c r="C52" s="6">
        <f>View_Table[[#This Row],[Rank Previous]]-View_Table[[#This Row],[Rank]]</f>
        <v>0</v>
      </c>
      <c r="D52" s="7">
        <f>_xlfn.RANK.EQ(View_Table[[#This Row],[Weighted Win%]], View_Table[Weighted Win%], 0)</f>
        <v>29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29</v>
      </c>
    </row>
    <row r="53" spans="2:16" hidden="1" x14ac:dyDescent="0.25">
      <c r="B53" s="3" t="s">
        <v>321</v>
      </c>
      <c r="C53" s="6">
        <f>View_Table[[#This Row],[Rank Previous]]-View_Table[[#This Row],[Rank]]</f>
        <v>0</v>
      </c>
      <c r="D53" s="7">
        <f>_xlfn.RANK.EQ(View_Table[[#This Row],[Weighted Win%]], View_Table[Weighted Win%], 0)</f>
        <v>29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29</v>
      </c>
    </row>
    <row r="54" spans="2:16" hidden="1" x14ac:dyDescent="0.25">
      <c r="B54" s="3" t="s">
        <v>38</v>
      </c>
      <c r="C54" s="6">
        <f>View_Table[[#This Row],[Rank Previous]]-View_Table[[#This Row],[Rank]]</f>
        <v>0</v>
      </c>
      <c r="D54" s="7">
        <f>_xlfn.RANK.EQ(View_Table[[#This Row],[Weighted Win%]], View_Table[Weighted Win%], 0)</f>
        <v>29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29</v>
      </c>
    </row>
    <row r="55" spans="2:16" hidden="1" x14ac:dyDescent="0.25">
      <c r="B55" s="3" t="s">
        <v>48</v>
      </c>
      <c r="C55" s="6">
        <f>View_Table[[#This Row],[Rank Previous]]-View_Table[[#This Row],[Rank]]</f>
        <v>0</v>
      </c>
      <c r="D55" s="7">
        <f>_xlfn.RANK.EQ(View_Table[[#This Row],[Weighted Win%]], View_Table[Weighted Win%], 0)</f>
        <v>29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29</v>
      </c>
    </row>
    <row r="56" spans="2:16" hidden="1" x14ac:dyDescent="0.25">
      <c r="B56" s="3" t="s">
        <v>608</v>
      </c>
      <c r="C56" s="6">
        <f>View_Table[[#This Row],[Rank Previous]]-View_Table[[#This Row],[Rank]]</f>
        <v>0</v>
      </c>
      <c r="D56" s="7">
        <f>_xlfn.RANK.EQ(View_Table[[#This Row],[Weighted Win%]], View_Table[Weighted Win%], 0)</f>
        <v>29</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29</v>
      </c>
    </row>
    <row r="57" spans="2:16" hidden="1" x14ac:dyDescent="0.25">
      <c r="B57" s="3" t="s">
        <v>62</v>
      </c>
      <c r="C57" s="6">
        <f>View_Table[[#This Row],[Rank Previous]]-View_Table[[#This Row],[Rank]]</f>
        <v>0</v>
      </c>
      <c r="D57" s="7">
        <f>_xlfn.RANK.EQ(View_Table[[#This Row],[Weighted Win%]], View_Table[Weighted Win%], 0)</f>
        <v>29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29</v>
      </c>
    </row>
    <row r="58" spans="2:16" hidden="1" x14ac:dyDescent="0.25">
      <c r="B58" s="3" t="s">
        <v>54</v>
      </c>
      <c r="C58" s="6">
        <f>View_Table[[#This Row],[Rank Previous]]-View_Table[[#This Row],[Rank]]</f>
        <v>0</v>
      </c>
      <c r="D58" s="7">
        <f>_xlfn.RANK.EQ(View_Table[[#This Row],[Weighted Win%]], View_Table[Weighted Win%], 0)</f>
        <v>29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29</v>
      </c>
    </row>
    <row r="59" spans="2:16" hidden="1" x14ac:dyDescent="0.25">
      <c r="B59" s="3" t="s">
        <v>60</v>
      </c>
      <c r="C59" s="6">
        <f>View_Table[[#This Row],[Rank Previous]]-View_Table[[#This Row],[Rank]]</f>
        <v>0</v>
      </c>
      <c r="D59" s="7">
        <f>_xlfn.RANK.EQ(View_Table[[#This Row],[Weighted Win%]], View_Table[Weighted Win%], 0)</f>
        <v>29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29</v>
      </c>
    </row>
    <row r="60" spans="2:16" hidden="1" x14ac:dyDescent="0.25">
      <c r="B60" s="3" t="s">
        <v>85</v>
      </c>
      <c r="C60" s="6">
        <f>View_Table[[#This Row],[Rank Previous]]-View_Table[[#This Row],[Rank]]</f>
        <v>0</v>
      </c>
      <c r="D60" s="7">
        <f>_xlfn.RANK.EQ(View_Table[[#This Row],[Weighted Win%]], View_Table[Weighted Win%], 0)</f>
        <v>29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29</v>
      </c>
    </row>
    <row r="61" spans="2:16" hidden="1" x14ac:dyDescent="0.25">
      <c r="B61" s="3" t="s">
        <v>47</v>
      </c>
      <c r="C61" s="6">
        <f>View_Table[[#This Row],[Rank Previous]]-View_Table[[#This Row],[Rank]]</f>
        <v>0</v>
      </c>
      <c r="D61" s="7">
        <f>_xlfn.RANK.EQ(View_Table[[#This Row],[Weighted Win%]], View_Table[Weighted Win%], 0)</f>
        <v>29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29</v>
      </c>
    </row>
    <row r="62" spans="2:16" hidden="1" x14ac:dyDescent="0.25">
      <c r="B62" s="3" t="s">
        <v>50</v>
      </c>
      <c r="C62" s="6">
        <f>View_Table[[#This Row],[Rank Previous]]-View_Table[[#This Row],[Rank]]</f>
        <v>0</v>
      </c>
      <c r="D62" s="7">
        <f>_xlfn.RANK.EQ(View_Table[[#This Row],[Weighted Win%]], View_Table[Weighted Win%], 0)</f>
        <v>29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29</v>
      </c>
    </row>
    <row r="63" spans="2:16" hidden="1" x14ac:dyDescent="0.25">
      <c r="B63" s="3" t="s">
        <v>53</v>
      </c>
      <c r="C63" s="6">
        <f>View_Table[[#This Row],[Rank Previous]]-View_Table[[#This Row],[Rank]]</f>
        <v>0</v>
      </c>
      <c r="D63" s="7">
        <f>_xlfn.RANK.EQ(View_Table[[#This Row],[Weighted Win%]], View_Table[Weighted Win%], 0)</f>
        <v>29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29</v>
      </c>
    </row>
    <row r="64" spans="2:16" hidden="1" x14ac:dyDescent="0.25">
      <c r="B64" s="3" t="s">
        <v>56</v>
      </c>
      <c r="C64" s="6">
        <f>View_Table[[#This Row],[Rank Previous]]-View_Table[[#This Row],[Rank]]</f>
        <v>0</v>
      </c>
      <c r="D64" s="7">
        <f>_xlfn.RANK.EQ(View_Table[[#This Row],[Weighted Win%]], View_Table[Weighted Win%], 0)</f>
        <v>29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29</v>
      </c>
    </row>
    <row r="65" spans="2:16" hidden="1" x14ac:dyDescent="0.25">
      <c r="B65" s="3" t="s">
        <v>58</v>
      </c>
      <c r="C65" s="6">
        <f>View_Table[[#This Row],[Rank Previous]]-View_Table[[#This Row],[Rank]]</f>
        <v>0</v>
      </c>
      <c r="D65" s="7">
        <f>_xlfn.RANK.EQ(View_Table[[#This Row],[Weighted Win%]], View_Table[Weighted Win%], 0)</f>
        <v>29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29</v>
      </c>
    </row>
    <row r="66" spans="2:16" x14ac:dyDescent="0.25">
      <c r="B66" s="3" t="s">
        <v>609</v>
      </c>
      <c r="C66" s="6">
        <f>View_Table[[#This Row],[Rank Previous]]-View_Table[[#This Row],[Rank]]</f>
        <v>0</v>
      </c>
      <c r="D66" s="7">
        <f>_xlfn.RANK.EQ(View_Table[[#This Row],[Weighted Win%]], View_Table[Weighted Win%], 0)</f>
        <v>15</v>
      </c>
      <c r="E66" s="9">
        <f>_xlfn.LET(_xlpm.g,View_Table[[#This Row],[Games]], _xlpm.w,(View_Table[[#This Row],[Wins]] + View_Table[[#This Row],[Draws]] * 0.25), _xlpm.fake, MAX(0,25-_xlpm.g), IF(_xlpm.g=0,0,(_xlpm.w + _xlpm.fake*0.25)/(_xlpm.g + _xlpm.fake)))</f>
        <v>0.24</v>
      </c>
      <c r="F66" s="8">
        <f>IF(View_Table[[#This Row],[Games]]=0,0,(View_Table[[#This Row],[Wins]] + (View_Table[[#This Row],[Draws]] * 0.25))/View_Table[[#This Row],[Games]])</f>
        <v>0.125</v>
      </c>
      <c r="G66" s="5">
        <f>IFERROR(
    GETPIVOTDATA(
        "Result",
        'Pivot Table'!$A$3,
        "Player",View_Table[[#This Row],[Player]],
        "Result","Win"
    ),
    0
)</f>
        <v>0</v>
      </c>
      <c r="H66" s="5">
        <f>IFERROR(
    GETPIVOTDATA(
        "Result",
        'Pivot Table'!$A$3,
        "Player",View_Table[[#This Row],[Player]],
        "Result","Loss"
    ),
    0
)</f>
        <v>1</v>
      </c>
      <c r="I66" s="5">
        <f>IFERROR(
    GETPIVOTDATA(
        "Result",
        'Pivot Table'!$A$3,
        "Player",View_Table[[#This Row],[Player]],
        "Result","Draw"
    ),
    0
)</f>
        <v>1</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1</v>
      </c>
      <c r="M66" s="5">
        <f>IFERROR(
    GETPIVOTDATA(
        "Result",
        'Pivot Table Previous'!$A$3,
        "Player",View_Table[[#This Row],[Player]],
        "Result","Draw"
    ),
    0
)</f>
        <v>1</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0.24</v>
      </c>
      <c r="P66" s="7">
        <f>_xlfn.RANK.EQ(View_Table[[#This Row],[Weighted Win% Previous]], View_Table[Weighted Win% Previous], 0)</f>
        <v>15</v>
      </c>
    </row>
    <row r="67" spans="2:16" hidden="1" x14ac:dyDescent="0.25">
      <c r="B67" s="3" t="s">
        <v>45</v>
      </c>
      <c r="C67" s="6">
        <f>View_Table[[#This Row],[Rank Previous]]-View_Table[[#This Row],[Rank]]</f>
        <v>0</v>
      </c>
      <c r="D67" s="7">
        <f>_xlfn.RANK.EQ(View_Table[[#This Row],[Weighted Win%]], View_Table[Weighted Win%], 0)</f>
        <v>29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29</v>
      </c>
    </row>
    <row r="68" spans="2:16" hidden="1" x14ac:dyDescent="0.25">
      <c r="B68" s="3" t="s">
        <v>40</v>
      </c>
      <c r="C68" s="6">
        <f>View_Table[[#This Row],[Rank Previous]]-View_Table[[#This Row],[Rank]]</f>
        <v>0</v>
      </c>
      <c r="D68" s="7">
        <f>_xlfn.RANK.EQ(View_Table[[#This Row],[Weighted Win%]], View_Table[Weighted Win%], 0)</f>
        <v>29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29</v>
      </c>
    </row>
    <row r="69" spans="2:16" hidden="1" x14ac:dyDescent="0.25">
      <c r="B69" s="3" t="s">
        <v>55</v>
      </c>
      <c r="C69" s="6">
        <f>View_Table[[#This Row],[Rank Previous]]-View_Table[[#This Row],[Rank]]</f>
        <v>0</v>
      </c>
      <c r="D69" s="7">
        <f>_xlfn.RANK.EQ(View_Table[[#This Row],[Weighted Win%]], View_Table[Weighted Win%], 0)</f>
        <v>29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29</v>
      </c>
    </row>
    <row r="70" spans="2:16" hidden="1" x14ac:dyDescent="0.25">
      <c r="B70" s="3" t="s">
        <v>16</v>
      </c>
      <c r="C70" s="6">
        <f>View_Table[[#This Row],[Rank Previous]]-View_Table[[#This Row],[Rank]]</f>
        <v>0</v>
      </c>
      <c r="D70" s="7">
        <f>_xlfn.RANK.EQ(View_Table[[#This Row],[Weighted Win%]], View_Table[Weighted Win%], 0)</f>
        <v>29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29</v>
      </c>
    </row>
    <row r="71" spans="2:16" hidden="1" x14ac:dyDescent="0.25">
      <c r="B71" s="3" t="s">
        <v>21</v>
      </c>
      <c r="C71" s="6">
        <f>View_Table[[#This Row],[Rank Previous]]-View_Table[[#This Row],[Rank]]</f>
        <v>0</v>
      </c>
      <c r="D71" s="7">
        <f>_xlfn.RANK.EQ(View_Table[[#This Row],[Weighted Win%]], View_Table[Weighted Win%], 0)</f>
        <v>29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29</v>
      </c>
    </row>
    <row r="72" spans="2:16" hidden="1" x14ac:dyDescent="0.25">
      <c r="B72" s="3" t="s">
        <v>49</v>
      </c>
      <c r="C72" s="6">
        <f>View_Table[[#This Row],[Rank Previous]]-View_Table[[#This Row],[Rank]]</f>
        <v>0</v>
      </c>
      <c r="D72" s="7">
        <f>_xlfn.RANK.EQ(View_Table[[#This Row],[Weighted Win%]], View_Table[Weighted Win%], 0)</f>
        <v>29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29</v>
      </c>
    </row>
    <row r="73" spans="2:16" hidden="1" x14ac:dyDescent="0.25">
      <c r="B73" s="3" t="s">
        <v>12</v>
      </c>
      <c r="C73" s="6">
        <f>View_Table[[#This Row],[Rank Previous]]-View_Table[[#This Row],[Rank]]</f>
        <v>0</v>
      </c>
      <c r="D73" s="7">
        <f>_xlfn.RANK.EQ(View_Table[[#This Row],[Weighted Win%]], View_Table[Weighted Win%], 0)</f>
        <v>29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29</v>
      </c>
    </row>
    <row r="74" spans="2:16" hidden="1" x14ac:dyDescent="0.25">
      <c r="B74" s="3" t="s">
        <v>44</v>
      </c>
      <c r="C74" s="6">
        <f>View_Table[[#This Row],[Rank Previous]]-View_Table[[#This Row],[Rank]]</f>
        <v>0</v>
      </c>
      <c r="D74" s="7">
        <f>_xlfn.RANK.EQ(View_Table[[#This Row],[Weighted Win%]], View_Table[Weighted Win%], 0)</f>
        <v>29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29</v>
      </c>
    </row>
    <row r="75" spans="2:16" hidden="1" x14ac:dyDescent="0.25">
      <c r="B75" s="3" t="s">
        <v>29</v>
      </c>
      <c r="C75" s="6">
        <f>View_Table[[#This Row],[Rank Previous]]-View_Table[[#This Row],[Rank]]</f>
        <v>0</v>
      </c>
      <c r="D75" s="7">
        <f>_xlfn.RANK.EQ(View_Table[[#This Row],[Weighted Win%]], View_Table[Weighted Win%], 0)</f>
        <v>29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29</v>
      </c>
    </row>
    <row r="76" spans="2:16" hidden="1" x14ac:dyDescent="0.25">
      <c r="B76" s="3" t="s">
        <v>65</v>
      </c>
      <c r="C76" s="6">
        <f>View_Table[[#This Row],[Rank Previous]]-View_Table[[#This Row],[Rank]]</f>
        <v>0</v>
      </c>
      <c r="D76" s="7">
        <f>_xlfn.RANK.EQ(View_Table[[#This Row],[Weighted Win%]], View_Table[Weighted Win%], 0)</f>
        <v>29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29</v>
      </c>
    </row>
    <row r="77" spans="2:16" hidden="1" x14ac:dyDescent="0.25">
      <c r="B77" s="3" t="s">
        <v>76</v>
      </c>
      <c r="C77" s="6">
        <f>View_Table[[#This Row],[Rank Previous]]-View_Table[[#This Row],[Rank]]</f>
        <v>0</v>
      </c>
      <c r="D77" s="7">
        <f>_xlfn.RANK.EQ(View_Table[[#This Row],[Weighted Win%]], View_Table[Weighted Win%], 0)</f>
        <v>29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29</v>
      </c>
    </row>
    <row r="78" spans="2:16" hidden="1" x14ac:dyDescent="0.25">
      <c r="B78" s="3" t="s">
        <v>39</v>
      </c>
      <c r="C78" s="6">
        <f>View_Table[[#This Row],[Rank Previous]]-View_Table[[#This Row],[Rank]]</f>
        <v>0</v>
      </c>
      <c r="D78" s="7">
        <f>_xlfn.RANK.EQ(View_Table[[#This Row],[Weighted Win%]], View_Table[Weighted Win%], 0)</f>
        <v>29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29</v>
      </c>
    </row>
    <row r="79" spans="2:16" hidden="1" x14ac:dyDescent="0.25">
      <c r="B79" s="3" t="s">
        <v>18</v>
      </c>
      <c r="C79" s="6">
        <f>View_Table[[#This Row],[Rank Previous]]-View_Table[[#This Row],[Rank]]</f>
        <v>0</v>
      </c>
      <c r="D79" s="7">
        <f>_xlfn.RANK.EQ(View_Table[[#This Row],[Weighted Win%]], View_Table[Weighted Win%], 0)</f>
        <v>29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29</v>
      </c>
    </row>
    <row r="80" spans="2:16" hidden="1" x14ac:dyDescent="0.25">
      <c r="B80" s="3" t="s">
        <v>592</v>
      </c>
      <c r="C80" s="6">
        <f>View_Table[[#This Row],[Rank Previous]]-View_Table[[#This Row],[Rank]]</f>
        <v>0</v>
      </c>
      <c r="D80" s="7">
        <f>_xlfn.RANK.EQ(View_Table[[#This Row],[Weighted Win%]], View_Table[Weighted Win%], 0)</f>
        <v>29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29</v>
      </c>
    </row>
    <row r="81" spans="2:16" hidden="1" x14ac:dyDescent="0.25">
      <c r="B81" s="3" t="s">
        <v>539</v>
      </c>
      <c r="C81" s="6">
        <f>View_Table[[#This Row],[Rank Previous]]-View_Table[[#This Row],[Rank]]</f>
        <v>0</v>
      </c>
      <c r="D81" s="7">
        <f>_xlfn.RANK.EQ(View_Table[[#This Row],[Weighted Win%]], View_Table[Weighted Win%], 0)</f>
        <v>29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29</v>
      </c>
    </row>
    <row r="82" spans="2:16" x14ac:dyDescent="0.25">
      <c r="B82" s="3" t="s">
        <v>27</v>
      </c>
      <c r="C82" s="6">
        <f>View_Table[[#This Row],[Rank Previous]]-View_Table[[#This Row],[Rank]]</f>
        <v>-8</v>
      </c>
      <c r="D82" s="7">
        <f>_xlfn.RANK.EQ(View_Table[[#This Row],[Weighted Win%]], View_Table[Weighted Win%], 0)</f>
        <v>17</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0.16666666666666666</v>
      </c>
      <c r="G82" s="5">
        <f>IFERROR(
    GETPIVOTDATA(
        "Result",
        'Pivot Table'!$A$3,
        "Player",View_Table[[#This Row],[Player]],
        "Result","Win"
    ),
    0
)</f>
        <v>1</v>
      </c>
      <c r="H82" s="5">
        <f>IFERROR(
    GETPIVOTDATA(
        "Result",
        'Pivot Table'!$A$3,
        "Player",View_Table[[#This Row],[Player]],
        "Result","Loss"
    ),
    0
)</f>
        <v>5</v>
      </c>
      <c r="I82" s="5">
        <f>IFERROR(
    GETPIVOTDATA(
        "Result",
        'Pivot Table'!$A$3,
        "Player",View_Table[[#This Row],[Player]],
        "Result","Draw"
    ),
    0
)</f>
        <v>0</v>
      </c>
      <c r="J82" s="5">
        <f>View_Table[[#This Row],[Wins]]+View_Table[[#This Row],[Losses]]+View_Table[[#This Row],[Draws]]</f>
        <v>6</v>
      </c>
      <c r="K82" s="7">
        <f>IFERROR(
    GETPIVOTDATA(
        "Result",
        'Pivot Table Previous'!$A$3,
        "Player",View_Table[[#This Row],[Player]],
        "Result","Win"
    ),
    0
)</f>
        <v>1</v>
      </c>
      <c r="L82" s="5">
        <f>IFERROR(
    GETPIVOTDATA(
        "Result",
        'Pivot Table Previous'!$A$3,
        "Player",View_Table[[#This Row],[Player]],
        "Result","Loss"
    ),
    0
)</f>
        <v>3</v>
      </c>
      <c r="M82" s="5">
        <f>IFERROR(
    GETPIVOTDATA(
        "Result",
        'Pivot Table Previous'!$A$3,
        "Player",View_Table[[#This Row],[Player]],
        "Result","Draw"
    ),
    0
)</f>
        <v>0</v>
      </c>
      <c r="N82" s="5">
        <f>View_Table[[#This Row],[Wins Previous]]+View_Table[[#This Row],[Losses Previous]]+View_Table[[#This Row],[Draws Previous]]</f>
        <v>4</v>
      </c>
      <c r="O82" s="9">
        <f>_xlfn.LET(_xlpm.g,View_Table[[#This Row],[Games Previous]], _xlpm.w,(View_Table[[#This Row],[Wins Previous]] + View_Table[[#This Row],[Draws Previous]] * 0.25), _xlpm.fake, MAX(0,25-_xlpm.g), IF(_xlpm.g=0,0,(_xlpm.w + _xlpm.fake*0.25)/(_xlpm.g + _xlpm.fake)))</f>
        <v>0.25</v>
      </c>
      <c r="P82" s="7">
        <f>_xlfn.RANK.EQ(View_Table[[#This Row],[Weighted Win% Previous]], View_Table[Weighted Win% Previous], 0)</f>
        <v>9</v>
      </c>
    </row>
    <row r="83" spans="2:16" x14ac:dyDescent="0.25">
      <c r="B83" s="3" t="s">
        <v>14</v>
      </c>
      <c r="C83" s="6">
        <f>View_Table[[#This Row],[Rank Previous]]-View_Table[[#This Row],[Rank]]</f>
        <v>-8</v>
      </c>
      <c r="D83" s="7">
        <f>_xlfn.RANK.EQ(View_Table[[#This Row],[Weighted Win%]], View_Table[Weighted Win%], 0)</f>
        <v>17</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0.16666666666666666</v>
      </c>
      <c r="G83" s="5">
        <f>IFERROR(
    GETPIVOTDATA(
        "Result",
        'Pivot Table'!$A$3,
        "Player",View_Table[[#This Row],[Player]],
        "Result","Win"
    ),
    0
)</f>
        <v>1</v>
      </c>
      <c r="H83" s="5">
        <f>IFERROR(
    GETPIVOTDATA(
        "Result",
        'Pivot Table'!$A$3,
        "Player",View_Table[[#This Row],[Player]],
        "Result","Loss"
    ),
    0
)</f>
        <v>5</v>
      </c>
      <c r="I83" s="5">
        <f>IFERROR(
    GETPIVOTDATA(
        "Result",
        'Pivot Table'!$A$3,
        "Player",View_Table[[#This Row],[Player]],
        "Result","Draw"
    ),
    0
)</f>
        <v>0</v>
      </c>
      <c r="J83" s="5">
        <f>View_Table[[#This Row],[Wins]]+View_Table[[#This Row],[Losses]]+View_Table[[#This Row],[Draws]]</f>
        <v>6</v>
      </c>
      <c r="K83" s="5">
        <f>IFERROR(
    GETPIVOTDATA(
        "Result",
        'Pivot Table Previous'!$A$3,
        "Player",View_Table[[#This Row],[Player]],
        "Result","Win"
    ),
    0
)</f>
        <v>1</v>
      </c>
      <c r="L83" s="5">
        <f>IFERROR(
    GETPIVOTDATA(
        "Result",
        'Pivot Table Previous'!$A$3,
        "Player",View_Table[[#This Row],[Player]],
        "Result","Loss"
    ),
    0
)</f>
        <v>3</v>
      </c>
      <c r="M83" s="5">
        <f>IFERROR(
    GETPIVOTDATA(
        "Result",
        'Pivot Table Previous'!$A$3,
        "Player",View_Table[[#This Row],[Player]],
        "Result","Draw"
    ),
    0
)</f>
        <v>0</v>
      </c>
      <c r="N83" s="5">
        <f>View_Table[[#This Row],[Wins Previous]]+View_Table[[#This Row],[Losses Previous]]+View_Table[[#This Row],[Draws Previous]]</f>
        <v>4</v>
      </c>
      <c r="O83" s="9">
        <f>_xlfn.LET(_xlpm.g,View_Table[[#This Row],[Games Previous]], _xlpm.w,(View_Table[[#This Row],[Wins Previous]] + View_Table[[#This Row],[Draws Previous]] * 0.25), _xlpm.fake, MAX(0,25-_xlpm.g), IF(_xlpm.g=0,0,(_xlpm.w + _xlpm.fake*0.25)/(_xlpm.g + _xlpm.fake)))</f>
        <v>0.25</v>
      </c>
      <c r="P83" s="7">
        <f>IF(View_Table[[#This Row],[Games Previous]]=0,
    View_Table[[#This Row],[Rank]],
    _xlfn.RANK.EQ(View_Table[[#This Row],[Weighted Win% Previous]], View_Table[Weighted Win% Previous], 0)
)</f>
        <v>9</v>
      </c>
    </row>
    <row r="84" spans="2:16" hidden="1" x14ac:dyDescent="0.25">
      <c r="B84" s="3" t="s">
        <v>579</v>
      </c>
      <c r="C84" s="6">
        <f>View_Table[[#This Row],[Rank Previous]]-View_Table[[#This Row],[Rank]]</f>
        <v>0</v>
      </c>
      <c r="D84" s="7">
        <f>_xlfn.RANK.EQ(View_Table[[#This Row],[Weighted Win%]], View_Table[Weighted Win%], 0)</f>
        <v>29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29</v>
      </c>
    </row>
    <row r="85" spans="2:16" hidden="1" x14ac:dyDescent="0.25">
      <c r="B85" s="3" t="s">
        <v>590</v>
      </c>
      <c r="C85" s="6">
        <f>View_Table[[#This Row],[Rank Previous]]-View_Table[[#This Row],[Rank]]</f>
        <v>0</v>
      </c>
      <c r="D85" s="7">
        <f>_xlfn.RANK.EQ(View_Table[[#This Row],[Weighted Win%]], View_Table[Weighted Win%], 0)</f>
        <v>29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29</v>
      </c>
    </row>
    <row r="86" spans="2:16" hidden="1" x14ac:dyDescent="0.25">
      <c r="B86" s="3" t="s">
        <v>551</v>
      </c>
      <c r="C86" s="6">
        <f>View_Table[[#This Row],[Rank Previous]]-View_Table[[#This Row],[Rank]]</f>
        <v>0</v>
      </c>
      <c r="D86" s="7">
        <f>_xlfn.RANK.EQ(View_Table[[#This Row],[Weighted Win%]], View_Table[Weighted Win%], 0)</f>
        <v>29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29</v>
      </c>
    </row>
    <row r="87" spans="2:16" hidden="1" x14ac:dyDescent="0.25">
      <c r="B87" s="3" t="s">
        <v>552</v>
      </c>
      <c r="C87" s="6">
        <f>View_Table[[#This Row],[Rank Previous]]-View_Table[[#This Row],[Rank]]</f>
        <v>0</v>
      </c>
      <c r="D87" s="7">
        <f>_xlfn.RANK.EQ(View_Table[[#This Row],[Weighted Win%]], View_Table[Weighted Win%], 0)</f>
        <v>29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29</v>
      </c>
    </row>
    <row r="88" spans="2:16" hidden="1" x14ac:dyDescent="0.25">
      <c r="B88" s="3" t="s">
        <v>553</v>
      </c>
      <c r="C88" s="6">
        <f>View_Table[[#This Row],[Rank Previous]]-View_Table[[#This Row],[Rank]]</f>
        <v>0</v>
      </c>
      <c r="D88" s="7">
        <f>_xlfn.RANK.EQ(View_Table[[#This Row],[Weighted Win%]], View_Table[Weighted Win%], 0)</f>
        <v>29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29</v>
      </c>
    </row>
    <row r="89" spans="2:16" hidden="1" x14ac:dyDescent="0.25">
      <c r="B89" s="3" t="s">
        <v>554</v>
      </c>
      <c r="C89" s="6">
        <f>View_Table[[#This Row],[Rank Previous]]-View_Table[[#This Row],[Rank]]</f>
        <v>0</v>
      </c>
      <c r="D89" s="7">
        <f>_xlfn.RANK.EQ(View_Table[[#This Row],[Weighted Win%]], View_Table[Weighted Win%], 0)</f>
        <v>29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29</v>
      </c>
    </row>
    <row r="90" spans="2:16" x14ac:dyDescent="0.25">
      <c r="B90" s="3" t="s">
        <v>435</v>
      </c>
      <c r="C90" s="6">
        <f>View_Table[[#This Row],[Rank Previous]]-View_Table[[#This Row],[Rank]]</f>
        <v>0</v>
      </c>
      <c r="D90" s="7">
        <f>_xlfn.RANK.EQ(View_Table[[#This Row],[Weighted Win%]], View_Table[Weighted Win%], 0)</f>
        <v>17</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17</v>
      </c>
    </row>
    <row r="91" spans="2:16" x14ac:dyDescent="0.25">
      <c r="B91" s="3" t="s">
        <v>567</v>
      </c>
      <c r="C91" s="6">
        <f>View_Table[[#This Row],[Rank Previous]]-View_Table[[#This Row],[Rank]]</f>
        <v>0</v>
      </c>
      <c r="D91" s="7">
        <f>_xlfn.RANK.EQ(View_Table[[#This Row],[Weighted Win%]], View_Table[Weighted Win%], 0)</f>
        <v>17</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17</v>
      </c>
    </row>
    <row r="92" spans="2:16" x14ac:dyDescent="0.25">
      <c r="B92" s="3" t="s">
        <v>605</v>
      </c>
      <c r="C92" s="6">
        <f>View_Table[[#This Row],[Rank Previous]]-View_Table[[#This Row],[Rank]]</f>
        <v>0</v>
      </c>
      <c r="D92" s="7">
        <f>_xlfn.RANK.EQ(View_Table[[#This Row],[Weighted Win%]], View_Table[Weighted Win%], 0)</f>
        <v>17</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17</v>
      </c>
    </row>
    <row r="93" spans="2:16" x14ac:dyDescent="0.25">
      <c r="B93" s="3" t="s">
        <v>433</v>
      </c>
      <c r="C93" s="6">
        <f>View_Table[[#This Row],[Rank Previous]]-View_Table[[#This Row],[Rank]]</f>
        <v>0</v>
      </c>
      <c r="D93" s="7">
        <f>_xlfn.RANK.EQ(View_Table[[#This Row],[Weighted Win%]], View_Table[Weighted Win%], 0)</f>
        <v>17</v>
      </c>
      <c r="E93" s="9">
        <f>_xlfn.LET(_xlpm.g,View_Table[[#This Row],[Games]], _xlpm.w,(View_Table[[#This Row],[Wins]] + View_Table[[#This Row],[Draws]] * 0.25), _xlpm.fake, MAX(0,25-_xlpm.g), IF(_xlpm.g=0,0,(_xlpm.w + _xlpm.fake*0.25)/(_xlpm.g + _xlpm.fake)))</f>
        <v>0.23</v>
      </c>
      <c r="F93" s="8">
        <f>IF(View_Table[[#This Row],[Games]]=0,0,(View_Table[[#This Row],[Wins]] + (View_Table[[#This Row],[Draws]] * 0.25))/View_Table[[#This Row],[Games]])</f>
        <v>0</v>
      </c>
      <c r="G93" s="5">
        <f>IFERROR(
    GETPIVOTDATA(
        "Result",
        'Pivot Table'!$A$3,
        "Player",View_Table[[#This Row],[Player]],
        "Result","Win"
    ),
    0
)</f>
        <v>0</v>
      </c>
      <c r="H93" s="5">
        <f>IFERROR(
    GETPIVOTDATA(
        "Result",
        'Pivot Table'!$A$3,
        "Player",View_Table[[#This Row],[Player]],
        "Result","Loss"
    ),
    0
)</f>
        <v>2</v>
      </c>
      <c r="I93" s="5">
        <f>IFERROR(
    GETPIVOTDATA(
        "Result",
        'Pivot Table'!$A$3,
        "Player",View_Table[[#This Row],[Player]],
        "Result","Draw"
    ),
    0
)</f>
        <v>0</v>
      </c>
      <c r="J93" s="5">
        <f>View_Table[[#This Row],[Wins]]+View_Table[[#This Row],[Losses]]+View_Table[[#This Row],[Draws]]</f>
        <v>2</v>
      </c>
      <c r="K93" s="7">
        <f>IFERROR(
    GETPIVOTDATA(
        "Result",
        'Pivot Table Previous'!$A$3,
        "Player",View_Table[[#This Row],[Player]],
        "Result","Win"
    ),
    0
)</f>
        <v>0</v>
      </c>
      <c r="L93" s="5">
        <f>IFERROR(
    GETPIVOTDATA(
        "Result",
        'Pivot Table Previous'!$A$3,
        "Player",View_Table[[#This Row],[Player]],
        "Result","Loss"
    ),
    0
)</f>
        <v>2</v>
      </c>
      <c r="M93" s="5">
        <f>IFERROR(
    GETPIVOTDATA(
        "Result",
        'Pivot Table Previous'!$A$3,
        "Player",View_Table[[#This Row],[Player]],
        "Result","Draw"
    ),
    0
)</f>
        <v>0</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0.23</v>
      </c>
      <c r="P93" s="7">
        <f>_xlfn.RANK.EQ(View_Table[[#This Row],[Weighted Win% Previous]], View_Table[Weighted Win% Previous], 0)</f>
        <v>17</v>
      </c>
    </row>
    <row r="94" spans="2:16" hidden="1" x14ac:dyDescent="0.25">
      <c r="B94" s="3" t="s">
        <v>606</v>
      </c>
      <c r="C94" s="6">
        <f>View_Table[[#This Row],[Rank Previous]]-View_Table[[#This Row],[Rank]]</f>
        <v>0</v>
      </c>
      <c r="D94" s="7">
        <f>_xlfn.RANK.EQ(View_Table[[#This Row],[Weighted Win%]], View_Table[Weighted Win%], 0)</f>
        <v>29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29</v>
      </c>
    </row>
    <row r="95" spans="2:16" x14ac:dyDescent="0.25">
      <c r="B95" s="3" t="s">
        <v>351</v>
      </c>
      <c r="C95" s="6">
        <f>View_Table[[#This Row],[Rank Previous]]-View_Table[[#This Row],[Rank]]</f>
        <v>0</v>
      </c>
      <c r="D95" s="7">
        <f>_xlfn.RANK.EQ(View_Table[[#This Row],[Weighted Win%]], View_Table[Weighted Win%], 0)</f>
        <v>17</v>
      </c>
      <c r="E95" s="9">
        <f>_xlfn.LET(_xlpm.g,View_Table[[#This Row],[Games]], _xlpm.w,(View_Table[[#This Row],[Wins]] + View_Table[[#This Row],[Draws]] * 0.25), _xlpm.fake, MAX(0,25-_xlpm.g), IF(_xlpm.g=0,0,(_xlpm.w + _xlpm.fake*0.25)/(_xlpm.g + _xlpm.fake)))</f>
        <v>0.23</v>
      </c>
      <c r="F95" s="8">
        <f>IF(View_Table[[#This Row],[Games]]=0,0,(View_Table[[#This Row],[Wins]] + (View_Table[[#This Row],[Draws]] * 0.25))/View_Table[[#This Row],[Games]])</f>
        <v>0</v>
      </c>
      <c r="G95" s="5">
        <f>IFERROR(
    GETPIVOTDATA(
        "Result",
        'Pivot Table'!$A$3,
        "Player",View_Table[[#This Row],[Player]],
        "Result","Win"
    ),
    0
)</f>
        <v>0</v>
      </c>
      <c r="H95" s="5">
        <f>IFERROR(
    GETPIVOTDATA(
        "Result",
        'Pivot Table'!$A$3,
        "Player",View_Table[[#This Row],[Player]],
        "Result","Loss"
    ),
    0
)</f>
        <v>2</v>
      </c>
      <c r="I95" s="5">
        <f>IFERROR(
    GETPIVOTDATA(
        "Result",
        'Pivot Table'!$A$3,
        "Player",View_Table[[#This Row],[Player]],
        "Result","Draw"
    ),
    0
)</f>
        <v>0</v>
      </c>
      <c r="J95" s="5">
        <f>View_Table[[#This Row],[Wins]]+View_Table[[#This Row],[Losses]]+View_Table[[#This Row],[Draws]]</f>
        <v>2</v>
      </c>
      <c r="K95" s="7">
        <f>IFERROR(
    GETPIVOTDATA(
        "Result",
        'Pivot Table Previous'!$A$3,
        "Player",View_Table[[#This Row],[Player]],
        "Result","Win"
    ),
    0
)</f>
        <v>0</v>
      </c>
      <c r="L95" s="5">
        <f>IFERROR(
    GETPIVOTDATA(
        "Result",
        'Pivot Table Previous'!$A$3,
        "Player",View_Table[[#This Row],[Player]],
        "Result","Loss"
    ),
    0
)</f>
        <v>2</v>
      </c>
      <c r="M95" s="5">
        <f>IFERROR(
    GETPIVOTDATA(
        "Result",
        'Pivot Table Previous'!$A$3,
        "Player",View_Table[[#This Row],[Player]],
        "Result","Draw"
    ),
    0
)</f>
        <v>0</v>
      </c>
      <c r="N95" s="5">
        <f>View_Table[[#This Row],[Wins Previous]]+View_Table[[#This Row],[Losses Previous]]+View_Table[[#This Row],[Draws Previous]]</f>
        <v>2</v>
      </c>
      <c r="O95" s="9">
        <f>_xlfn.LET(_xlpm.g,View_Table[[#This Row],[Games Previous]], _xlpm.w,(View_Table[[#This Row],[Wins Previous]] + View_Table[[#This Row],[Draws Previous]] * 0.25), _xlpm.fake, MAX(0,25-_xlpm.g), IF(_xlpm.g=0,0,(_xlpm.w + _xlpm.fake*0.25)/(_xlpm.g + _xlpm.fake)))</f>
        <v>0.23</v>
      </c>
      <c r="P95" s="7">
        <f>_xlfn.RANK.EQ(View_Table[[#This Row],[Weighted Win% Previous]], View_Table[Weighted Win% Previous], 0)</f>
        <v>17</v>
      </c>
    </row>
    <row r="96" spans="2:16" x14ac:dyDescent="0.25">
      <c r="B96" s="3" t="s">
        <v>578</v>
      </c>
      <c r="C96" s="6">
        <f>View_Table[[#This Row],[Rank Previous]]-View_Table[[#This Row],[Rank]]</f>
        <v>9</v>
      </c>
      <c r="D96" s="7">
        <f>_xlfn.RANK.EQ(View_Table[[#This Row],[Weighted Win%]], View_Table[Weighted Win%], 0)</f>
        <v>17</v>
      </c>
      <c r="E96" s="9">
        <f>_xlfn.LET(_xlpm.g,View_Table[[#This Row],[Games]], _xlpm.w,(View_Table[[#This Row],[Wins]] + View_Table[[#This Row],[Draws]] * 0.25), _xlpm.fake, MAX(0,25-_xlpm.g), IF(_xlpm.g=0,0,(_xlpm.w + _xlpm.fake*0.25)/(_xlpm.g + _xlpm.fake)))</f>
        <v>0.23</v>
      </c>
      <c r="F96" s="8">
        <f>IF(View_Table[[#This Row],[Games]]=0,0,(View_Table[[#This Row],[Wins]] + (View_Table[[#This Row],[Draws]] * 0.25))/View_Table[[#This Row],[Games]])</f>
        <v>0.16666666666666666</v>
      </c>
      <c r="G96" s="5">
        <f>IFERROR(
    GETPIVOTDATA(
        "Result",
        'Pivot Table'!$A$3,
        "Player",View_Table[[#This Row],[Player]],
        "Result","Win"
    ),
    0
)</f>
        <v>1</v>
      </c>
      <c r="H96" s="5">
        <f>IFERROR(
    GETPIVOTDATA(
        "Result",
        'Pivot Table'!$A$3,
        "Player",View_Table[[#This Row],[Player]],
        "Result","Loss"
    ),
    0
)</f>
        <v>5</v>
      </c>
      <c r="I96" s="5">
        <f>IFERROR(
    GETPIVOTDATA(
        "Result",
        'Pivot Table'!$A$3,
        "Player",View_Table[[#This Row],[Player]],
        "Result","Draw"
    ),
    0
)</f>
        <v>0</v>
      </c>
      <c r="J96" s="5">
        <f>View_Table[[#This Row],[Wins]]+View_Table[[#This Row],[Losses]]+View_Table[[#This Row],[Draws]]</f>
        <v>6</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0</v>
      </c>
      <c r="N96" s="5">
        <f>View_Table[[#This Row],[Wins Previous]]+View_Table[[#This Row],[Losses Previous]]+View_Table[[#This Row],[Draws Previous]]</f>
        <v>4</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26</v>
      </c>
    </row>
    <row r="97" spans="2:16" x14ac:dyDescent="0.25">
      <c r="B97" s="3" t="s">
        <v>10</v>
      </c>
      <c r="C97" s="6">
        <f>View_Table[[#This Row],[Rank Previous]]-View_Table[[#This Row],[Rank]]</f>
        <v>-8</v>
      </c>
      <c r="D97" s="7">
        <f>_xlfn.RANK.EQ(View_Table[[#This Row],[Weighted Win%]], View_Table[Weighted Win%], 0)</f>
        <v>25</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0</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0</v>
      </c>
      <c r="J97" s="5">
        <f>View_Table[[#This Row],[Wins]]+View_Table[[#This Row],[Losses]]+View_Table[[#This Row],[Draws]]</f>
        <v>4</v>
      </c>
      <c r="K97" s="7">
        <f>IFERROR(
    GETPIVOTDATA(
        "Result",
        'Pivot Table Previous'!$A$3,
        "Player",View_Table[[#This Row],[Player]],
        "Result","Win"
    ),
    0
)</f>
        <v>0</v>
      </c>
      <c r="L97" s="5">
        <f>IFERROR(
    GETPIVOTDATA(
        "Result",
        'Pivot Table Previous'!$A$3,
        "Player",View_Table[[#This Row],[Player]],
        "Result","Loss"
    ),
    0
)</f>
        <v>2</v>
      </c>
      <c r="M97" s="5">
        <f>IFERROR(
    GETPIVOTDATA(
        "Result",
        'Pivot Table Previous'!$A$3,
        "Player",View_Table[[#This Row],[Player]],
        "Result","Draw"
    ),
    0
)</f>
        <v>0</v>
      </c>
      <c r="N97" s="5">
        <f>View_Table[[#This Row],[Wins Previous]]+View_Table[[#This Row],[Losses Previous]]+View_Table[[#This Row],[Draws Previous]]</f>
        <v>2</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17</v>
      </c>
    </row>
    <row r="98" spans="2:16" x14ac:dyDescent="0.25">
      <c r="B98" s="3" t="s">
        <v>51</v>
      </c>
      <c r="C98" s="6">
        <f>View_Table[[#This Row],[Rank Previous]]-View_Table[[#This Row],[Rank]]</f>
        <v>-8</v>
      </c>
      <c r="D98" s="7">
        <f>_xlfn.RANK.EQ(View_Table[[#This Row],[Weighted Win%]], View_Table[Weighted Win%], 0)</f>
        <v>25</v>
      </c>
      <c r="E98" s="9">
        <f>_xlfn.LET(_xlpm.g,View_Table[[#This Row],[Games]], _xlpm.w,(View_Table[[#This Row],[Wins]] + View_Table[[#This Row],[Draws]] * 0.25), _xlpm.fake, MAX(0,25-_xlpm.g), IF(_xlpm.g=0,0,(_xlpm.w + _xlpm.fake*0.25)/(_xlpm.g + _xlpm.fake)))</f>
        <v>0.21</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4</v>
      </c>
      <c r="I98" s="5">
        <f>IFERROR(
    GETPIVOTDATA(
        "Result",
        'Pivot Table'!$A$3,
        "Player",View_Table[[#This Row],[Player]],
        "Result","Draw"
    ),
    0
)</f>
        <v>0</v>
      </c>
      <c r="J98" s="5">
        <f>View_Table[[#This Row],[Wins]]+View_Table[[#This Row],[Losses]]+View_Table[[#This Row],[Draws]]</f>
        <v>4</v>
      </c>
      <c r="K98" s="7">
        <f>IFERROR(
    GETPIVOTDATA(
        "Result",
        'Pivot Table Previous'!$A$3,
        "Player",View_Table[[#This Row],[Player]],
        "Result","Win"
    ),
    0
)</f>
        <v>0</v>
      </c>
      <c r="L98" s="5">
        <f>IFERROR(
    GETPIVOTDATA(
        "Result",
        'Pivot Table Previous'!$A$3,
        "Player",View_Table[[#This Row],[Player]],
        "Result","Loss"
    ),
    0
)</f>
        <v>2</v>
      </c>
      <c r="M98" s="5">
        <f>IFERROR(
    GETPIVOTDATA(
        "Result",
        'Pivot Table Previous'!$A$3,
        "Player",View_Table[[#This Row],[Player]],
        "Result","Draw"
    ),
    0
)</f>
        <v>0</v>
      </c>
      <c r="N98" s="5">
        <f>View_Table[[#This Row],[Wins Previous]]+View_Table[[#This Row],[Losses Previous]]+View_Table[[#This Row],[Draws Previous]]</f>
        <v>2</v>
      </c>
      <c r="O98" s="9">
        <f>_xlfn.LET(_xlpm.g,View_Table[[#This Row],[Games Previous]], _xlpm.w,(View_Table[[#This Row],[Wins Previous]] + View_Table[[#This Row],[Draws Previous]] * 0.25), _xlpm.fake, MAX(0,25-_xlpm.g), IF(_xlpm.g=0,0,(_xlpm.w + _xlpm.fake*0.25)/(_xlpm.g + _xlpm.fake)))</f>
        <v>0.23</v>
      </c>
      <c r="P98" s="7">
        <f>_xlfn.RANK.EQ(View_Table[[#This Row],[Weighted Win% Previous]], View_Table[Weighted Win% Previous], 0)</f>
        <v>17</v>
      </c>
    </row>
    <row r="99" spans="2:16" x14ac:dyDescent="0.25">
      <c r="B99" s="3" t="s">
        <v>519</v>
      </c>
      <c r="C99" s="6">
        <f>View_Table[[#This Row],[Rank Previous]]-View_Table[[#This Row],[Rank]]</f>
        <v>1</v>
      </c>
      <c r="D99" s="7">
        <f>_xlfn.RANK.EQ(View_Table[[#This Row],[Weighted Win%]], View_Table[Weighted Win%], 0)</f>
        <v>25</v>
      </c>
      <c r="E99" s="9">
        <f>_xlfn.LET(_xlpm.g,View_Table[[#This Row],[Games]], _xlpm.w,(View_Table[[#This Row],[Wins]] + View_Table[[#This Row],[Draws]] * 0.25), _xlpm.fake, MAX(0,25-_xlpm.g), IF(_xlpm.g=0,0,(_xlpm.w + _xlpm.fake*0.25)/(_xlpm.g + _xlpm.fake)))</f>
        <v>0.21</v>
      </c>
      <c r="F99" s="8">
        <f>IF(View_Table[[#This Row],[Games]]=0,0,(View_Table[[#This Row],[Wins]] + (View_Table[[#This Row],[Draws]] * 0.25))/View_Table[[#This Row],[Games]])</f>
        <v>0</v>
      </c>
      <c r="G99" s="5">
        <f>IFERROR(
    GETPIVOTDATA(
        "Result",
        'Pivot Table'!$A$3,
        "Player",View_Table[[#This Row],[Player]],
        "Result","Win"
    ),
    0
)</f>
        <v>0</v>
      </c>
      <c r="H99" s="5">
        <f>IFERROR(
    GETPIVOTDATA(
        "Result",
        'Pivot Table'!$A$3,
        "Player",View_Table[[#This Row],[Player]],
        "Result","Loss"
    ),
    0
)</f>
        <v>4</v>
      </c>
      <c r="I99" s="5">
        <f>IFERROR(
    GETPIVOTDATA(
        "Result",
        'Pivot Table'!$A$3,
        "Player",View_Table[[#This Row],[Player]],
        "Result","Draw"
    ),
    0
)</f>
        <v>0</v>
      </c>
      <c r="J99" s="5">
        <f>View_Table[[#This Row],[Wins]]+View_Table[[#This Row],[Losses]]+View_Table[[#This Row],[Draws]]</f>
        <v>4</v>
      </c>
      <c r="K99" s="7">
        <f>IFERROR(
    GETPIVOTDATA(
        "Result",
        'Pivot Table Previous'!$A$3,
        "Player",View_Table[[#This Row],[Player]],
        "Result","Win"
    ),
    0
)</f>
        <v>0</v>
      </c>
      <c r="L99" s="5">
        <f>IFERROR(
    GETPIVOTDATA(
        "Result",
        'Pivot Table Previous'!$A$3,
        "Player",View_Table[[#This Row],[Player]],
        "Result","Loss"
    ),
    0
)</f>
        <v>4</v>
      </c>
      <c r="M99" s="5">
        <f>IFERROR(
    GETPIVOTDATA(
        "Result",
        'Pivot Table Previous'!$A$3,
        "Player",View_Table[[#This Row],[Player]],
        "Result","Draw"
    ),
    0
)</f>
        <v>0</v>
      </c>
      <c r="N99" s="5">
        <f>View_Table[[#This Row],[Wins Previous]]+View_Table[[#This Row],[Losses Previous]]+View_Table[[#This Row],[Draws Previous]]</f>
        <v>4</v>
      </c>
      <c r="O99" s="9">
        <f>_xlfn.LET(_xlpm.g,View_Table[[#This Row],[Games Previous]], _xlpm.w,(View_Table[[#This Row],[Wins Previous]] + View_Table[[#This Row],[Draws Previous]] * 0.25), _xlpm.fake, MAX(0,25-_xlpm.g), IF(_xlpm.g=0,0,(_xlpm.w + _xlpm.fake*0.25)/(_xlpm.g + _xlpm.fake)))</f>
        <v>0.21</v>
      </c>
      <c r="P99" s="7">
        <f>_xlfn.RANK.EQ(View_Table[[#This Row],[Weighted Win% Previous]], View_Table[Weighted Win% Previous], 0)</f>
        <v>26</v>
      </c>
    </row>
    <row r="100" spans="2:16" hidden="1" x14ac:dyDescent="0.25">
      <c r="B100" s="3" t="s">
        <v>436</v>
      </c>
      <c r="C100" s="6">
        <f>View_Table[[#This Row],[Rank Previous]]-View_Table[[#This Row],[Rank]]</f>
        <v>0</v>
      </c>
      <c r="D100" s="7">
        <f>_xlfn.RANK.EQ(View_Table[[#This Row],[Weighted Win%]], View_Table[Weighted Win%], 0)</f>
        <v>29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29</v>
      </c>
    </row>
    <row r="101" spans="2:16" hidden="1" x14ac:dyDescent="0.25">
      <c r="B101" s="3" t="s">
        <v>363</v>
      </c>
      <c r="C101" s="6">
        <f>View_Table[[#This Row],[Rank Previous]]-View_Table[[#This Row],[Rank]]</f>
        <v>0</v>
      </c>
      <c r="D101" s="7">
        <f>_xlfn.RANK.EQ(View_Table[[#This Row],[Weighted Win%]], View_Table[Weighted Win%], 0)</f>
        <v>29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29</v>
      </c>
    </row>
    <row r="102" spans="2:16" hidden="1" x14ac:dyDescent="0.25">
      <c r="B102" s="3" t="s">
        <v>52</v>
      </c>
      <c r="C102" s="6">
        <f>View_Table[[#This Row],[Rank Previous]]-View_Table[[#This Row],[Rank]]</f>
        <v>0</v>
      </c>
      <c r="D102" s="7">
        <f>_xlfn.RANK.EQ(View_Table[[#This Row],[Weighted Win%]], View_Table[Weighted Win%], 0)</f>
        <v>29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29</v>
      </c>
    </row>
    <row r="103" spans="2:16" x14ac:dyDescent="0.25">
      <c r="B103" s="3" t="s">
        <v>325</v>
      </c>
      <c r="C103" s="6">
        <f>View_Table[[#This Row],[Rank Previous]]-View_Table[[#This Row],[Rank]]</f>
        <v>-2</v>
      </c>
      <c r="D103" s="7">
        <f>_xlfn.RANK.EQ(View_Table[[#This Row],[Weighted Win%]], View_Table[Weighted Win%], 0)</f>
        <v>28</v>
      </c>
      <c r="E103" s="9">
        <f>_xlfn.LET(_xlpm.g,View_Table[[#This Row],[Games]], _xlpm.w,(View_Table[[#This Row],[Wins]] + View_Table[[#This Row],[Draws]] * 0.25), _xlpm.fake, MAX(0,25-_xlpm.g), IF(_xlpm.g=0,0,(_xlpm.w + _xlpm.fake*0.25)/(_xlpm.g + _xlpm.fake)))</f>
        <v>0.19</v>
      </c>
      <c r="F103" s="8">
        <f>IF(View_Table[[#This Row],[Games]]=0,0,(View_Table[[#This Row],[Wins]] + (View_Table[[#This Row],[Draws]] * 0.25))/View_Table[[#This Row],[Games]])</f>
        <v>0</v>
      </c>
      <c r="G103" s="5">
        <f>IFERROR(
    GETPIVOTDATA(
        "Result",
        'Pivot Table'!$A$3,
        "Player",View_Table[[#This Row],[Player]],
        "Result","Win"
    ),
    0
)</f>
        <v>0</v>
      </c>
      <c r="H103" s="5">
        <f>IFERROR(
    GETPIVOTDATA(
        "Result",
        'Pivot Table'!$A$3,
        "Player",View_Table[[#This Row],[Player]],
        "Result","Loss"
    ),
    0
)</f>
        <v>6</v>
      </c>
      <c r="I103" s="5">
        <f>IFERROR(
    GETPIVOTDATA(
        "Result",
        'Pivot Table'!$A$3,
        "Player",View_Table[[#This Row],[Player]],
        "Result","Draw"
    ),
    0
)</f>
        <v>0</v>
      </c>
      <c r="J103" s="5">
        <f>View_Table[[#This Row],[Wins]]+View_Table[[#This Row],[Losses]]+View_Table[[#This Row],[Draws]]</f>
        <v>6</v>
      </c>
      <c r="K103" s="7">
        <f>IFERROR(
    GETPIVOTDATA(
        "Result",
        'Pivot Table Previous'!$A$3,
        "Player",View_Table[[#This Row],[Player]],
        "Result","Win"
    ),
    0
)</f>
        <v>0</v>
      </c>
      <c r="L103" s="5">
        <f>IFERROR(
    GETPIVOTDATA(
        "Result",
        'Pivot Table Previous'!$A$3,
        "Player",View_Table[[#This Row],[Player]],
        "Result","Loss"
    ),
    0
)</f>
        <v>4</v>
      </c>
      <c r="M103" s="5">
        <f>IFERROR(
    GETPIVOTDATA(
        "Result",
        'Pivot Table Previous'!$A$3,
        "Player",View_Table[[#This Row],[Player]],
        "Result","Draw"
    ),
    0
)</f>
        <v>0</v>
      </c>
      <c r="N103" s="5">
        <f>View_Table[[#This Row],[Wins Previous]]+View_Table[[#This Row],[Losses Previous]]+View_Table[[#This Row],[Draws Previous]]</f>
        <v>4</v>
      </c>
      <c r="O103" s="9">
        <f>_xlfn.LET(_xlpm.g,View_Table[[#This Row],[Games Previous]], _xlpm.w,(View_Table[[#This Row],[Wins Previous]] + View_Table[[#This Row],[Draws Previous]] * 0.25), _xlpm.fake, MAX(0,25-_xlpm.g), IF(_xlpm.g=0,0,(_xlpm.w + _xlpm.fake*0.25)/(_xlpm.g + _xlpm.fake)))</f>
        <v>0.21</v>
      </c>
      <c r="P103" s="7">
        <f>_xlfn.RANK.EQ(View_Table[[#This Row],[Weighted Win% Previous]], View_Table[Weighted Win% Previous], 0)</f>
        <v>26</v>
      </c>
    </row>
    <row r="104" spans="2:16" hidden="1" x14ac:dyDescent="0.25">
      <c r="B104" s="3" t="s">
        <v>465</v>
      </c>
      <c r="C104" s="6">
        <f>View_Table[[#This Row],[Rank Previous]]-View_Table[[#This Row],[Rank]]</f>
        <v>0</v>
      </c>
      <c r="D104" s="7">
        <f>_xlfn.RANK.EQ(View_Table[[#This Row],[Weighted Win%]], View_Table[Weighted Win%], 0)</f>
        <v>29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29</v>
      </c>
    </row>
  </sheetData>
  <phoneticPr fontId="4" type="noConversion"/>
  <conditionalFormatting sqref="J5:J104">
    <cfRule type="colorScale" priority="1854">
      <colorScale>
        <cfvo type="min"/>
        <cfvo type="percentile" val="50"/>
        <cfvo type="num" val="25"/>
        <color rgb="FFF8696B"/>
        <color rgb="FFFFEB84"/>
        <color rgb="FF63BE7B"/>
      </colorScale>
    </cfRule>
  </conditionalFormatting>
  <conditionalFormatting sqref="D5:D104">
    <cfRule type="top10" dxfId="11" priority="1856" bottom="1" rank="5"/>
    <cfRule type="cellIs" dxfId="10" priority="1857" operator="between">
      <formula>1</formula>
      <formula>16</formula>
    </cfRule>
    <cfRule type="top10" dxfId="9" priority="1858" bottom="1" rank="1"/>
  </conditionalFormatting>
  <conditionalFormatting sqref="G5:G104">
    <cfRule type="colorScale" priority="1862">
      <colorScale>
        <cfvo type="min"/>
        <cfvo type="percentile" val="70"/>
        <cfvo type="max"/>
        <color rgb="FFFF6600"/>
        <color theme="9" tint="0.59999389629810485"/>
        <color theme="9" tint="0.39997558519241921"/>
      </colorScale>
    </cfRule>
  </conditionalFormatting>
  <conditionalFormatting sqref="H5:H104">
    <cfRule type="colorScale" priority="1864">
      <colorScale>
        <cfvo type="min"/>
        <cfvo type="percentile" val="90"/>
        <cfvo type="max"/>
        <color theme="9" tint="0.59999389629810485"/>
        <color theme="9" tint="0.79998168889431442"/>
        <color rgb="FFFF6600"/>
      </colorScale>
    </cfRule>
  </conditionalFormatting>
  <conditionalFormatting sqref="F5:F104">
    <cfRule type="colorScale" priority="1866">
      <colorScale>
        <cfvo type="min"/>
        <cfvo type="num" val="0.25"/>
        <cfvo type="max"/>
        <color rgb="FFF8696B"/>
        <color theme="9" tint="0.59999389629810485"/>
        <color rgb="FF00B050"/>
      </colorScale>
    </cfRule>
  </conditionalFormatting>
  <conditionalFormatting sqref="I5:I104">
    <cfRule type="colorScale" priority="1868">
      <colorScale>
        <cfvo type="min"/>
        <cfvo type="max"/>
        <color theme="9" tint="0.79998168889431442"/>
        <color rgb="FFBF95DF"/>
      </colorScale>
    </cfRule>
  </conditionalFormatting>
  <conditionalFormatting sqref="N5:N104">
    <cfRule type="colorScale" priority="1870">
      <colorScale>
        <cfvo type="min"/>
        <cfvo type="percentile" val="50"/>
        <cfvo type="num" val="25"/>
        <color rgb="FFF8696B"/>
        <color rgb="FFFFEB84"/>
        <color rgb="FF63BE7B"/>
      </colorScale>
    </cfRule>
  </conditionalFormatting>
  <conditionalFormatting sqref="L5:L104">
    <cfRule type="colorScale" priority="1872">
      <colorScale>
        <cfvo type="min"/>
        <cfvo type="percentile" val="90"/>
        <cfvo type="max"/>
        <color theme="9" tint="0.59999389629810485"/>
        <color theme="9" tint="0.79998168889431442"/>
        <color rgb="FFFF6600"/>
      </colorScale>
    </cfRule>
  </conditionalFormatting>
  <conditionalFormatting sqref="M5:M104">
    <cfRule type="colorScale" priority="1874">
      <colorScale>
        <cfvo type="min"/>
        <cfvo type="max"/>
        <color theme="9" tint="0.79998168889431442"/>
        <color rgb="FFBF95DF"/>
      </colorScale>
    </cfRule>
  </conditionalFormatting>
  <conditionalFormatting sqref="K5:K104">
    <cfRule type="colorScale" priority="1876">
      <colorScale>
        <cfvo type="min"/>
        <cfvo type="percentile" val="70"/>
        <cfvo type="max"/>
        <color rgb="FFFF6600"/>
        <color theme="9" tint="0.59999389629810485"/>
        <color theme="9" tint="0.39997558519241921"/>
      </colorScale>
    </cfRule>
  </conditionalFormatting>
  <conditionalFormatting sqref="P5:P104">
    <cfRule type="top10" dxfId="8" priority="1878" bottom="1" rank="5"/>
    <cfRule type="top10" dxfId="7" priority="1879"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82"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884"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886"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54</v>
      </c>
      <c r="C6" s="19">
        <v>85</v>
      </c>
      <c r="D6" s="19">
        <v>5</v>
      </c>
      <c r="E6" s="19">
        <v>144</v>
      </c>
    </row>
    <row r="7" spans="1:5" x14ac:dyDescent="0.25">
      <c r="A7" s="3">
        <v>2</v>
      </c>
      <c r="B7" s="19">
        <v>33</v>
      </c>
      <c r="C7" s="19">
        <v>81</v>
      </c>
      <c r="D7" s="19">
        <v>6</v>
      </c>
      <c r="E7" s="19">
        <v>120</v>
      </c>
    </row>
    <row r="8" spans="1:5" x14ac:dyDescent="0.25">
      <c r="A8" s="3">
        <v>3</v>
      </c>
      <c r="B8" s="19">
        <v>30</v>
      </c>
      <c r="C8" s="19">
        <v>59</v>
      </c>
      <c r="D8" s="19">
        <v>6</v>
      </c>
      <c r="E8" s="19">
        <v>95</v>
      </c>
    </row>
    <row r="9" spans="1:5" x14ac:dyDescent="0.25">
      <c r="A9" s="3">
        <v>4</v>
      </c>
      <c r="B9" s="19"/>
      <c r="C9" s="19">
        <v>53</v>
      </c>
      <c r="D9" s="19">
        <v>6</v>
      </c>
      <c r="E9" s="19">
        <v>59</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117</v>
      </c>
      <c r="C12" s="19">
        <v>284</v>
      </c>
      <c r="D12" s="19">
        <v>29</v>
      </c>
      <c r="E12" s="19">
        <v>430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0.26705761316872434</v>
      </c>
    </row>
    <row r="4" spans="2:7" x14ac:dyDescent="0.25">
      <c r="B4" t="s">
        <v>2</v>
      </c>
      <c r="C4" t="s">
        <v>75</v>
      </c>
      <c r="D4" t="s">
        <v>70</v>
      </c>
      <c r="F4" t="s">
        <v>77</v>
      </c>
      <c r="G4" t="s">
        <v>34</v>
      </c>
    </row>
    <row r="5" spans="2:7" x14ac:dyDescent="0.25">
      <c r="B5">
        <v>1</v>
      </c>
      <c r="C5">
        <f>GETPIVOTDATA("Result",Seat_Order_Pivot!$A$3,"Seat",Table3[[#This Row],[Seat]],"Result","Win")</f>
        <v>144</v>
      </c>
      <c r="D5" s="4">
        <f>Table3[[#This Row],[Count Result]]/C13</f>
        <v>0.29629629629629628</v>
      </c>
      <c r="F5">
        <v>1</v>
      </c>
      <c r="G5" s="4">
        <f>GETPIVOTDATA("Result",pivot_seat_New!$A$5,"Seat",Table411[[#This Row],[3 pods]],"Pod Size",3)/C14</f>
        <v>0.43902439024390244</v>
      </c>
    </row>
    <row r="6" spans="2:7" x14ac:dyDescent="0.25">
      <c r="B6">
        <v>2</v>
      </c>
      <c r="C6">
        <f>GETPIVOTDATA("Result",Seat_Order_Pivot!$A$3,"Seat",Table3[[#This Row],[Seat]],"Result","Win")</f>
        <v>120</v>
      </c>
      <c r="D6" s="4">
        <f>Table3[[#This Row],[Count Result]]/C13</f>
        <v>0.24691358024691357</v>
      </c>
      <c r="F6">
        <v>2</v>
      </c>
      <c r="G6" s="4">
        <f>GETPIVOTDATA("Result",pivot_seat_New!$A$5,"Seat",Table411[[#This Row],[3 pods]],"Pod Size",3)/C14</f>
        <v>0.26829268292682928</v>
      </c>
    </row>
    <row r="7" spans="2:7" x14ac:dyDescent="0.25">
      <c r="B7">
        <v>3</v>
      </c>
      <c r="C7">
        <f>GETPIVOTDATA("Result",Seat_Order_Pivot!$A$3,"Seat",Table3[[#This Row],[Seat]],"Result","Win")</f>
        <v>95</v>
      </c>
      <c r="D7" s="4">
        <f>Table3[[#This Row],[Count Result]]/C13</f>
        <v>0.19547325102880658</v>
      </c>
      <c r="F7">
        <v>3</v>
      </c>
      <c r="G7" s="4">
        <f>GETPIVOTDATA("Result",pivot_seat_New!$A$5,"Seat",Table411[[#This Row],[3 pods]],"Pod Size",3)/C14</f>
        <v>0.24390243902439024</v>
      </c>
    </row>
    <row r="8" spans="2:7" x14ac:dyDescent="0.25">
      <c r="B8">
        <v>4</v>
      </c>
      <c r="C8">
        <f>GETPIVOTDATA("Result",Seat_Order_Pivot!$A$3,"Seat",Table3[[#This Row],[Seat]],"Result","Win")</f>
        <v>59</v>
      </c>
      <c r="D8" s="4">
        <f>Table3[[#This Row],[Count Result]]/(C15+C16)</f>
        <v>0.16253443526170799</v>
      </c>
      <c r="F8" t="s">
        <v>63</v>
      </c>
      <c r="G8" s="4">
        <f>1-G5-G6-G7</f>
        <v>4.8780487804878092E-2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62</v>
      </c>
      <c r="D10" s="4">
        <f>Table3[[#This Row],[Count Result]]/C13</f>
        <v>0.12757201646090535</v>
      </c>
      <c r="F10">
        <v>1</v>
      </c>
      <c r="G10" s="4">
        <f>GETPIVOTDATA("Result",pivot_seat_New!$A$5,"Seat",Table41112[[#This Row],[4 pods]],"Pod Size",4)/C15</f>
        <v>0.25602409638554219</v>
      </c>
    </row>
    <row r="11" spans="2:7" x14ac:dyDescent="0.25">
      <c r="F11">
        <v>2</v>
      </c>
      <c r="G11" s="4">
        <f>GETPIVOTDATA("Result",pivot_seat_New!$A$5,"Seat",Table41112[[#This Row],[4 pods]],"Pod Size",4)/C15</f>
        <v>0.24397590361445784</v>
      </c>
    </row>
    <row r="12" spans="2:7" x14ac:dyDescent="0.25">
      <c r="B12" t="s">
        <v>71</v>
      </c>
      <c r="C12" t="s">
        <v>69</v>
      </c>
      <c r="F12">
        <v>3</v>
      </c>
      <c r="G12" s="4">
        <f>GETPIVOTDATA("Result",pivot_seat_New!$A$5,"Seat",Table41112[[#This Row],[4 pods]],"Pod Size",4)/C15</f>
        <v>0.17771084337349397</v>
      </c>
    </row>
    <row r="13" spans="2:7" x14ac:dyDescent="0.25">
      <c r="B13" t="s">
        <v>68</v>
      </c>
      <c r="C13">
        <f>SUM(Table3[Count Result])</f>
        <v>486</v>
      </c>
      <c r="F13">
        <v>4</v>
      </c>
      <c r="G13" s="4">
        <f>GETPIVOTDATA("Result",pivot_seat_New!$A$5,"Seat",Table41112[[#This Row],[4 pods]],"Pod Size",4)/C15</f>
        <v>0.15963855421686746</v>
      </c>
    </row>
    <row r="14" spans="2:7" x14ac:dyDescent="0.25">
      <c r="B14" t="s">
        <v>72</v>
      </c>
      <c r="C14">
        <f>(C13)-((GETPIVOTDATA("Result",Seat_Order_Pivot!$A$3,"Seat",4,"Result","Win")) + (GETPIVOTDATA("Result",Seat_Order_Pivot!$A$3,"Seat",4,"Result","Loss")) + (GETPIVOTDATA("Result",Seat_Order_Pivot!$A$3,"Seat",4,"Result","Draw")))</f>
        <v>123</v>
      </c>
      <c r="F14" t="s">
        <v>63</v>
      </c>
      <c r="G14" s="4">
        <f>1-G11-G12-G13-G10</f>
        <v>0.16265060240963852</v>
      </c>
    </row>
    <row r="15" spans="2:7" x14ac:dyDescent="0.25">
      <c r="B15" t="s">
        <v>73</v>
      </c>
      <c r="C15">
        <f>C13-C14-C16</f>
        <v>332</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62</v>
      </c>
      <c r="C3" s="19">
        <v>280</v>
      </c>
      <c r="D3" s="19">
        <v>144</v>
      </c>
      <c r="E3" s="19">
        <v>486</v>
      </c>
    </row>
    <row r="4" spans="1:5" x14ac:dyDescent="0.25">
      <c r="A4" s="3">
        <v>2</v>
      </c>
      <c r="B4" s="19">
        <v>61</v>
      </c>
      <c r="C4" s="19">
        <v>304</v>
      </c>
      <c r="D4" s="19">
        <v>120</v>
      </c>
      <c r="E4" s="19">
        <v>485</v>
      </c>
    </row>
    <row r="5" spans="1:5" x14ac:dyDescent="0.25">
      <c r="A5" s="3">
        <v>3</v>
      </c>
      <c r="B5" s="19">
        <v>62</v>
      </c>
      <c r="C5" s="19">
        <v>329</v>
      </c>
      <c r="D5" s="19">
        <v>95</v>
      </c>
      <c r="E5" s="19">
        <v>486</v>
      </c>
    </row>
    <row r="6" spans="1:5" x14ac:dyDescent="0.25">
      <c r="A6" s="3">
        <v>4</v>
      </c>
      <c r="B6" s="19">
        <v>56</v>
      </c>
      <c r="C6" s="19">
        <v>248</v>
      </c>
      <c r="D6" s="19">
        <v>59</v>
      </c>
      <c r="E6" s="19">
        <v>363</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243</v>
      </c>
      <c r="C9" s="19">
        <v>1202</v>
      </c>
      <c r="D9" s="19">
        <v>430</v>
      </c>
      <c r="E9" s="19">
        <v>1875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5"/>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3</v>
      </c>
      <c r="C7" s="19">
        <v>1</v>
      </c>
      <c r="D7" s="19"/>
    </row>
    <row r="8" spans="1:4" x14ac:dyDescent="0.25">
      <c r="A8" s="3" t="s">
        <v>19</v>
      </c>
      <c r="B8" s="19">
        <v>2</v>
      </c>
      <c r="C8" s="19">
        <v>2</v>
      </c>
      <c r="D8" s="19"/>
    </row>
    <row r="9" spans="1:4" x14ac:dyDescent="0.25">
      <c r="A9" s="3" t="s">
        <v>13</v>
      </c>
      <c r="B9" s="19">
        <v>1</v>
      </c>
      <c r="C9" s="19">
        <v>1</v>
      </c>
      <c r="D9" s="19">
        <v>2</v>
      </c>
    </row>
    <row r="10" spans="1:4" x14ac:dyDescent="0.25">
      <c r="A10" s="3" t="s">
        <v>10</v>
      </c>
      <c r="B10" s="19">
        <v>2</v>
      </c>
      <c r="C10" s="19"/>
      <c r="D10" s="19"/>
    </row>
    <row r="11" spans="1:4" x14ac:dyDescent="0.25">
      <c r="A11" s="3" t="s">
        <v>7</v>
      </c>
      <c r="B11" s="19">
        <v>3</v>
      </c>
      <c r="C11" s="19">
        <v>1</v>
      </c>
      <c r="D11" s="19"/>
    </row>
    <row r="12" spans="1:4" x14ac:dyDescent="0.25">
      <c r="A12" s="3" t="s">
        <v>20</v>
      </c>
      <c r="B12" s="19">
        <v>3</v>
      </c>
      <c r="C12" s="19">
        <v>1</v>
      </c>
      <c r="D12" s="19"/>
    </row>
    <row r="13" spans="1:4" x14ac:dyDescent="0.25">
      <c r="A13" s="3" t="s">
        <v>15</v>
      </c>
      <c r="B13" s="19"/>
      <c r="C13" s="19">
        <v>3</v>
      </c>
      <c r="D13" s="19">
        <v>1</v>
      </c>
    </row>
    <row r="14" spans="1:4" x14ac:dyDescent="0.25">
      <c r="A14" s="3" t="s">
        <v>11</v>
      </c>
      <c r="B14" s="19">
        <v>1</v>
      </c>
      <c r="C14" s="19">
        <v>1</v>
      </c>
      <c r="D14" s="19"/>
    </row>
    <row r="15" spans="1:4" x14ac:dyDescent="0.25">
      <c r="A15" s="3" t="s">
        <v>9</v>
      </c>
      <c r="B15" s="19">
        <v>2</v>
      </c>
      <c r="C15" s="19"/>
      <c r="D15" s="19">
        <v>2</v>
      </c>
    </row>
    <row r="16" spans="1:4" x14ac:dyDescent="0.25">
      <c r="A16" s="3" t="s">
        <v>17</v>
      </c>
      <c r="B16" s="19">
        <v>3</v>
      </c>
      <c r="C16" s="19">
        <v>1</v>
      </c>
      <c r="D16" s="19"/>
    </row>
    <row r="17" spans="1:4" x14ac:dyDescent="0.25">
      <c r="A17" s="3" t="s">
        <v>28</v>
      </c>
      <c r="B17" s="19"/>
      <c r="C17" s="19">
        <v>2</v>
      </c>
      <c r="D17" s="19"/>
    </row>
    <row r="18" spans="1:4" x14ac:dyDescent="0.25">
      <c r="A18" s="3" t="s">
        <v>27</v>
      </c>
      <c r="B18" s="19">
        <v>3</v>
      </c>
      <c r="C18" s="19">
        <v>1</v>
      </c>
      <c r="D18" s="19"/>
    </row>
    <row r="19" spans="1:4" x14ac:dyDescent="0.25">
      <c r="A19" s="3" t="s">
        <v>41</v>
      </c>
      <c r="B19" s="19">
        <v>2</v>
      </c>
      <c r="C19" s="19"/>
      <c r="D19" s="19"/>
    </row>
    <row r="20" spans="1:4" x14ac:dyDescent="0.25">
      <c r="A20" s="3" t="s">
        <v>51</v>
      </c>
      <c r="B20" s="19">
        <v>2</v>
      </c>
      <c r="C20" s="19"/>
      <c r="D20" s="19"/>
    </row>
    <row r="21" spans="1:4" x14ac:dyDescent="0.25">
      <c r="A21" s="3" t="s">
        <v>352</v>
      </c>
      <c r="B21" s="19">
        <v>1</v>
      </c>
      <c r="C21" s="19">
        <v>3</v>
      </c>
      <c r="D21" s="19"/>
    </row>
    <row r="22" spans="1:4" x14ac:dyDescent="0.25">
      <c r="A22" s="3" t="s">
        <v>325</v>
      </c>
      <c r="B22" s="19">
        <v>4</v>
      </c>
      <c r="C22" s="19"/>
      <c r="D22" s="19"/>
    </row>
    <row r="23" spans="1:4" x14ac:dyDescent="0.25">
      <c r="A23" s="3" t="s">
        <v>326</v>
      </c>
      <c r="B23" s="19">
        <v>1</v>
      </c>
      <c r="C23" s="19">
        <v>1</v>
      </c>
      <c r="D23" s="19"/>
    </row>
    <row r="24" spans="1:4" x14ac:dyDescent="0.25">
      <c r="A24" s="3" t="s">
        <v>351</v>
      </c>
      <c r="B24" s="19">
        <v>2</v>
      </c>
      <c r="C24" s="19"/>
      <c r="D24" s="19"/>
    </row>
    <row r="25" spans="1:4" x14ac:dyDescent="0.25">
      <c r="A25" s="3" t="s">
        <v>405</v>
      </c>
      <c r="B25" s="19">
        <v>2</v>
      </c>
      <c r="C25" s="19">
        <v>1</v>
      </c>
      <c r="D25" s="19">
        <v>1</v>
      </c>
    </row>
    <row r="26" spans="1:4" x14ac:dyDescent="0.25">
      <c r="A26" s="3" t="s">
        <v>435</v>
      </c>
      <c r="B26" s="19">
        <v>2</v>
      </c>
      <c r="C26" s="19"/>
      <c r="D26" s="19"/>
    </row>
    <row r="27" spans="1:4" x14ac:dyDescent="0.25">
      <c r="A27" s="3" t="s">
        <v>433</v>
      </c>
      <c r="B27" s="19">
        <v>2</v>
      </c>
      <c r="C27" s="19"/>
      <c r="D27" s="19"/>
    </row>
    <row r="28" spans="1:4" x14ac:dyDescent="0.25">
      <c r="A28" s="3" t="s">
        <v>519</v>
      </c>
      <c r="B28" s="19">
        <v>4</v>
      </c>
      <c r="C28" s="19"/>
      <c r="D28" s="19"/>
    </row>
    <row r="29" spans="1:4" x14ac:dyDescent="0.25">
      <c r="A29" s="3" t="s">
        <v>540</v>
      </c>
      <c r="B29" s="19">
        <v>1</v>
      </c>
      <c r="C29" s="19"/>
      <c r="D29" s="19">
        <v>1</v>
      </c>
    </row>
    <row r="30" spans="1:4" x14ac:dyDescent="0.25">
      <c r="A30" s="3" t="s">
        <v>567</v>
      </c>
      <c r="B30" s="19">
        <v>2</v>
      </c>
      <c r="C30" s="19"/>
      <c r="D30" s="19"/>
    </row>
    <row r="31" spans="1:4" x14ac:dyDescent="0.25">
      <c r="A31" s="3" t="s">
        <v>578</v>
      </c>
      <c r="B31" s="19">
        <v>4</v>
      </c>
      <c r="C31" s="19"/>
      <c r="D31" s="19"/>
    </row>
    <row r="32" spans="1:4" x14ac:dyDescent="0.25">
      <c r="A32" s="3" t="s">
        <v>605</v>
      </c>
      <c r="B32" s="19">
        <v>2</v>
      </c>
      <c r="C32" s="19"/>
      <c r="D32" s="19"/>
    </row>
    <row r="33" spans="1:4" x14ac:dyDescent="0.25">
      <c r="A33" s="3" t="s">
        <v>609</v>
      </c>
      <c r="B33" s="19">
        <v>1</v>
      </c>
      <c r="C33" s="19"/>
      <c r="D33" s="19">
        <v>1</v>
      </c>
    </row>
    <row r="34" spans="1:4" x14ac:dyDescent="0.25">
      <c r="A34" s="3" t="s">
        <v>622</v>
      </c>
      <c r="B34" s="19">
        <v>3</v>
      </c>
      <c r="C34" s="19">
        <v>1</v>
      </c>
      <c r="D34" s="19"/>
    </row>
    <row r="35" spans="1:4" x14ac:dyDescent="0.25">
      <c r="A35" s="3" t="s">
        <v>24</v>
      </c>
      <c r="B35" s="19">
        <v>58</v>
      </c>
      <c r="C35" s="19">
        <v>20</v>
      </c>
      <c r="D35" s="19">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2"/>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352</v>
      </c>
      <c r="B5" s="19">
        <v>16</v>
      </c>
      <c r="C5" s="19">
        <v>5</v>
      </c>
      <c r="D5" s="19">
        <v>7</v>
      </c>
      <c r="E5" s="4">
        <f t="shared" si="0"/>
        <v>0.3125</v>
      </c>
      <c r="F5" s="4">
        <f t="shared" si="1"/>
        <v>0.4375</v>
      </c>
      <c r="G5" s="4">
        <f>IFERROR(1-Table5[[#This Row],[Loss % Against]]-Table5[[#This Row],[Win% Against]],"")</f>
        <v>0.25</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14</v>
      </c>
      <c r="B7" s="19">
        <v>14</v>
      </c>
      <c r="C7" s="19">
        <v>6</v>
      </c>
      <c r="D7" s="19">
        <v>3</v>
      </c>
      <c r="E7" s="4">
        <f t="shared" si="0"/>
        <v>0.42857142857142855</v>
      </c>
      <c r="F7" s="4">
        <f t="shared" si="1"/>
        <v>0.21428571428571427</v>
      </c>
      <c r="G7" s="4">
        <f>IFERROR(1-Table5[[#This Row],[Loss % Against]]-Table5[[#This Row],[Win% Against]],"")</f>
        <v>0.35714285714285715</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19</v>
      </c>
      <c r="B9" s="19">
        <v>12</v>
      </c>
      <c r="C9" s="19">
        <v>4</v>
      </c>
      <c r="D9" s="19">
        <v>3</v>
      </c>
      <c r="E9" s="4">
        <f t="shared" si="0"/>
        <v>0.33333333333333331</v>
      </c>
      <c r="F9" s="4">
        <f t="shared" si="1"/>
        <v>0.25</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20</v>
      </c>
      <c r="B10" s="19">
        <v>12</v>
      </c>
      <c r="C10" s="19">
        <v>5</v>
      </c>
      <c r="D10" s="19">
        <v>0</v>
      </c>
      <c r="E10" s="4">
        <f t="shared" si="0"/>
        <v>0.41666666666666669</v>
      </c>
      <c r="F10" s="4">
        <f t="shared" si="1"/>
        <v>0</v>
      </c>
      <c r="G10" s="4">
        <f>IFERROR(1-Table5[[#This Row],[Loss % Against]]-Table5[[#This Row],[Win% Against]],"")</f>
        <v>0.58333333333333326</v>
      </c>
      <c r="H10" s="16">
        <f>IFERROR(IF(B10=0,"",
 IF(Table5[[#This Row],[Win% Against]] &gt; Table5[[#This Row],[Loss % Against]], 1,
 IF(Table5[[#This Row],[Win% Against]] &lt; Table5[[#This Row],[Loss % Against]], -1, 0))), "")</f>
        <v>1</v>
      </c>
    </row>
    <row r="11" spans="1:8" x14ac:dyDescent="0.25">
      <c r="A11" s="3" t="s">
        <v>17</v>
      </c>
      <c r="B11" s="19">
        <v>12</v>
      </c>
      <c r="C11" s="19">
        <v>5</v>
      </c>
      <c r="D11" s="19">
        <v>2</v>
      </c>
      <c r="E11" s="4">
        <f t="shared" si="0"/>
        <v>0.41666666666666669</v>
      </c>
      <c r="F11" s="4">
        <f t="shared" si="1"/>
        <v>0.16666666666666666</v>
      </c>
      <c r="G11" s="4">
        <f>IFERROR(1-Table5[[#This Row],[Loss % Against]]-Table5[[#This Row],[Win% Against]],"")</f>
        <v>0.41666666666666669</v>
      </c>
      <c r="H11" s="16">
        <f>IFERROR(IF(B11=0,"",
 IF(Table5[[#This Row],[Win% Against]] &gt; Table5[[#This Row],[Loss % Against]], 1,
 IF(Table5[[#This Row],[Win% Against]] &lt; Table5[[#This Row],[Loss % Against]], -1, 0))), "")</f>
        <v>1</v>
      </c>
    </row>
    <row r="12" spans="1:8" x14ac:dyDescent="0.25">
      <c r="A12" s="3" t="s">
        <v>13</v>
      </c>
      <c r="B12" s="19">
        <v>12</v>
      </c>
      <c r="C12" s="19">
        <v>3</v>
      </c>
      <c r="D12" s="19">
        <v>1</v>
      </c>
      <c r="E12" s="4">
        <f t="shared" si="0"/>
        <v>0.25</v>
      </c>
      <c r="F12" s="4">
        <f t="shared" si="1"/>
        <v>8.3333333333333329E-2</v>
      </c>
      <c r="G12" s="4">
        <f>IFERROR(1-Table5[[#This Row],[Loss % Against]]-Table5[[#This Row],[Win% Against]],"")</f>
        <v>0.66666666666666663</v>
      </c>
      <c r="H12" s="16">
        <f>IFERROR(IF(B12=0,"",
 IF(Table5[[#This Row],[Win% Against]] &gt; Table5[[#This Row],[Loss % Against]], 1,
 IF(Table5[[#This Row],[Win% Against]] &lt; Table5[[#This Row],[Loss % Against]], -1, 0))), "")</f>
        <v>1</v>
      </c>
    </row>
    <row r="13" spans="1:8" x14ac:dyDescent="0.25">
      <c r="A13" s="3" t="s">
        <v>41</v>
      </c>
      <c r="B13" s="19">
        <v>12</v>
      </c>
      <c r="C13" s="19">
        <v>8</v>
      </c>
      <c r="D13" s="19">
        <v>3</v>
      </c>
      <c r="E13" s="4">
        <f t="shared" si="0"/>
        <v>0.66666666666666663</v>
      </c>
      <c r="F13" s="4">
        <f t="shared" si="1"/>
        <v>0.25</v>
      </c>
      <c r="G13" s="4">
        <f>IFERROR(1-Table5[[#This Row],[Loss % Against]]-Table5[[#This Row],[Win% Against]],"")</f>
        <v>8.333333333333337E-2</v>
      </c>
      <c r="H13" s="16">
        <f>IFERROR(IF(B13=0,"",
 IF(Table5[[#This Row],[Win% Against]] &gt; Table5[[#This Row],[Loss % Against]], 1,
 IF(Table5[[#This Row],[Win% Against]] &lt; Table5[[#This Row],[Loss % Against]], -1, 0))), "")</f>
        <v>1</v>
      </c>
    </row>
    <row r="14" spans="1:8" x14ac:dyDescent="0.25">
      <c r="A14" s="3" t="s">
        <v>15</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351</v>
      </c>
      <c r="B17" s="19">
        <v>8</v>
      </c>
      <c r="C17" s="19">
        <v>3</v>
      </c>
      <c r="D17" s="19">
        <v>1</v>
      </c>
      <c r="E17" s="4">
        <f t="shared" si="0"/>
        <v>0.375</v>
      </c>
      <c r="F17" s="4">
        <f t="shared" si="1"/>
        <v>0.125</v>
      </c>
      <c r="G17" s="4">
        <f>IFERROR(1-Table5[[#This Row],[Loss % Against]]-Table5[[#This Row],[Win% Against]],"")</f>
        <v>0.5</v>
      </c>
      <c r="H17" s="16">
        <f>IFERROR(IF(B17=0,"",
 IF(Table5[[#This Row],[Win% Against]] &gt; Table5[[#This Row],[Loss % Against]], 1,
 IF(Table5[[#This Row],[Win% Against]] &lt; Table5[[#This Row],[Loss % Against]], -1, 0))), "")</f>
        <v>1</v>
      </c>
    </row>
    <row r="18" spans="1:8" x14ac:dyDescent="0.25">
      <c r="A18" s="3" t="s">
        <v>321</v>
      </c>
      <c r="B18" s="19">
        <v>7</v>
      </c>
      <c r="C18" s="19">
        <v>2</v>
      </c>
      <c r="D18" s="19">
        <v>0</v>
      </c>
      <c r="E18" s="4">
        <f t="shared" si="0"/>
        <v>0.2857142857142857</v>
      </c>
      <c r="F18" s="4">
        <f t="shared" si="1"/>
        <v>0</v>
      </c>
      <c r="G18" s="4">
        <f>IFERROR(1-Table5[[#This Row],[Loss % Against]]-Table5[[#This Row],[Win% Against]],"")</f>
        <v>0.7142857142857143</v>
      </c>
      <c r="H18" s="16">
        <f>IFERROR(IF(B18=0,"",
 IF(Table5[[#This Row],[Win% Against]] &gt; Table5[[#This Row],[Loss % Against]], 1,
 IF(Table5[[#This Row],[Win% Against]] &lt; Table5[[#This Row],[Loss % Against]], -1, 0))), "")</f>
        <v>1</v>
      </c>
    </row>
    <row r="19" spans="1:8" x14ac:dyDescent="0.25">
      <c r="A19" s="3" t="s">
        <v>27</v>
      </c>
      <c r="B19" s="19">
        <v>7</v>
      </c>
      <c r="C19" s="19">
        <v>3</v>
      </c>
      <c r="D19" s="19">
        <v>0</v>
      </c>
      <c r="E19" s="4">
        <f t="shared" si="0"/>
        <v>0.42857142857142855</v>
      </c>
      <c r="F19" s="4">
        <f t="shared" si="1"/>
        <v>0</v>
      </c>
      <c r="G19" s="4">
        <f>IFERROR(1-Table5[[#This Row],[Loss % Against]]-Table5[[#This Row],[Win% Against]],"")</f>
        <v>0.5714285714285714</v>
      </c>
      <c r="H19" s="16">
        <f>IFERROR(IF(B19=0,"",
 IF(Table5[[#This Row],[Win% Against]] &gt; Table5[[#This Row],[Loss % Against]], 1,
 IF(Table5[[#This Row],[Win% Against]] &lt; Table5[[#This Row],[Loss % Against]], -1, 0))), "")</f>
        <v>1</v>
      </c>
    </row>
    <row r="20" spans="1:8" x14ac:dyDescent="0.25">
      <c r="A20" s="3" t="s">
        <v>11</v>
      </c>
      <c r="B20" s="19">
        <v>7</v>
      </c>
      <c r="C20" s="19">
        <v>3</v>
      </c>
      <c r="D20" s="19">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51</v>
      </c>
      <c r="B21" s="19">
        <v>6</v>
      </c>
      <c r="C21" s="19">
        <v>3</v>
      </c>
      <c r="D21" s="19">
        <v>0</v>
      </c>
      <c r="E21" s="4">
        <f t="shared" si="0"/>
        <v>0.5</v>
      </c>
      <c r="F21" s="4">
        <f t="shared" si="1"/>
        <v>0</v>
      </c>
      <c r="G21" s="4">
        <f>IFERROR(1-Table5[[#This Row],[Loss % Against]]-Table5[[#This Row],[Win% Against]],"")</f>
        <v>0.5</v>
      </c>
      <c r="H21" s="16">
        <f>IFERROR(IF(B21=0,"",
 IF(Table5[[#This Row],[Win% Against]] &gt; Table5[[#This Row],[Loss % Against]], 1,
 IF(Table5[[#This Row],[Win% Against]] &lt; Table5[[#This Row],[Loss % Against]], -1, 0))), "")</f>
        <v>1</v>
      </c>
    </row>
    <row r="22" spans="1:8" x14ac:dyDescent="0.25">
      <c r="A22" s="3" t="s">
        <v>12</v>
      </c>
      <c r="B22" s="19">
        <v>5</v>
      </c>
      <c r="C22" s="19">
        <v>2</v>
      </c>
      <c r="D22" s="19">
        <v>1</v>
      </c>
      <c r="E22" s="4">
        <f t="shared" si="0"/>
        <v>0.4</v>
      </c>
      <c r="F22" s="4">
        <f t="shared" si="1"/>
        <v>0.2</v>
      </c>
      <c r="G22" s="4">
        <f>IFERROR(1-Table5[[#This Row],[Loss % Against]]-Table5[[#This Row],[Win% Against]],"")</f>
        <v>0.4</v>
      </c>
      <c r="H22" s="16">
        <f>IFERROR(IF(B22=0,"",
 IF(Table5[[#This Row],[Win% Against]] &gt; Table5[[#This Row],[Loss % Against]], 1,
 IF(Table5[[#This Row],[Win% Against]] &lt; Table5[[#This Row],[Loss % Against]], -1, 0))), "")</f>
        <v>1</v>
      </c>
    </row>
    <row r="23" spans="1:8" x14ac:dyDescent="0.25">
      <c r="A23" s="3" t="s">
        <v>405</v>
      </c>
      <c r="B23" s="19">
        <v>5</v>
      </c>
      <c r="C23" s="19">
        <v>1</v>
      </c>
      <c r="D23" s="19">
        <v>0</v>
      </c>
      <c r="E23" s="4">
        <f t="shared" si="0"/>
        <v>0.2</v>
      </c>
      <c r="F23" s="4">
        <f t="shared" si="1"/>
        <v>0</v>
      </c>
      <c r="G23" s="4">
        <f>IFERROR(1-Table5[[#This Row],[Loss % Against]]-Table5[[#This Row],[Win% Against]],"")</f>
        <v>0.8</v>
      </c>
      <c r="H23" s="16">
        <f>IFERROR(IF(B23=0,"",
 IF(Table5[[#This Row],[Win% Against]] &gt; Table5[[#This Row],[Loss % Against]], 1,
 IF(Table5[[#This Row],[Win% Against]] &lt; Table5[[#This Row],[Loss % Against]], -1, 0))), "")</f>
        <v>1</v>
      </c>
    </row>
    <row r="24" spans="1:8" x14ac:dyDescent="0.2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76</v>
      </c>
      <c r="B26" s="19">
        <v>4</v>
      </c>
      <c r="C26" s="19">
        <v>2</v>
      </c>
      <c r="D26" s="19">
        <v>0</v>
      </c>
      <c r="E26" s="4">
        <f t="shared" si="0"/>
        <v>0.5</v>
      </c>
      <c r="F26" s="4">
        <f t="shared" si="1"/>
        <v>0</v>
      </c>
      <c r="G26" s="4">
        <f>IFERROR(1-Table5[[#This Row],[Loss % Against]]-Table5[[#This Row],[Win% Against]],"")</f>
        <v>0.5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326</v>
      </c>
      <c r="B28" s="19">
        <v>3</v>
      </c>
      <c r="C28" s="19">
        <v>2</v>
      </c>
      <c r="D28" s="19">
        <v>1</v>
      </c>
      <c r="E28" s="4">
        <f t="shared" si="0"/>
        <v>0.66666666666666663</v>
      </c>
      <c r="F28" s="4">
        <f t="shared" si="1"/>
        <v>0.33333333333333331</v>
      </c>
      <c r="G28" s="4">
        <f>IFERROR(1-Table5[[#This Row],[Loss % Against]]-Table5[[#This Row],[Win% Against]],"")</f>
        <v>1.1102230246251565E-16</v>
      </c>
      <c r="H28" s="16">
        <f>IFERROR(IF(B28=0,"",
 IF(Table5[[#This Row],[Win% Against]] &gt; Table5[[#This Row],[Loss % Against]], 1,
 IF(Table5[[#This Row],[Win% Against]] &lt; Table5[[#This Row],[Loss % Against]], -1, 0))), "")</f>
        <v>1</v>
      </c>
    </row>
    <row r="29" spans="1:8" x14ac:dyDescent="0.25">
      <c r="A29" s="3" t="s">
        <v>325</v>
      </c>
      <c r="B29" s="19">
        <v>3</v>
      </c>
      <c r="C29" s="19">
        <v>0</v>
      </c>
      <c r="D29" s="19">
        <v>1</v>
      </c>
      <c r="E29" s="4">
        <f t="shared" si="0"/>
        <v>0</v>
      </c>
      <c r="F29" s="4">
        <f t="shared" si="1"/>
        <v>0.33333333333333331</v>
      </c>
      <c r="G29" s="4">
        <f>IFERROR(1-Table5[[#This Row],[Loss % Against]]-Table5[[#This Row],[Win% Against]],"")</f>
        <v>0.66666666666666674</v>
      </c>
      <c r="H29" s="16">
        <f>IFERROR(IF(B29=0,"",
 IF(Table5[[#This Row],[Win% Against]] &gt; Table5[[#This Row],[Loss % Against]], 1,
 IF(Table5[[#This Row],[Win% Against]] &lt; Table5[[#This Row],[Loss % Against]], -1, 0))), "")</f>
        <v>-1</v>
      </c>
    </row>
    <row r="30" spans="1:8" x14ac:dyDescent="0.25">
      <c r="A30" s="3" t="s">
        <v>519</v>
      </c>
      <c r="B30" s="19">
        <v>3</v>
      </c>
      <c r="C30" s="19">
        <v>2</v>
      </c>
      <c r="D30" s="19">
        <v>0</v>
      </c>
      <c r="E30" s="4">
        <f t="shared" si="0"/>
        <v>0.66666666666666663</v>
      </c>
      <c r="F30" s="4">
        <f t="shared" si="1"/>
        <v>0</v>
      </c>
      <c r="G30" s="4">
        <f>IFERROR(1-Table5[[#This Row],[Loss % Against]]-Table5[[#This Row],[Win% Against]],"")</f>
        <v>0.33333333333333337</v>
      </c>
      <c r="H30" s="16">
        <f>IFERROR(IF(B30=0,"",
 IF(Table5[[#This Row],[Win% Against]] &gt; Table5[[#This Row],[Loss % Against]], 1,
 IF(Table5[[#This Row],[Win% Against]] &lt; Table5[[#This Row],[Loss % Against]], -1, 0))), "")</f>
        <v>1</v>
      </c>
    </row>
    <row r="31" spans="1:8" x14ac:dyDescent="0.25">
      <c r="A31" s="3" t="s">
        <v>30</v>
      </c>
      <c r="B31" s="19">
        <v>3</v>
      </c>
      <c r="C31" s="19">
        <v>1</v>
      </c>
      <c r="D31" s="19">
        <v>1</v>
      </c>
      <c r="E31" s="4">
        <f t="shared" si="0"/>
        <v>0.33333333333333331</v>
      </c>
      <c r="F31" s="4">
        <f t="shared" si="1"/>
        <v>0.33333333333333331</v>
      </c>
      <c r="G31" s="4">
        <f>IFERROR(1-Table5[[#This Row],[Loss % Against]]-Table5[[#This Row],[Win% Against]],"")</f>
        <v>0.33333333333333343</v>
      </c>
      <c r="H31" s="16">
        <f>IFERROR(IF(B31=0,"",
 IF(Table5[[#This Row],[Win% Against]] &gt; Table5[[#This Row],[Loss % Against]], 1,
 IF(Table5[[#This Row],[Win% Against]] &lt; Table5[[#This Row],[Loss % Against]], -1, 0))), "")</f>
        <v>0</v>
      </c>
    </row>
    <row r="32" spans="1:8" x14ac:dyDescent="0.2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25">
      <c r="A33" s="3" t="s">
        <v>567</v>
      </c>
      <c r="B33" s="19">
        <v>2</v>
      </c>
      <c r="C33" s="19">
        <v>1</v>
      </c>
      <c r="D33" s="19">
        <v>1</v>
      </c>
      <c r="E33" s="4">
        <f t="shared" si="0"/>
        <v>0.5</v>
      </c>
      <c r="F33" s="4">
        <f t="shared" si="1"/>
        <v>0.5</v>
      </c>
      <c r="G33" s="4">
        <f>IFERROR(1-Table5[[#This Row],[Loss % Against]]-Table5[[#This Row],[Win% Against]],"")</f>
        <v>0</v>
      </c>
      <c r="H33" s="16">
        <f>IFERROR(IF(B33=0,"",
 IF(Table5[[#This Row],[Win% Against]] &gt; Table5[[#This Row],[Loss % Against]], 1,
 IF(Table5[[#This Row],[Win% Against]] &lt; Table5[[#This Row],[Loss % Against]], -1, 0))), "")</f>
        <v>0</v>
      </c>
    </row>
    <row r="34" spans="1:8" x14ac:dyDescent="0.25">
      <c r="A34" s="3" t="s">
        <v>433</v>
      </c>
      <c r="B34" s="19">
        <v>2</v>
      </c>
      <c r="C34" s="19">
        <v>2</v>
      </c>
      <c r="D34" s="19">
        <v>0</v>
      </c>
      <c r="E34" s="4">
        <f t="shared" si="0"/>
        <v>1</v>
      </c>
      <c r="F34" s="4">
        <f t="shared" si="1"/>
        <v>0</v>
      </c>
      <c r="G34" s="4">
        <f>IFERROR(1-Table5[[#This Row],[Loss % Against]]-Table5[[#This Row],[Win% Against]],"")</f>
        <v>0</v>
      </c>
      <c r="H34" s="16">
        <f>IFERROR(IF(B34=0,"",
 IF(Table5[[#This Row],[Win% Against]] &gt; Table5[[#This Row],[Loss % Against]], 1,
 IF(Table5[[#This Row],[Win% Against]] &lt; Table5[[#This Row],[Loss % Against]], -1, 0))), "")</f>
        <v>1</v>
      </c>
    </row>
    <row r="35" spans="1:8" x14ac:dyDescent="0.25">
      <c r="A35" s="3" t="s">
        <v>21</v>
      </c>
      <c r="B35" s="19">
        <v>2</v>
      </c>
      <c r="C35" s="19">
        <v>0</v>
      </c>
      <c r="D35" s="19">
        <v>1</v>
      </c>
      <c r="E35" s="4">
        <f t="shared" si="0"/>
        <v>0</v>
      </c>
      <c r="F35" s="4">
        <f t="shared" si="1"/>
        <v>0.5</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25">
      <c r="A37" s="3" t="s">
        <v>57</v>
      </c>
      <c r="B37" s="19">
        <v>2</v>
      </c>
      <c r="C37" s="19">
        <v>0</v>
      </c>
      <c r="D37" s="19">
        <v>1</v>
      </c>
      <c r="E37" s="4">
        <f t="shared" si="0"/>
        <v>0</v>
      </c>
      <c r="F37" s="4">
        <f t="shared" si="1"/>
        <v>0.5</v>
      </c>
      <c r="G37" s="4">
        <f>IFERROR(1-Table5[[#This Row],[Loss % Against]]-Table5[[#This Row],[Win% Against]],"")</f>
        <v>0.5</v>
      </c>
      <c r="H37" s="16">
        <f>IFERROR(IF(B37=0,"",
 IF(Table5[[#This Row],[Win% Against]] &gt; Table5[[#This Row],[Loss % Against]], 1,
 IF(Table5[[#This Row],[Win% Against]] &lt; Table5[[#This Row],[Loss % Against]], -1, 0))), "")</f>
        <v>-1</v>
      </c>
    </row>
    <row r="38" spans="1:8" x14ac:dyDescent="0.25">
      <c r="A38" s="3" t="s">
        <v>18</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25">
      <c r="A39" s="3" t="s">
        <v>578</v>
      </c>
      <c r="B39" s="19">
        <v>2</v>
      </c>
      <c r="C39" s="19">
        <v>0</v>
      </c>
      <c r="D39" s="1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2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25">
      <c r="A41" s="3" t="s">
        <v>16</v>
      </c>
      <c r="B41" s="19">
        <v>2</v>
      </c>
      <c r="C41" s="19">
        <v>1</v>
      </c>
      <c r="D41" s="19">
        <v>0</v>
      </c>
      <c r="E41" s="4">
        <f t="shared" si="0"/>
        <v>0.5</v>
      </c>
      <c r="F41" s="4">
        <f t="shared" si="1"/>
        <v>0</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29</v>
      </c>
      <c r="B42" s="19">
        <v>1</v>
      </c>
      <c r="C42" s="19">
        <v>1</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25">
      <c r="A43" s="3" t="s">
        <v>478</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434</v>
      </c>
      <c r="B44" s="19">
        <v>1</v>
      </c>
      <c r="C44" s="19">
        <v>0</v>
      </c>
      <c r="D44" s="19">
        <v>1</v>
      </c>
      <c r="E44" s="4">
        <f t="shared" si="2"/>
        <v>0</v>
      </c>
      <c r="F44" s="4">
        <f t="shared" si="3"/>
        <v>1</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55</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540</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25">
      <c r="A47" s="3" t="s">
        <v>61</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25">
      <c r="A48" s="3" t="s">
        <v>40</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590</v>
      </c>
      <c r="B49" s="19">
        <v>1</v>
      </c>
      <c r="C49" s="19">
        <v>0</v>
      </c>
      <c r="D49" s="19">
        <v>0</v>
      </c>
      <c r="E49" s="4">
        <f t="shared" si="2"/>
        <v>0</v>
      </c>
      <c r="F49" s="4">
        <f t="shared" si="3"/>
        <v>0</v>
      </c>
      <c r="G49" s="4">
        <f>IFERROR(1-Table5[[#This Row],[Loss % Against]]-Table5[[#This Row],[Win% Against]],"")</f>
        <v>1</v>
      </c>
      <c r="H49" s="16">
        <f>IFERROR(IF(B49=0,"",
 IF(Table5[[#This Row],[Win% Against]] &gt; Table5[[#This Row],[Loss % Against]], 1,
 IF(Table5[[#This Row],[Win% Against]] &lt; Table5[[#This Row],[Loss % Against]], -1, 0))), "")</f>
        <v>0</v>
      </c>
    </row>
    <row r="50" spans="1:8" x14ac:dyDescent="0.25">
      <c r="A50" s="3" t="s">
        <v>437</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609</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322</v>
      </c>
      <c r="B52" s="19">
        <v>1</v>
      </c>
      <c r="C52" s="19">
        <v>0</v>
      </c>
      <c r="D52" s="19">
        <v>1</v>
      </c>
      <c r="E52" s="4">
        <f t="shared" si="2"/>
        <v>0</v>
      </c>
      <c r="F52" s="4">
        <f t="shared" si="3"/>
        <v>1</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47</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46</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59</v>
      </c>
      <c r="B55" s="19">
        <v>1</v>
      </c>
      <c r="C55" s="19">
        <v>0</v>
      </c>
      <c r="D55" s="19">
        <v>0</v>
      </c>
      <c r="E55" s="4">
        <f t="shared" si="4"/>
        <v>0</v>
      </c>
      <c r="F55" s="4">
        <f t="shared" si="5"/>
        <v>0</v>
      </c>
      <c r="G55" s="4">
        <f>IFERROR(1-Table5[[#This Row],[Loss % Against]]-Table5[[#This Row],[Win% Against]],"")</f>
        <v>1</v>
      </c>
      <c r="H55" s="16">
        <f>IFERROR(IF(B55=0,"",
 IF(Table5[[#This Row],[Win% Against]] &gt; Table5[[#This Row],[Loss % Against]], 1,
 IF(Table5[[#This Row],[Win% Against]] &lt; Table5[[#This Row],[Loss % Against]], -1, 0))), "")</f>
        <v>0</v>
      </c>
    </row>
    <row r="56" spans="1:8" x14ac:dyDescent="0.25">
      <c r="A56" s="3" t="s">
        <v>579</v>
      </c>
      <c r="B56" s="19">
        <v>1</v>
      </c>
      <c r="C56" s="19">
        <v>0</v>
      </c>
      <c r="D56" s="19">
        <v>0</v>
      </c>
      <c r="E56" s="4">
        <f t="shared" si="4"/>
        <v>0</v>
      </c>
      <c r="F56" s="4">
        <f t="shared" si="5"/>
        <v>0</v>
      </c>
      <c r="G56" s="4">
        <f>IFERROR(1-Table5[[#This Row],[Loss % Against]]-Table5[[#This Row],[Win% Against]],"")</f>
        <v>1</v>
      </c>
      <c r="H56" s="16">
        <f>IFERROR(IF(B56=0,"",
 IF(Table5[[#This Row],[Win% Against]] &gt; Table5[[#This Row],[Loss % Against]], 1,
 IF(Table5[[#This Row],[Win% Against]] &lt; Table5[[#This Row],[Loss % Against]], -1, 0))), "")</f>
        <v>0</v>
      </c>
    </row>
    <row r="57" spans="1:8" x14ac:dyDescent="0.25">
      <c r="A57" s="3" t="s">
        <v>421</v>
      </c>
      <c r="B57" s="19">
        <v>1</v>
      </c>
      <c r="C57" s="19">
        <v>1</v>
      </c>
      <c r="D57" s="19">
        <v>0</v>
      </c>
    </row>
    <row r="58" spans="1:8" x14ac:dyDescent="0.25">
      <c r="A58" s="3" t="s">
        <v>53</v>
      </c>
      <c r="B58" s="19">
        <v>1</v>
      </c>
      <c r="C58" s="19">
        <v>1</v>
      </c>
      <c r="D58" s="19">
        <v>0</v>
      </c>
    </row>
    <row r="59" spans="1:8" x14ac:dyDescent="0.25">
      <c r="A59" s="3" t="s">
        <v>622</v>
      </c>
      <c r="B59" s="19">
        <v>1</v>
      </c>
      <c r="C59" s="19">
        <v>1</v>
      </c>
      <c r="D59" s="19">
        <v>0</v>
      </c>
    </row>
    <row r="60" spans="1:8" x14ac:dyDescent="0.25">
      <c r="A60" s="3" t="s">
        <v>365</v>
      </c>
      <c r="B60" s="19">
        <v>1</v>
      </c>
      <c r="C60" s="19">
        <v>0</v>
      </c>
      <c r="D60" s="19">
        <v>0</v>
      </c>
    </row>
    <row r="61" spans="1:8" x14ac:dyDescent="0.25">
      <c r="A61" s="3" t="s">
        <v>404</v>
      </c>
      <c r="B61" s="19">
        <v>1</v>
      </c>
      <c r="C61" s="19">
        <v>0</v>
      </c>
      <c r="D61" s="19">
        <v>0</v>
      </c>
    </row>
    <row r="62" spans="1:8" x14ac:dyDescent="0.25">
      <c r="D62"/>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4"/>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5</v>
      </c>
      <c r="C6" s="19">
        <v>1</v>
      </c>
      <c r="D6" s="19"/>
    </row>
    <row r="7" spans="1:4" x14ac:dyDescent="0.25">
      <c r="A7" s="3" t="s">
        <v>19</v>
      </c>
      <c r="B7" s="19">
        <v>2</v>
      </c>
      <c r="C7" s="19">
        <v>3</v>
      </c>
      <c r="D7" s="19">
        <v>1</v>
      </c>
    </row>
    <row r="8" spans="1:4" x14ac:dyDescent="0.25">
      <c r="A8" s="3" t="s">
        <v>13</v>
      </c>
      <c r="B8" s="19">
        <v>3</v>
      </c>
      <c r="C8" s="19">
        <v>1</v>
      </c>
      <c r="D8" s="19">
        <v>2</v>
      </c>
    </row>
    <row r="9" spans="1:4" x14ac:dyDescent="0.25">
      <c r="A9" s="3" t="s">
        <v>10</v>
      </c>
      <c r="B9" s="19">
        <v>4</v>
      </c>
      <c r="C9" s="19"/>
      <c r="D9" s="19"/>
    </row>
    <row r="10" spans="1:4" x14ac:dyDescent="0.25">
      <c r="A10" s="3" t="s">
        <v>7</v>
      </c>
      <c r="B10" s="19">
        <v>4</v>
      </c>
      <c r="C10" s="19">
        <v>2</v>
      </c>
      <c r="D10" s="19"/>
    </row>
    <row r="11" spans="1:4" x14ac:dyDescent="0.25">
      <c r="A11" s="3" t="s">
        <v>20</v>
      </c>
      <c r="B11" s="19">
        <v>3</v>
      </c>
      <c r="C11" s="19">
        <v>1</v>
      </c>
      <c r="D11" s="19"/>
    </row>
    <row r="12" spans="1:4" x14ac:dyDescent="0.25">
      <c r="A12" s="3" t="s">
        <v>15</v>
      </c>
      <c r="B12" s="19">
        <v>2</v>
      </c>
      <c r="C12" s="19">
        <v>3</v>
      </c>
      <c r="D12" s="19">
        <v>1</v>
      </c>
    </row>
    <row r="13" spans="1:4" x14ac:dyDescent="0.25">
      <c r="A13" s="3" t="s">
        <v>11</v>
      </c>
      <c r="B13" s="19">
        <v>1</v>
      </c>
      <c r="C13" s="19">
        <v>1</v>
      </c>
      <c r="D13" s="19"/>
    </row>
    <row r="14" spans="1:4" x14ac:dyDescent="0.25">
      <c r="A14" s="3" t="s">
        <v>9</v>
      </c>
      <c r="B14" s="19">
        <v>2</v>
      </c>
      <c r="C14" s="19">
        <v>1</v>
      </c>
      <c r="D14" s="19">
        <v>3</v>
      </c>
    </row>
    <row r="15" spans="1:4" x14ac:dyDescent="0.25">
      <c r="A15" s="3" t="s">
        <v>17</v>
      </c>
      <c r="B15" s="19">
        <v>3</v>
      </c>
      <c r="C15" s="19">
        <v>2</v>
      </c>
      <c r="D15" s="19">
        <v>1</v>
      </c>
    </row>
    <row r="16" spans="1:4" x14ac:dyDescent="0.25">
      <c r="A16" s="3" t="s">
        <v>28</v>
      </c>
      <c r="B16" s="19"/>
      <c r="C16" s="19">
        <v>3</v>
      </c>
      <c r="D16" s="19">
        <v>1</v>
      </c>
    </row>
    <row r="17" spans="1:4" x14ac:dyDescent="0.25">
      <c r="A17" s="3" t="s">
        <v>27</v>
      </c>
      <c r="B17" s="19">
        <v>5</v>
      </c>
      <c r="C17" s="19">
        <v>1</v>
      </c>
      <c r="D17" s="19"/>
    </row>
    <row r="18" spans="1:4" x14ac:dyDescent="0.25">
      <c r="A18" s="3" t="s">
        <v>41</v>
      </c>
      <c r="B18" s="19">
        <v>3</v>
      </c>
      <c r="C18" s="19">
        <v>1</v>
      </c>
      <c r="D18" s="19"/>
    </row>
    <row r="19" spans="1:4" x14ac:dyDescent="0.25">
      <c r="A19" s="3" t="s">
        <v>51</v>
      </c>
      <c r="B19" s="19">
        <v>4</v>
      </c>
      <c r="C19" s="19"/>
      <c r="D19" s="19"/>
    </row>
    <row r="20" spans="1:4" x14ac:dyDescent="0.25">
      <c r="A20" s="3" t="s">
        <v>352</v>
      </c>
      <c r="B20" s="19">
        <v>3</v>
      </c>
      <c r="C20" s="19">
        <v>3</v>
      </c>
      <c r="D20" s="19"/>
    </row>
    <row r="21" spans="1:4" x14ac:dyDescent="0.25">
      <c r="A21" s="3" t="s">
        <v>325</v>
      </c>
      <c r="B21" s="19">
        <v>6</v>
      </c>
      <c r="C21" s="19"/>
      <c r="D21" s="19"/>
    </row>
    <row r="22" spans="1:4" x14ac:dyDescent="0.25">
      <c r="A22" s="3" t="s">
        <v>326</v>
      </c>
      <c r="B22" s="19">
        <v>1</v>
      </c>
      <c r="C22" s="19">
        <v>1</v>
      </c>
      <c r="D22" s="19"/>
    </row>
    <row r="23" spans="1:4" x14ac:dyDescent="0.25">
      <c r="A23" s="3" t="s">
        <v>351</v>
      </c>
      <c r="B23" s="19">
        <v>2</v>
      </c>
      <c r="C23" s="19"/>
      <c r="D23" s="19"/>
    </row>
    <row r="24" spans="1:4" x14ac:dyDescent="0.25">
      <c r="A24" s="3" t="s">
        <v>405</v>
      </c>
      <c r="B24" s="19">
        <v>2</v>
      </c>
      <c r="C24" s="19">
        <v>1</v>
      </c>
      <c r="D24" s="19">
        <v>1</v>
      </c>
    </row>
    <row r="25" spans="1:4" x14ac:dyDescent="0.25">
      <c r="A25" s="3" t="s">
        <v>435</v>
      </c>
      <c r="B25" s="19">
        <v>2</v>
      </c>
      <c r="C25" s="19"/>
      <c r="D25" s="19"/>
    </row>
    <row r="26" spans="1:4" x14ac:dyDescent="0.25">
      <c r="A26" s="3" t="s">
        <v>433</v>
      </c>
      <c r="B26" s="19">
        <v>2</v>
      </c>
      <c r="C26" s="19"/>
      <c r="D26" s="19"/>
    </row>
    <row r="27" spans="1:4" x14ac:dyDescent="0.25">
      <c r="A27" s="3" t="s">
        <v>519</v>
      </c>
      <c r="B27" s="19">
        <v>4</v>
      </c>
      <c r="C27" s="19"/>
      <c r="D27" s="19"/>
    </row>
    <row r="28" spans="1:4" x14ac:dyDescent="0.25">
      <c r="A28" s="3" t="s">
        <v>540</v>
      </c>
      <c r="B28" s="19">
        <v>1</v>
      </c>
      <c r="C28" s="19"/>
      <c r="D28" s="19">
        <v>1</v>
      </c>
    </row>
    <row r="29" spans="1:4" x14ac:dyDescent="0.25">
      <c r="A29" s="3" t="s">
        <v>567</v>
      </c>
      <c r="B29" s="19">
        <v>2</v>
      </c>
      <c r="C29" s="19"/>
      <c r="D29" s="19"/>
    </row>
    <row r="30" spans="1:4" x14ac:dyDescent="0.25">
      <c r="A30" s="3" t="s">
        <v>578</v>
      </c>
      <c r="B30" s="19">
        <v>5</v>
      </c>
      <c r="C30" s="19">
        <v>1</v>
      </c>
      <c r="D30" s="19"/>
    </row>
    <row r="31" spans="1:4" x14ac:dyDescent="0.25">
      <c r="A31" s="3" t="s">
        <v>605</v>
      </c>
      <c r="B31" s="19">
        <v>2</v>
      </c>
      <c r="C31" s="19"/>
      <c r="D31" s="19"/>
    </row>
    <row r="32" spans="1:4" x14ac:dyDescent="0.25">
      <c r="A32" s="3" t="s">
        <v>609</v>
      </c>
      <c r="B32" s="19">
        <v>1</v>
      </c>
      <c r="C32" s="19"/>
      <c r="D32" s="19">
        <v>1</v>
      </c>
    </row>
    <row r="33" spans="1:4" x14ac:dyDescent="0.25">
      <c r="A33" s="3" t="s">
        <v>622</v>
      </c>
      <c r="B33" s="19">
        <v>3</v>
      </c>
      <c r="C33" s="19">
        <v>1</v>
      </c>
      <c r="D33" s="19"/>
    </row>
    <row r="34" spans="1:4" x14ac:dyDescent="0.25">
      <c r="A34" s="3" t="s">
        <v>24</v>
      </c>
      <c r="B34" s="19">
        <v>77</v>
      </c>
      <c r="C34" s="19">
        <v>27</v>
      </c>
      <c r="D34" s="19">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876"/>
  <sheetViews>
    <sheetView workbookViewId="0">
      <selection activeCell="B1850" sqref="B185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x14ac:dyDescent="0.25">
      <c r="A1847" t="s">
        <v>28</v>
      </c>
      <c r="B1847" t="s">
        <v>8</v>
      </c>
      <c r="C1847">
        <v>1</v>
      </c>
      <c r="D1847">
        <v>1</v>
      </c>
      <c r="E1847">
        <v>1</v>
      </c>
      <c r="F1847" s="1">
        <v>46223</v>
      </c>
      <c r="G1847" s="11" t="str">
        <f>_xlfn.TEXTJOIN("|",TRUE,D1847,TEXT(INT(E1847),"yyyymmdd"),F1847)</f>
        <v>1|19000101|46223</v>
      </c>
      <c r="H1847" s="19">
        <f>COUNTIF(GameLog[Pod ID],GameLog[[#This Row],[Pod ID]])</f>
        <v>4</v>
      </c>
      <c r="I1847" s="19">
        <f>YEAR(GameLog[[#This Row],[Date]])</f>
        <v>2026</v>
      </c>
      <c r="J1847" s="19">
        <f>MONTH(GameLog[[#This Row],[Date]])</f>
        <v>7</v>
      </c>
      <c r="K1847" s="19" t="str">
        <f>IF(GameLog[[#This Row],[Date]]=MAX(GameLog[Date]),"Current","Previous")</f>
        <v>Current</v>
      </c>
    </row>
    <row r="1848" spans="1:11" x14ac:dyDescent="0.25">
      <c r="A1848" t="s">
        <v>14</v>
      </c>
      <c r="B1848" t="s">
        <v>6</v>
      </c>
      <c r="C1848">
        <v>2</v>
      </c>
      <c r="D1848">
        <v>1</v>
      </c>
      <c r="E1848">
        <v>1</v>
      </c>
      <c r="F1848" s="1">
        <v>46223</v>
      </c>
      <c r="G1848" s="11" t="str">
        <f>_xlfn.TEXTJOIN("|",TRUE,D1848,TEXT(INT(E1848),"yyyymmdd"),F1848)</f>
        <v>1|19000101|46223</v>
      </c>
      <c r="H1848" s="19">
        <f>COUNTIF(GameLog[Pod ID],GameLog[[#This Row],[Pod ID]])</f>
        <v>4</v>
      </c>
      <c r="I1848" s="19">
        <f>YEAR(GameLog[[#This Row],[Date]])</f>
        <v>2026</v>
      </c>
      <c r="J1848" s="19">
        <f>MONTH(GameLog[[#This Row],[Date]])</f>
        <v>7</v>
      </c>
      <c r="K1848" s="19" t="str">
        <f>IF(GameLog[[#This Row],[Date]]=MAX(GameLog[Date]),"Current","Previous")</f>
        <v>Current</v>
      </c>
    </row>
    <row r="1849" spans="1:11" x14ac:dyDescent="0.25">
      <c r="A1849" t="s">
        <v>10</v>
      </c>
      <c r="B1849" t="s">
        <v>6</v>
      </c>
      <c r="C1849">
        <v>3</v>
      </c>
      <c r="D1849">
        <v>1</v>
      </c>
      <c r="E1849">
        <v>1</v>
      </c>
      <c r="F1849" s="1">
        <v>46223</v>
      </c>
      <c r="G1849" s="11" t="str">
        <f>_xlfn.TEXTJOIN("|",TRUE,D1849,TEXT(INT(E1849),"yyyymmdd"),F1849)</f>
        <v>1|19000101|46223</v>
      </c>
      <c r="H1849" s="19">
        <f>COUNTIF(GameLog[Pod ID],GameLog[[#This Row],[Pod ID]])</f>
        <v>4</v>
      </c>
      <c r="I1849" s="19">
        <f>YEAR(GameLog[[#This Row],[Date]])</f>
        <v>2026</v>
      </c>
      <c r="J1849" s="19">
        <f>MONTH(GameLog[[#This Row],[Date]])</f>
        <v>7</v>
      </c>
      <c r="K1849" s="19" t="str">
        <f>IF(GameLog[[#This Row],[Date]]=MAX(GameLog[Date]),"Current","Previous")</f>
        <v>Current</v>
      </c>
    </row>
    <row r="1850" spans="1:11" x14ac:dyDescent="0.25">
      <c r="A1850" t="s">
        <v>325</v>
      </c>
      <c r="B1850" t="s">
        <v>6</v>
      </c>
      <c r="C1850">
        <v>4</v>
      </c>
      <c r="D1850">
        <v>1</v>
      </c>
      <c r="E1850">
        <v>1</v>
      </c>
      <c r="F1850" s="1">
        <v>46223</v>
      </c>
      <c r="G1850" s="11" t="str">
        <f>_xlfn.TEXTJOIN("|",TRUE,D1850,TEXT(INT(E1850),"yyyymmdd"),F1850)</f>
        <v>1|19000101|46223</v>
      </c>
      <c r="H1850" s="19">
        <f>COUNTIF(GameLog[Pod ID],GameLog[[#This Row],[Pod ID]])</f>
        <v>4</v>
      </c>
      <c r="I1850" s="19">
        <f>YEAR(GameLog[[#This Row],[Date]])</f>
        <v>2026</v>
      </c>
      <c r="J1850" s="19">
        <f>MONTH(GameLog[[#This Row],[Date]])</f>
        <v>7</v>
      </c>
      <c r="K1850" s="19" t="str">
        <f>IF(GameLog[[#This Row],[Date]]=MAX(GameLog[Date]),"Current","Previous")</f>
        <v>Current</v>
      </c>
    </row>
    <row r="1851" spans="1:11" x14ac:dyDescent="0.25">
      <c r="A1851" t="s">
        <v>51</v>
      </c>
      <c r="B1851" t="s">
        <v>6</v>
      </c>
      <c r="C1851">
        <v>1</v>
      </c>
      <c r="D1851">
        <v>2</v>
      </c>
      <c r="E1851">
        <v>1</v>
      </c>
      <c r="F1851" s="1">
        <v>46223</v>
      </c>
      <c r="G1851" s="11" t="str">
        <f>_xlfn.TEXTJOIN("|",TRUE,D1851,TEXT(INT(E1851),"yyyymmdd"),F1851)</f>
        <v>2|19000101|46223</v>
      </c>
      <c r="H1851" s="19">
        <f>COUNTIF(GameLog[Pod ID],GameLog[[#This Row],[Pod ID]])</f>
        <v>4</v>
      </c>
      <c r="I1851" s="19">
        <f>YEAR(GameLog[[#This Row],[Date]])</f>
        <v>2026</v>
      </c>
      <c r="J1851" s="19">
        <f>MONTH(GameLog[[#This Row],[Date]])</f>
        <v>7</v>
      </c>
      <c r="K1851" s="19" t="str">
        <f>IF(GameLog[[#This Row],[Date]]=MAX(GameLog[Date]),"Current","Previous")</f>
        <v>Current</v>
      </c>
    </row>
    <row r="1852" spans="1:11" x14ac:dyDescent="0.25">
      <c r="A1852" t="s">
        <v>27</v>
      </c>
      <c r="B1852" t="s">
        <v>6</v>
      </c>
      <c r="C1852">
        <v>2</v>
      </c>
      <c r="D1852">
        <v>2</v>
      </c>
      <c r="E1852">
        <v>1</v>
      </c>
      <c r="F1852" s="1">
        <v>46223</v>
      </c>
      <c r="G1852" s="11" t="str">
        <f>_xlfn.TEXTJOIN("|",TRUE,D1852,TEXT(INT(E1852),"yyyymmdd"),F1852)</f>
        <v>2|19000101|46223</v>
      </c>
      <c r="H1852" s="19">
        <f>COUNTIF(GameLog[Pod ID],GameLog[[#This Row],[Pod ID]])</f>
        <v>4</v>
      </c>
      <c r="I1852" s="19">
        <f>YEAR(GameLog[[#This Row],[Date]])</f>
        <v>2026</v>
      </c>
      <c r="J1852" s="19">
        <f>MONTH(GameLog[[#This Row],[Date]])</f>
        <v>7</v>
      </c>
      <c r="K1852" s="19" t="str">
        <f>IF(GameLog[[#This Row],[Date]]=MAX(GameLog[Date]),"Current","Previous")</f>
        <v>Current</v>
      </c>
    </row>
    <row r="1853" spans="1:11" x14ac:dyDescent="0.25">
      <c r="A1853" t="s">
        <v>41</v>
      </c>
      <c r="B1853" t="s">
        <v>6</v>
      </c>
      <c r="C1853">
        <v>3</v>
      </c>
      <c r="D1853">
        <v>2</v>
      </c>
      <c r="E1853">
        <v>1</v>
      </c>
      <c r="F1853" s="1">
        <v>46223</v>
      </c>
      <c r="G1853" s="11" t="str">
        <f>_xlfn.TEXTJOIN("|",TRUE,D1853,TEXT(INT(E1853),"yyyymmdd"),F1853)</f>
        <v>2|19000101|46223</v>
      </c>
      <c r="H1853" s="19">
        <f>COUNTIF(GameLog[Pod ID],GameLog[[#This Row],[Pod ID]])</f>
        <v>4</v>
      </c>
      <c r="I1853" s="19">
        <f>YEAR(GameLog[[#This Row],[Date]])</f>
        <v>2026</v>
      </c>
      <c r="J1853" s="19">
        <f>MONTH(GameLog[[#This Row],[Date]])</f>
        <v>7</v>
      </c>
      <c r="K1853" s="19" t="str">
        <f>IF(GameLog[[#This Row],[Date]]=MAX(GameLog[Date]),"Current","Previous")</f>
        <v>Current</v>
      </c>
    </row>
    <row r="1854" spans="1:11" x14ac:dyDescent="0.25">
      <c r="A1854" t="s">
        <v>19</v>
      </c>
      <c r="B1854" t="s">
        <v>8</v>
      </c>
      <c r="C1854">
        <v>4</v>
      </c>
      <c r="D1854">
        <v>2</v>
      </c>
      <c r="E1854">
        <v>1</v>
      </c>
      <c r="F1854" s="1">
        <v>46223</v>
      </c>
      <c r="G1854" s="11" t="str">
        <f>_xlfn.TEXTJOIN("|",TRUE,D1854,TEXT(INT(E1854),"yyyymmdd"),F1854)</f>
        <v>2|19000101|46223</v>
      </c>
      <c r="H1854" s="19">
        <f>COUNTIF(GameLog[Pod ID],GameLog[[#This Row],[Pod ID]])</f>
        <v>4</v>
      </c>
      <c r="I1854" s="19">
        <f>YEAR(GameLog[[#This Row],[Date]])</f>
        <v>2026</v>
      </c>
      <c r="J1854" s="19">
        <f>MONTH(GameLog[[#This Row],[Date]])</f>
        <v>7</v>
      </c>
      <c r="K1854" s="19" t="str">
        <f>IF(GameLog[[#This Row],[Date]]=MAX(GameLog[Date]),"Current","Previous")</f>
        <v>Current</v>
      </c>
    </row>
    <row r="1855" spans="1:11" x14ac:dyDescent="0.25">
      <c r="A1855" t="s">
        <v>17</v>
      </c>
      <c r="B1855" t="s">
        <v>8</v>
      </c>
      <c r="C1855">
        <v>1</v>
      </c>
      <c r="D1855">
        <v>3</v>
      </c>
      <c r="E1855">
        <v>1</v>
      </c>
      <c r="F1855" s="1">
        <v>46223</v>
      </c>
      <c r="G1855" s="11" t="str">
        <f>_xlfn.TEXTJOIN("|",TRUE,D1855,TEXT(INT(E1855),"yyyymmdd"),F1855)</f>
        <v>3|19000101|46223</v>
      </c>
      <c r="H1855" s="19">
        <f>COUNTIF(GameLog[Pod ID],GameLog[[#This Row],[Pod ID]])</f>
        <v>4</v>
      </c>
      <c r="I1855" s="19">
        <f>YEAR(GameLog[[#This Row],[Date]])</f>
        <v>2026</v>
      </c>
      <c r="J1855" s="19">
        <f>MONTH(GameLog[[#This Row],[Date]])</f>
        <v>7</v>
      </c>
      <c r="K1855" s="19" t="str">
        <f>IF(GameLog[[#This Row],[Date]]=MAX(GameLog[Date]),"Current","Previous")</f>
        <v>Current</v>
      </c>
    </row>
    <row r="1856" spans="1:11" x14ac:dyDescent="0.25">
      <c r="A1856" t="s">
        <v>15</v>
      </c>
      <c r="B1856" t="s">
        <v>6</v>
      </c>
      <c r="C1856">
        <v>2</v>
      </c>
      <c r="D1856">
        <v>3</v>
      </c>
      <c r="E1856">
        <v>1</v>
      </c>
      <c r="F1856" s="1">
        <v>46223</v>
      </c>
      <c r="G1856" s="11" t="str">
        <f>_xlfn.TEXTJOIN("|",TRUE,D1856,TEXT(INT(E1856),"yyyymmdd"),F1856)</f>
        <v>3|19000101|46223</v>
      </c>
      <c r="H1856" s="19">
        <f>COUNTIF(GameLog[Pod ID],GameLog[[#This Row],[Pod ID]])</f>
        <v>4</v>
      </c>
      <c r="I1856" s="19">
        <f>YEAR(GameLog[[#This Row],[Date]])</f>
        <v>2026</v>
      </c>
      <c r="J1856" s="19">
        <f>MONTH(GameLog[[#This Row],[Date]])</f>
        <v>7</v>
      </c>
      <c r="K1856" s="19" t="str">
        <f>IF(GameLog[[#This Row],[Date]]=MAX(GameLog[Date]),"Current","Previous")</f>
        <v>Current</v>
      </c>
    </row>
    <row r="1857" spans="1:11" x14ac:dyDescent="0.25">
      <c r="A1857" t="s">
        <v>578</v>
      </c>
      <c r="B1857" t="s">
        <v>6</v>
      </c>
      <c r="C1857">
        <v>3</v>
      </c>
      <c r="D1857">
        <v>3</v>
      </c>
      <c r="E1857">
        <v>1</v>
      </c>
      <c r="F1857" s="1">
        <v>46223</v>
      </c>
      <c r="G1857" s="11" t="str">
        <f>_xlfn.TEXTJOIN("|",TRUE,D1857,TEXT(INT(E1857),"yyyymmdd"),F1857)</f>
        <v>3|19000101|46223</v>
      </c>
      <c r="H1857" s="19">
        <f>COUNTIF(GameLog[Pod ID],GameLog[[#This Row],[Pod ID]])</f>
        <v>4</v>
      </c>
      <c r="I1857" s="19">
        <f>YEAR(GameLog[[#This Row],[Date]])</f>
        <v>2026</v>
      </c>
      <c r="J1857" s="19">
        <f>MONTH(GameLog[[#This Row],[Date]])</f>
        <v>7</v>
      </c>
      <c r="K1857" s="19" t="str">
        <f>IF(GameLog[[#This Row],[Date]]=MAX(GameLog[Date]),"Current","Previous")</f>
        <v>Current</v>
      </c>
    </row>
    <row r="1858" spans="1:11" x14ac:dyDescent="0.25">
      <c r="A1858" t="s">
        <v>13</v>
      </c>
      <c r="B1858" t="s">
        <v>6</v>
      </c>
      <c r="C1858">
        <v>4</v>
      </c>
      <c r="D1858">
        <v>3</v>
      </c>
      <c r="E1858">
        <v>1</v>
      </c>
      <c r="F1858" s="1">
        <v>46223</v>
      </c>
      <c r="G1858" s="11" t="str">
        <f>_xlfn.TEXTJOIN("|",TRUE,D1858,TEXT(INT(E1858),"yyyymmdd"),F1858)</f>
        <v>3|19000101|46223</v>
      </c>
      <c r="H1858" s="19">
        <f>COUNTIF(GameLog[Pod ID],GameLog[[#This Row],[Pod ID]])</f>
        <v>4</v>
      </c>
      <c r="I1858" s="19">
        <f>YEAR(GameLog[[#This Row],[Date]])</f>
        <v>2026</v>
      </c>
      <c r="J1858" s="19">
        <f>MONTH(GameLog[[#This Row],[Date]])</f>
        <v>7</v>
      </c>
      <c r="K1858" s="19" t="str">
        <f>IF(GameLog[[#This Row],[Date]]=MAX(GameLog[Date]),"Current","Previous")</f>
        <v>Current</v>
      </c>
    </row>
    <row r="1859" spans="1:11" x14ac:dyDescent="0.25">
      <c r="A1859" t="s">
        <v>7</v>
      </c>
      <c r="B1859" t="s">
        <v>6</v>
      </c>
      <c r="C1859">
        <v>1</v>
      </c>
      <c r="D1859">
        <v>4</v>
      </c>
      <c r="E1859">
        <v>1</v>
      </c>
      <c r="F1859" s="1">
        <v>46223</v>
      </c>
      <c r="G1859" s="11" t="str">
        <f>_xlfn.TEXTJOIN("|",TRUE,D1859,TEXT(INT(E1859),"yyyymmdd"),F1859)</f>
        <v>4|19000101|46223</v>
      </c>
      <c r="H1859" s="19">
        <f>COUNTIF(GameLog[Pod ID],GameLog[[#This Row],[Pod ID]])</f>
        <v>3</v>
      </c>
      <c r="I1859" s="19">
        <f>YEAR(GameLog[[#This Row],[Date]])</f>
        <v>2026</v>
      </c>
      <c r="J1859" s="19">
        <f>MONTH(GameLog[[#This Row],[Date]])</f>
        <v>7</v>
      </c>
      <c r="K1859" s="19" t="str">
        <f>IF(GameLog[[#This Row],[Date]]=MAX(GameLog[Date]),"Current","Previous")</f>
        <v>Current</v>
      </c>
    </row>
    <row r="1860" spans="1:11" x14ac:dyDescent="0.25">
      <c r="A1860" t="s">
        <v>352</v>
      </c>
      <c r="B1860" t="s">
        <v>6</v>
      </c>
      <c r="C1860">
        <v>2</v>
      </c>
      <c r="D1860">
        <v>4</v>
      </c>
      <c r="E1860">
        <v>1</v>
      </c>
      <c r="F1860" s="1">
        <v>46223</v>
      </c>
      <c r="G1860" s="11" t="str">
        <f>_xlfn.TEXTJOIN("|",TRUE,D1860,TEXT(INT(E1860),"yyyymmdd"),F1860)</f>
        <v>4|19000101|46223</v>
      </c>
      <c r="H1860" s="19">
        <f>COUNTIF(GameLog[Pod ID],GameLog[[#This Row],[Pod ID]])</f>
        <v>3</v>
      </c>
      <c r="I1860" s="19">
        <f>YEAR(GameLog[[#This Row],[Date]])</f>
        <v>2026</v>
      </c>
      <c r="J1860" s="19">
        <f>MONTH(GameLog[[#This Row],[Date]])</f>
        <v>7</v>
      </c>
      <c r="K1860" s="19" t="str">
        <f>IF(GameLog[[#This Row],[Date]]=MAX(GameLog[Date]),"Current","Previous")</f>
        <v>Current</v>
      </c>
    </row>
    <row r="1861" spans="1:11" x14ac:dyDescent="0.25">
      <c r="A1861" t="s">
        <v>9</v>
      </c>
      <c r="B1861" t="s">
        <v>8</v>
      </c>
      <c r="C1861">
        <v>3</v>
      </c>
      <c r="D1861">
        <v>4</v>
      </c>
      <c r="E1861">
        <v>1</v>
      </c>
      <c r="F1861" s="1">
        <v>46223</v>
      </c>
      <c r="G1861" s="11" t="str">
        <f>_xlfn.TEXTJOIN("|",TRUE,D1861,TEXT(INT(E1861),"yyyymmdd"),F1861)</f>
        <v>4|19000101|46223</v>
      </c>
      <c r="H1861" s="19">
        <f>COUNTIF(GameLog[Pod ID],GameLog[[#This Row],[Pod ID]])</f>
        <v>3</v>
      </c>
      <c r="I1861" s="19">
        <f>YEAR(GameLog[[#This Row],[Date]])</f>
        <v>2026</v>
      </c>
      <c r="J1861" s="19">
        <f>MONTH(GameLog[[#This Row],[Date]])</f>
        <v>7</v>
      </c>
      <c r="K1861" s="19" t="str">
        <f>IF(GameLog[[#This Row],[Date]]=MAX(GameLog[Date]),"Current","Previous")</f>
        <v>Current</v>
      </c>
    </row>
    <row r="1862" spans="1:11" x14ac:dyDescent="0.25">
      <c r="A1862" t="s">
        <v>19</v>
      </c>
      <c r="B1862" t="s">
        <v>63</v>
      </c>
      <c r="C1862">
        <v>1</v>
      </c>
      <c r="D1862">
        <v>1</v>
      </c>
      <c r="E1862">
        <v>2</v>
      </c>
      <c r="F1862" s="1">
        <v>46223</v>
      </c>
      <c r="G1862" s="11" t="str">
        <f>_xlfn.TEXTJOIN("|",TRUE,D1862,TEXT(INT(E1862),"yyyymmdd"),F1862)</f>
        <v>1|19000102|46223</v>
      </c>
      <c r="H1862" s="19">
        <f>COUNTIF(GameLog[Pod ID],GameLog[[#This Row],[Pod ID]])</f>
        <v>4</v>
      </c>
      <c r="I1862" s="19">
        <f>YEAR(GameLog[[#This Row],[Date]])</f>
        <v>2026</v>
      </c>
      <c r="J1862" s="19">
        <f>MONTH(GameLog[[#This Row],[Date]])</f>
        <v>7</v>
      </c>
      <c r="K1862" s="19" t="str">
        <f>IF(GameLog[[#This Row],[Date]]=MAX(GameLog[Date]),"Current","Previous")</f>
        <v>Current</v>
      </c>
    </row>
    <row r="1863" spans="1:11" x14ac:dyDescent="0.25">
      <c r="A1863" t="s">
        <v>9</v>
      </c>
      <c r="B1863" t="s">
        <v>63</v>
      </c>
      <c r="C1863">
        <v>2</v>
      </c>
      <c r="D1863">
        <v>1</v>
      </c>
      <c r="E1863">
        <v>2</v>
      </c>
      <c r="F1863" s="1">
        <v>46223</v>
      </c>
      <c r="G1863" s="11" t="str">
        <f>_xlfn.TEXTJOIN("|",TRUE,D1863,TEXT(INT(E1863),"yyyymmdd"),F1863)</f>
        <v>1|19000102|46223</v>
      </c>
      <c r="H1863" s="19">
        <f>COUNTIF(GameLog[Pod ID],GameLog[[#This Row],[Pod ID]])</f>
        <v>4</v>
      </c>
      <c r="I1863" s="19">
        <f>YEAR(GameLog[[#This Row],[Date]])</f>
        <v>2026</v>
      </c>
      <c r="J1863" s="19">
        <f>MONTH(GameLog[[#This Row],[Date]])</f>
        <v>7</v>
      </c>
      <c r="K1863" s="19" t="str">
        <f>IF(GameLog[[#This Row],[Date]]=MAX(GameLog[Date]),"Current","Previous")</f>
        <v>Current</v>
      </c>
    </row>
    <row r="1864" spans="1:11" x14ac:dyDescent="0.25">
      <c r="A1864" t="s">
        <v>28</v>
      </c>
      <c r="B1864" t="s">
        <v>63</v>
      </c>
      <c r="C1864">
        <v>3</v>
      </c>
      <c r="D1864">
        <v>1</v>
      </c>
      <c r="E1864">
        <v>2</v>
      </c>
      <c r="F1864" s="1">
        <v>46223</v>
      </c>
      <c r="G1864" s="11" t="str">
        <f>_xlfn.TEXTJOIN("|",TRUE,D1864,TEXT(INT(E1864),"yyyymmdd"),F1864)</f>
        <v>1|19000102|46223</v>
      </c>
      <c r="H1864" s="19">
        <f>COUNTIF(GameLog[Pod ID],GameLog[[#This Row],[Pod ID]])</f>
        <v>4</v>
      </c>
      <c r="I1864" s="19">
        <f>YEAR(GameLog[[#This Row],[Date]])</f>
        <v>2026</v>
      </c>
      <c r="J1864" s="19">
        <f>MONTH(GameLog[[#This Row],[Date]])</f>
        <v>7</v>
      </c>
      <c r="K1864" s="19" t="str">
        <f>IF(GameLog[[#This Row],[Date]]=MAX(GameLog[Date]),"Current","Previous")</f>
        <v>Current</v>
      </c>
    </row>
    <row r="1865" spans="1:11" x14ac:dyDescent="0.25">
      <c r="A1865" t="s">
        <v>17</v>
      </c>
      <c r="B1865" t="s">
        <v>63</v>
      </c>
      <c r="C1865">
        <v>4</v>
      </c>
      <c r="D1865">
        <v>1</v>
      </c>
      <c r="E1865">
        <v>2</v>
      </c>
      <c r="F1865" s="1">
        <v>46223</v>
      </c>
      <c r="G1865" s="11" t="str">
        <f>_xlfn.TEXTJOIN("|",TRUE,D1865,TEXT(INT(E1865),"yyyymmdd"),F1865)</f>
        <v>1|19000102|46223</v>
      </c>
      <c r="H1865" s="19">
        <f>COUNTIF(GameLog[Pod ID],GameLog[[#This Row],[Pod ID]])</f>
        <v>4</v>
      </c>
      <c r="I1865" s="19">
        <f>YEAR(GameLog[[#This Row],[Date]])</f>
        <v>2026</v>
      </c>
      <c r="J1865" s="19">
        <f>MONTH(GameLog[[#This Row],[Date]])</f>
        <v>7</v>
      </c>
      <c r="K1865" s="19" t="str">
        <f>IF(GameLog[[#This Row],[Date]]=MAX(GameLog[Date]),"Current","Previous")</f>
        <v>Current</v>
      </c>
    </row>
    <row r="1866" spans="1:11" x14ac:dyDescent="0.25">
      <c r="A1866" t="s">
        <v>51</v>
      </c>
      <c r="B1866" t="s">
        <v>6</v>
      </c>
      <c r="C1866">
        <v>1</v>
      </c>
      <c r="D1866">
        <v>2</v>
      </c>
      <c r="E1866">
        <v>2</v>
      </c>
      <c r="F1866" s="1">
        <v>46223</v>
      </c>
      <c r="G1866" s="11" t="str">
        <f>_xlfn.TEXTJOIN("|",TRUE,D1866,TEXT(INT(E1866),"yyyymmdd"),F1866)</f>
        <v>2|19000102|46223</v>
      </c>
      <c r="H1866" s="19">
        <f>COUNTIF(GameLog[Pod ID],GameLog[[#This Row],[Pod ID]])</f>
        <v>4</v>
      </c>
      <c r="I1866" s="19">
        <f>YEAR(GameLog[[#This Row],[Date]])</f>
        <v>2026</v>
      </c>
      <c r="J1866" s="19">
        <f>MONTH(GameLog[[#This Row],[Date]])</f>
        <v>7</v>
      </c>
      <c r="K1866" s="19" t="str">
        <f>IF(GameLog[[#This Row],[Date]]=MAX(GameLog[Date]),"Current","Previous")</f>
        <v>Current</v>
      </c>
    </row>
    <row r="1867" spans="1:11" x14ac:dyDescent="0.25">
      <c r="A1867" t="s">
        <v>7</v>
      </c>
      <c r="B1867" t="s">
        <v>8</v>
      </c>
      <c r="C1867">
        <v>2</v>
      </c>
      <c r="D1867">
        <v>2</v>
      </c>
      <c r="E1867">
        <v>2</v>
      </c>
      <c r="F1867" s="1">
        <v>46223</v>
      </c>
      <c r="G1867" s="11" t="str">
        <f>_xlfn.TEXTJOIN("|",TRUE,D1867,TEXT(INT(E1867),"yyyymmdd"),F1867)</f>
        <v>2|19000102|46223</v>
      </c>
      <c r="H1867" s="19">
        <f>COUNTIF(GameLog[Pod ID],GameLog[[#This Row],[Pod ID]])</f>
        <v>4</v>
      </c>
      <c r="I1867" s="19">
        <f>YEAR(GameLog[[#This Row],[Date]])</f>
        <v>2026</v>
      </c>
      <c r="J1867" s="19">
        <f>MONTH(GameLog[[#This Row],[Date]])</f>
        <v>7</v>
      </c>
      <c r="K1867" s="19" t="str">
        <f>IF(GameLog[[#This Row],[Date]]=MAX(GameLog[Date]),"Current","Previous")</f>
        <v>Current</v>
      </c>
    </row>
    <row r="1868" spans="1:11" x14ac:dyDescent="0.25">
      <c r="A1868" t="s">
        <v>15</v>
      </c>
      <c r="B1868" t="s">
        <v>6</v>
      </c>
      <c r="C1868">
        <v>3</v>
      </c>
      <c r="D1868">
        <v>2</v>
      </c>
      <c r="E1868">
        <v>2</v>
      </c>
      <c r="F1868" s="1">
        <v>46223</v>
      </c>
      <c r="G1868" s="11" t="str">
        <f>_xlfn.TEXTJOIN("|",TRUE,D1868,TEXT(INT(E1868),"yyyymmdd"),F1868)</f>
        <v>2|19000102|46223</v>
      </c>
      <c r="H1868" s="19">
        <f>COUNTIF(GameLog[Pod ID],GameLog[[#This Row],[Pod ID]])</f>
        <v>4</v>
      </c>
      <c r="I1868" s="19">
        <f>YEAR(GameLog[[#This Row],[Date]])</f>
        <v>2026</v>
      </c>
      <c r="J1868" s="19">
        <f>MONTH(GameLog[[#This Row],[Date]])</f>
        <v>7</v>
      </c>
      <c r="K1868" s="19" t="str">
        <f>IF(GameLog[[#This Row],[Date]]=MAX(GameLog[Date]),"Current","Previous")</f>
        <v>Current</v>
      </c>
    </row>
    <row r="1869" spans="1:11" x14ac:dyDescent="0.25">
      <c r="A1869" t="s">
        <v>14</v>
      </c>
      <c r="B1869" t="s">
        <v>6</v>
      </c>
      <c r="C1869">
        <v>4</v>
      </c>
      <c r="D1869">
        <v>2</v>
      </c>
      <c r="E1869">
        <v>2</v>
      </c>
      <c r="F1869" s="1">
        <v>46223</v>
      </c>
      <c r="G1869" s="11" t="str">
        <f>_xlfn.TEXTJOIN("|",TRUE,D1869,TEXT(INT(E1869),"yyyymmdd"),F1869)</f>
        <v>2|19000102|46223</v>
      </c>
      <c r="H1869" s="19">
        <f>COUNTIF(GameLog[Pod ID],GameLog[[#This Row],[Pod ID]])</f>
        <v>4</v>
      </c>
      <c r="I1869" s="19">
        <f>YEAR(GameLog[[#This Row],[Date]])</f>
        <v>2026</v>
      </c>
      <c r="J1869" s="19">
        <f>MONTH(GameLog[[#This Row],[Date]])</f>
        <v>7</v>
      </c>
      <c r="K1869" s="19" t="str">
        <f>IF(GameLog[[#This Row],[Date]]=MAX(GameLog[Date]),"Current","Previous")</f>
        <v>Current</v>
      </c>
    </row>
    <row r="1870" spans="1:11" x14ac:dyDescent="0.25">
      <c r="A1870" t="s">
        <v>325</v>
      </c>
      <c r="B1870" t="s">
        <v>6</v>
      </c>
      <c r="C1870">
        <v>1</v>
      </c>
      <c r="D1870">
        <v>3</v>
      </c>
      <c r="E1870">
        <v>2</v>
      </c>
      <c r="F1870" s="1">
        <v>46223</v>
      </c>
      <c r="G1870" s="11" t="str">
        <f>_xlfn.TEXTJOIN("|",TRUE,D1870,TEXT(INT(E1870),"yyyymmdd"),F1870)</f>
        <v>3|19000102|46223</v>
      </c>
      <c r="H1870" s="19">
        <f>COUNTIF(GameLog[Pod ID],GameLog[[#This Row],[Pod ID]])</f>
        <v>4</v>
      </c>
      <c r="I1870" s="19">
        <f>YEAR(GameLog[[#This Row],[Date]])</f>
        <v>2026</v>
      </c>
      <c r="J1870" s="19">
        <f>MONTH(GameLog[[#This Row],[Date]])</f>
        <v>7</v>
      </c>
      <c r="K1870" s="19" t="str">
        <f>IF(GameLog[[#This Row],[Date]]=MAX(GameLog[Date]),"Current","Previous")</f>
        <v>Current</v>
      </c>
    </row>
    <row r="1871" spans="1:11" x14ac:dyDescent="0.25">
      <c r="A1871" t="s">
        <v>578</v>
      </c>
      <c r="B1871" t="s">
        <v>8</v>
      </c>
      <c r="C1871">
        <v>2</v>
      </c>
      <c r="D1871">
        <v>3</v>
      </c>
      <c r="E1871">
        <v>2</v>
      </c>
      <c r="F1871" s="1">
        <v>46223</v>
      </c>
      <c r="G1871" s="11" t="str">
        <f>_xlfn.TEXTJOIN("|",TRUE,D1871,TEXT(INT(E1871),"yyyymmdd"),F1871)</f>
        <v>3|19000102|46223</v>
      </c>
      <c r="H1871" s="19">
        <f>COUNTIF(GameLog[Pod ID],GameLog[[#This Row],[Pod ID]])</f>
        <v>4</v>
      </c>
      <c r="I1871" s="19">
        <f>YEAR(GameLog[[#This Row],[Date]])</f>
        <v>2026</v>
      </c>
      <c r="J1871" s="19">
        <f>MONTH(GameLog[[#This Row],[Date]])</f>
        <v>7</v>
      </c>
      <c r="K1871" s="19" t="str">
        <f>IF(GameLog[[#This Row],[Date]]=MAX(GameLog[Date]),"Current","Previous")</f>
        <v>Current</v>
      </c>
    </row>
    <row r="1872" spans="1:11" x14ac:dyDescent="0.25">
      <c r="A1872" t="s">
        <v>352</v>
      </c>
      <c r="B1872" t="s">
        <v>6</v>
      </c>
      <c r="C1872">
        <v>3</v>
      </c>
      <c r="D1872">
        <v>3</v>
      </c>
      <c r="E1872">
        <v>2</v>
      </c>
      <c r="F1872" s="1">
        <v>46223</v>
      </c>
      <c r="G1872" s="11" t="str">
        <f>_xlfn.TEXTJOIN("|",TRUE,D1872,TEXT(INT(E1872),"yyyymmdd"),F1872)</f>
        <v>3|19000102|46223</v>
      </c>
      <c r="H1872" s="19">
        <f>COUNTIF(GameLog[Pod ID],GameLog[[#This Row],[Pod ID]])</f>
        <v>4</v>
      </c>
      <c r="I1872" s="19">
        <f>YEAR(GameLog[[#This Row],[Date]])</f>
        <v>2026</v>
      </c>
      <c r="J1872" s="19">
        <f>MONTH(GameLog[[#This Row],[Date]])</f>
        <v>7</v>
      </c>
      <c r="K1872" s="19" t="str">
        <f>IF(GameLog[[#This Row],[Date]]=MAX(GameLog[Date]),"Current","Previous")</f>
        <v>Current</v>
      </c>
    </row>
    <row r="1873" spans="1:11" x14ac:dyDescent="0.25">
      <c r="A1873" t="s">
        <v>27</v>
      </c>
      <c r="B1873" t="s">
        <v>6</v>
      </c>
      <c r="C1873">
        <v>4</v>
      </c>
      <c r="D1873">
        <v>3</v>
      </c>
      <c r="E1873">
        <v>2</v>
      </c>
      <c r="F1873" s="1">
        <v>46223</v>
      </c>
      <c r="G1873" s="11" t="str">
        <f>_xlfn.TEXTJOIN("|",TRUE,D1873,TEXT(INT(E1873),"yyyymmdd"),F1873)</f>
        <v>3|19000102|46223</v>
      </c>
      <c r="H1873" s="19">
        <f>COUNTIF(GameLog[Pod ID],GameLog[[#This Row],[Pod ID]])</f>
        <v>4</v>
      </c>
      <c r="I1873" s="19">
        <f>YEAR(GameLog[[#This Row],[Date]])</f>
        <v>2026</v>
      </c>
      <c r="J1873" s="19">
        <f>MONTH(GameLog[[#This Row],[Date]])</f>
        <v>7</v>
      </c>
      <c r="K1873" s="19" t="str">
        <f>IF(GameLog[[#This Row],[Date]]=MAX(GameLog[Date]),"Current","Previous")</f>
        <v>Current</v>
      </c>
    </row>
    <row r="1874" spans="1:11" x14ac:dyDescent="0.25">
      <c r="A1874" t="s">
        <v>13</v>
      </c>
      <c r="B1874" t="s">
        <v>6</v>
      </c>
      <c r="C1874">
        <v>1</v>
      </c>
      <c r="D1874">
        <v>4</v>
      </c>
      <c r="E1874">
        <v>2</v>
      </c>
      <c r="F1874" s="1">
        <v>46223</v>
      </c>
      <c r="G1874" s="11" t="str">
        <f>_xlfn.TEXTJOIN("|",TRUE,D1874,TEXT(INT(E1874),"yyyymmdd"),F1874)</f>
        <v>4|19000102|46223</v>
      </c>
      <c r="H1874" s="19">
        <f>COUNTIF(GameLog[Pod ID],GameLog[[#This Row],[Pod ID]])</f>
        <v>3</v>
      </c>
      <c r="I1874" s="19">
        <f>YEAR(GameLog[[#This Row],[Date]])</f>
        <v>2026</v>
      </c>
      <c r="J1874" s="19">
        <f>MONTH(GameLog[[#This Row],[Date]])</f>
        <v>7</v>
      </c>
      <c r="K1874" s="19" t="str">
        <f>IF(GameLog[[#This Row],[Date]]=MAX(GameLog[Date]),"Current","Previous")</f>
        <v>Current</v>
      </c>
    </row>
    <row r="1875" spans="1:11" x14ac:dyDescent="0.25">
      <c r="A1875" t="s">
        <v>41</v>
      </c>
      <c r="B1875" t="s">
        <v>8</v>
      </c>
      <c r="C1875">
        <v>2</v>
      </c>
      <c r="D1875">
        <v>4</v>
      </c>
      <c r="E1875">
        <v>2</v>
      </c>
      <c r="F1875" s="1">
        <v>46223</v>
      </c>
      <c r="G1875" s="11" t="str">
        <f>_xlfn.TEXTJOIN("|",TRUE,D1875,TEXT(INT(E1875),"yyyymmdd"),F1875)</f>
        <v>4|19000102|46223</v>
      </c>
      <c r="H1875" s="19">
        <f>COUNTIF(GameLog[Pod ID],GameLog[[#This Row],[Pod ID]])</f>
        <v>3</v>
      </c>
      <c r="I1875" s="19">
        <f>YEAR(GameLog[[#This Row],[Date]])</f>
        <v>2026</v>
      </c>
      <c r="J1875" s="19">
        <f>MONTH(GameLog[[#This Row],[Date]])</f>
        <v>7</v>
      </c>
      <c r="K1875" s="19" t="str">
        <f>IF(GameLog[[#This Row],[Date]]=MAX(GameLog[Date]),"Current","Previous")</f>
        <v>Current</v>
      </c>
    </row>
    <row r="1876" spans="1:11" x14ac:dyDescent="0.25">
      <c r="A1876" t="s">
        <v>10</v>
      </c>
      <c r="B1876" t="s">
        <v>6</v>
      </c>
      <c r="C1876">
        <v>3</v>
      </c>
      <c r="D1876">
        <v>4</v>
      </c>
      <c r="E1876">
        <v>2</v>
      </c>
      <c r="F1876" s="1">
        <v>46223</v>
      </c>
      <c r="G1876" s="11" t="str">
        <f>_xlfn.TEXTJOIN("|",TRUE,D1876,TEXT(INT(E1876),"yyyymmdd"),F1876)</f>
        <v>4|19000102|46223</v>
      </c>
      <c r="H1876" s="19">
        <f>COUNTIF(GameLog[Pod ID],GameLog[[#This Row],[Pod ID]])</f>
        <v>3</v>
      </c>
      <c r="I1876" s="19">
        <f>YEAR(GameLog[[#This Row],[Date]])</f>
        <v>2026</v>
      </c>
      <c r="J1876" s="19">
        <f>MONTH(GameLog[[#This Row],[Date]])</f>
        <v>7</v>
      </c>
      <c r="K1876"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389"/>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2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2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2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2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2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2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2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2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2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2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2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2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2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2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2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2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2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2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2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2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2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2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2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2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2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2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2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2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2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2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2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2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2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2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2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2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2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2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2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2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2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2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2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2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2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2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2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2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2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2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2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2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2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2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2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2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2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2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2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2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2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2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2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2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2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2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2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2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2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2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2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2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2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2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2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2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2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2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2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2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2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2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2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2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2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2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2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2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2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2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2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2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2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2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2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2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2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2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2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2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2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2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2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2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2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2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2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2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2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2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2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2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2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2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2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2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2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2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2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2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2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2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2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2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2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2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2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2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2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2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2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2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2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2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2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2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2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2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2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2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2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2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2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2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2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2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2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2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2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2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2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2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2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2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2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2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2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2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2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2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2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2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2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2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2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2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2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2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2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2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2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2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2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2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2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2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2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2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2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2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2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2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2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2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2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2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2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2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2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2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2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2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2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2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2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2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2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2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2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2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2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2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2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2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2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2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2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2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2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2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2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2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2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2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2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2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2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2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2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2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2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2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2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2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2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2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2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2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2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2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2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2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2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2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2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2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2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25">
      <c r="A5306" s="19" t="s">
        <v>28</v>
      </c>
      <c r="B5306" s="19" t="s">
        <v>8</v>
      </c>
      <c r="C5306">
        <v>1</v>
      </c>
      <c r="D5306">
        <v>1</v>
      </c>
      <c r="E5306">
        <v>1</v>
      </c>
      <c r="F5306" s="15">
        <v>46223</v>
      </c>
      <c r="G5306" s="19" t="s">
        <v>645</v>
      </c>
      <c r="H5306">
        <v>4</v>
      </c>
      <c r="I5306">
        <v>2026</v>
      </c>
      <c r="J5306">
        <v>7</v>
      </c>
      <c r="K5306" s="19" t="s">
        <v>282</v>
      </c>
      <c r="L5306" s="19" t="s">
        <v>14</v>
      </c>
      <c r="M5306" s="19" t="s">
        <v>6</v>
      </c>
      <c r="N5306" t="b">
        <v>0</v>
      </c>
      <c r="O5306">
        <v>1</v>
      </c>
      <c r="P5306">
        <v>0</v>
      </c>
      <c r="Q5306">
        <v>0</v>
      </c>
      <c r="R5306">
        <v>0</v>
      </c>
    </row>
    <row r="5307" spans="1:18" x14ac:dyDescent="0.25">
      <c r="A5307" s="19" t="s">
        <v>28</v>
      </c>
      <c r="B5307" s="19" t="s">
        <v>8</v>
      </c>
      <c r="C5307">
        <v>1</v>
      </c>
      <c r="D5307">
        <v>1</v>
      </c>
      <c r="E5307">
        <v>1</v>
      </c>
      <c r="F5307" s="15">
        <v>46223</v>
      </c>
      <c r="G5307" s="19" t="s">
        <v>645</v>
      </c>
      <c r="H5307">
        <v>4</v>
      </c>
      <c r="I5307">
        <v>2026</v>
      </c>
      <c r="J5307">
        <v>7</v>
      </c>
      <c r="K5307" s="19" t="s">
        <v>282</v>
      </c>
      <c r="L5307" s="19" t="s">
        <v>10</v>
      </c>
      <c r="M5307" s="19" t="s">
        <v>6</v>
      </c>
      <c r="N5307" t="b">
        <v>0</v>
      </c>
      <c r="O5307">
        <v>1</v>
      </c>
      <c r="P5307">
        <v>0</v>
      </c>
      <c r="Q5307">
        <v>0</v>
      </c>
      <c r="R5307">
        <v>0</v>
      </c>
    </row>
    <row r="5308" spans="1:18" x14ac:dyDescent="0.25">
      <c r="A5308" s="19" t="s">
        <v>28</v>
      </c>
      <c r="B5308" s="19" t="s">
        <v>8</v>
      </c>
      <c r="C5308">
        <v>1</v>
      </c>
      <c r="D5308">
        <v>1</v>
      </c>
      <c r="E5308">
        <v>1</v>
      </c>
      <c r="F5308" s="15">
        <v>46223</v>
      </c>
      <c r="G5308" s="19" t="s">
        <v>645</v>
      </c>
      <c r="H5308">
        <v>4</v>
      </c>
      <c r="I5308">
        <v>2026</v>
      </c>
      <c r="J5308">
        <v>7</v>
      </c>
      <c r="K5308" s="19" t="s">
        <v>282</v>
      </c>
      <c r="L5308" s="19" t="s">
        <v>325</v>
      </c>
      <c r="M5308" s="19" t="s">
        <v>6</v>
      </c>
      <c r="N5308" t="b">
        <v>0</v>
      </c>
      <c r="O5308">
        <v>1</v>
      </c>
      <c r="P5308">
        <v>0</v>
      </c>
      <c r="Q5308">
        <v>0</v>
      </c>
      <c r="R5308">
        <v>0</v>
      </c>
    </row>
    <row r="5309" spans="1:18" x14ac:dyDescent="0.25">
      <c r="A5309" s="19" t="s">
        <v>14</v>
      </c>
      <c r="B5309" s="19" t="s">
        <v>6</v>
      </c>
      <c r="C5309">
        <v>2</v>
      </c>
      <c r="D5309">
        <v>1</v>
      </c>
      <c r="E5309">
        <v>1</v>
      </c>
      <c r="F5309" s="15">
        <v>46223</v>
      </c>
      <c r="G5309" s="19" t="s">
        <v>645</v>
      </c>
      <c r="H5309">
        <v>4</v>
      </c>
      <c r="I5309">
        <v>2026</v>
      </c>
      <c r="J5309">
        <v>7</v>
      </c>
      <c r="K5309" s="19" t="s">
        <v>282</v>
      </c>
      <c r="L5309" s="19" t="s">
        <v>28</v>
      </c>
      <c r="M5309" s="19" t="s">
        <v>8</v>
      </c>
      <c r="N5309" t="b">
        <v>0</v>
      </c>
      <c r="O5309">
        <v>0</v>
      </c>
      <c r="P5309">
        <v>1</v>
      </c>
      <c r="Q5309">
        <v>0</v>
      </c>
      <c r="R5309">
        <v>1</v>
      </c>
    </row>
    <row r="5310" spans="1:18" x14ac:dyDescent="0.25">
      <c r="A5310" s="19" t="s">
        <v>14</v>
      </c>
      <c r="B5310" s="19" t="s">
        <v>6</v>
      </c>
      <c r="C5310">
        <v>2</v>
      </c>
      <c r="D5310">
        <v>1</v>
      </c>
      <c r="E5310">
        <v>1</v>
      </c>
      <c r="F5310" s="15">
        <v>46223</v>
      </c>
      <c r="G5310" s="19" t="s">
        <v>645</v>
      </c>
      <c r="H5310">
        <v>4</v>
      </c>
      <c r="I5310">
        <v>2026</v>
      </c>
      <c r="J5310">
        <v>7</v>
      </c>
      <c r="K5310" s="19" t="s">
        <v>282</v>
      </c>
      <c r="L5310" s="19" t="s">
        <v>10</v>
      </c>
      <c r="M5310" s="19" t="s">
        <v>6</v>
      </c>
      <c r="N5310" t="b">
        <v>0</v>
      </c>
      <c r="O5310">
        <v>0</v>
      </c>
      <c r="P5310">
        <v>1</v>
      </c>
      <c r="Q5310">
        <v>0</v>
      </c>
      <c r="R5310">
        <v>0</v>
      </c>
    </row>
    <row r="5311" spans="1:18" x14ac:dyDescent="0.25">
      <c r="A5311" s="19" t="s">
        <v>14</v>
      </c>
      <c r="B5311" s="19" t="s">
        <v>6</v>
      </c>
      <c r="C5311">
        <v>2</v>
      </c>
      <c r="D5311">
        <v>1</v>
      </c>
      <c r="E5311">
        <v>1</v>
      </c>
      <c r="F5311" s="15">
        <v>46223</v>
      </c>
      <c r="G5311" s="19" t="s">
        <v>645</v>
      </c>
      <c r="H5311">
        <v>4</v>
      </c>
      <c r="I5311">
        <v>2026</v>
      </c>
      <c r="J5311">
        <v>7</v>
      </c>
      <c r="K5311" s="19" t="s">
        <v>282</v>
      </c>
      <c r="L5311" s="19" t="s">
        <v>325</v>
      </c>
      <c r="M5311" s="19" t="s">
        <v>6</v>
      </c>
      <c r="N5311" t="b">
        <v>0</v>
      </c>
      <c r="O5311">
        <v>0</v>
      </c>
      <c r="P5311">
        <v>1</v>
      </c>
      <c r="Q5311">
        <v>0</v>
      </c>
      <c r="R5311">
        <v>0</v>
      </c>
    </row>
    <row r="5312" spans="1:18" x14ac:dyDescent="0.25">
      <c r="A5312" s="19" t="s">
        <v>10</v>
      </c>
      <c r="B5312" s="19" t="s">
        <v>6</v>
      </c>
      <c r="C5312">
        <v>3</v>
      </c>
      <c r="D5312">
        <v>1</v>
      </c>
      <c r="E5312">
        <v>1</v>
      </c>
      <c r="F5312" s="15">
        <v>46223</v>
      </c>
      <c r="G5312" s="19" t="s">
        <v>645</v>
      </c>
      <c r="H5312">
        <v>4</v>
      </c>
      <c r="I5312">
        <v>2026</v>
      </c>
      <c r="J5312">
        <v>7</v>
      </c>
      <c r="K5312" s="19" t="s">
        <v>282</v>
      </c>
      <c r="L5312" s="19" t="s">
        <v>28</v>
      </c>
      <c r="M5312" s="19" t="s">
        <v>8</v>
      </c>
      <c r="N5312" t="b">
        <v>0</v>
      </c>
      <c r="O5312">
        <v>0</v>
      </c>
      <c r="P5312">
        <v>1</v>
      </c>
      <c r="Q5312">
        <v>0</v>
      </c>
      <c r="R5312">
        <v>1</v>
      </c>
    </row>
    <row r="5313" spans="1:18" x14ac:dyDescent="0.25">
      <c r="A5313" s="19" t="s">
        <v>10</v>
      </c>
      <c r="B5313" s="19" t="s">
        <v>6</v>
      </c>
      <c r="C5313">
        <v>3</v>
      </c>
      <c r="D5313">
        <v>1</v>
      </c>
      <c r="E5313">
        <v>1</v>
      </c>
      <c r="F5313" s="15">
        <v>46223</v>
      </c>
      <c r="G5313" s="19" t="s">
        <v>645</v>
      </c>
      <c r="H5313">
        <v>4</v>
      </c>
      <c r="I5313">
        <v>2026</v>
      </c>
      <c r="J5313">
        <v>7</v>
      </c>
      <c r="K5313" s="19" t="s">
        <v>282</v>
      </c>
      <c r="L5313" s="19" t="s">
        <v>14</v>
      </c>
      <c r="M5313" s="19" t="s">
        <v>6</v>
      </c>
      <c r="N5313" t="b">
        <v>0</v>
      </c>
      <c r="O5313">
        <v>0</v>
      </c>
      <c r="P5313">
        <v>1</v>
      </c>
      <c r="Q5313">
        <v>0</v>
      </c>
      <c r="R5313">
        <v>0</v>
      </c>
    </row>
    <row r="5314" spans="1:18" x14ac:dyDescent="0.25">
      <c r="A5314" s="19" t="s">
        <v>10</v>
      </c>
      <c r="B5314" s="19" t="s">
        <v>6</v>
      </c>
      <c r="C5314">
        <v>3</v>
      </c>
      <c r="D5314">
        <v>1</v>
      </c>
      <c r="E5314">
        <v>1</v>
      </c>
      <c r="F5314" s="15">
        <v>46223</v>
      </c>
      <c r="G5314" s="19" t="s">
        <v>645</v>
      </c>
      <c r="H5314">
        <v>4</v>
      </c>
      <c r="I5314">
        <v>2026</v>
      </c>
      <c r="J5314">
        <v>7</v>
      </c>
      <c r="K5314" s="19" t="s">
        <v>282</v>
      </c>
      <c r="L5314" s="19" t="s">
        <v>325</v>
      </c>
      <c r="M5314" s="19" t="s">
        <v>6</v>
      </c>
      <c r="N5314" t="b">
        <v>0</v>
      </c>
      <c r="O5314">
        <v>0</v>
      </c>
      <c r="P5314">
        <v>1</v>
      </c>
      <c r="Q5314">
        <v>0</v>
      </c>
      <c r="R5314">
        <v>0</v>
      </c>
    </row>
    <row r="5315" spans="1:18" x14ac:dyDescent="0.25">
      <c r="A5315" s="19" t="s">
        <v>325</v>
      </c>
      <c r="B5315" s="19" t="s">
        <v>6</v>
      </c>
      <c r="C5315">
        <v>4</v>
      </c>
      <c r="D5315">
        <v>1</v>
      </c>
      <c r="E5315">
        <v>1</v>
      </c>
      <c r="F5315" s="15">
        <v>46223</v>
      </c>
      <c r="G5315" s="19" t="s">
        <v>645</v>
      </c>
      <c r="H5315">
        <v>4</v>
      </c>
      <c r="I5315">
        <v>2026</v>
      </c>
      <c r="J5315">
        <v>7</v>
      </c>
      <c r="K5315" s="19" t="s">
        <v>282</v>
      </c>
      <c r="L5315" s="19" t="s">
        <v>28</v>
      </c>
      <c r="M5315" s="19" t="s">
        <v>8</v>
      </c>
      <c r="N5315" t="b">
        <v>0</v>
      </c>
      <c r="O5315">
        <v>0</v>
      </c>
      <c r="P5315">
        <v>1</v>
      </c>
      <c r="Q5315">
        <v>0</v>
      </c>
      <c r="R5315">
        <v>1</v>
      </c>
    </row>
    <row r="5316" spans="1:18" x14ac:dyDescent="0.25">
      <c r="A5316" s="19" t="s">
        <v>325</v>
      </c>
      <c r="B5316" s="19" t="s">
        <v>6</v>
      </c>
      <c r="C5316">
        <v>4</v>
      </c>
      <c r="D5316">
        <v>1</v>
      </c>
      <c r="E5316">
        <v>1</v>
      </c>
      <c r="F5316" s="15">
        <v>46223</v>
      </c>
      <c r="G5316" s="19" t="s">
        <v>645</v>
      </c>
      <c r="H5316">
        <v>4</v>
      </c>
      <c r="I5316">
        <v>2026</v>
      </c>
      <c r="J5316">
        <v>7</v>
      </c>
      <c r="K5316" s="19" t="s">
        <v>282</v>
      </c>
      <c r="L5316" s="19" t="s">
        <v>14</v>
      </c>
      <c r="M5316" s="19" t="s">
        <v>6</v>
      </c>
      <c r="N5316" t="b">
        <v>0</v>
      </c>
      <c r="O5316">
        <v>0</v>
      </c>
      <c r="P5316">
        <v>1</v>
      </c>
      <c r="Q5316">
        <v>0</v>
      </c>
      <c r="R5316">
        <v>0</v>
      </c>
    </row>
    <row r="5317" spans="1:18" x14ac:dyDescent="0.25">
      <c r="A5317" s="19" t="s">
        <v>325</v>
      </c>
      <c r="B5317" s="19" t="s">
        <v>6</v>
      </c>
      <c r="C5317">
        <v>4</v>
      </c>
      <c r="D5317">
        <v>1</v>
      </c>
      <c r="E5317">
        <v>1</v>
      </c>
      <c r="F5317" s="15">
        <v>46223</v>
      </c>
      <c r="G5317" s="19" t="s">
        <v>645</v>
      </c>
      <c r="H5317">
        <v>4</v>
      </c>
      <c r="I5317">
        <v>2026</v>
      </c>
      <c r="J5317">
        <v>7</v>
      </c>
      <c r="K5317" s="19" t="s">
        <v>282</v>
      </c>
      <c r="L5317" s="19" t="s">
        <v>10</v>
      </c>
      <c r="M5317" s="19" t="s">
        <v>6</v>
      </c>
      <c r="N5317" t="b">
        <v>0</v>
      </c>
      <c r="O5317">
        <v>0</v>
      </c>
      <c r="P5317">
        <v>1</v>
      </c>
      <c r="Q5317">
        <v>0</v>
      </c>
      <c r="R5317">
        <v>0</v>
      </c>
    </row>
    <row r="5318" spans="1:18" x14ac:dyDescent="0.25">
      <c r="A5318" s="19" t="s">
        <v>51</v>
      </c>
      <c r="B5318" s="19" t="s">
        <v>6</v>
      </c>
      <c r="C5318">
        <v>1</v>
      </c>
      <c r="D5318">
        <v>2</v>
      </c>
      <c r="E5318">
        <v>1</v>
      </c>
      <c r="F5318" s="15">
        <v>46223</v>
      </c>
      <c r="G5318" s="19" t="s">
        <v>646</v>
      </c>
      <c r="H5318">
        <v>4</v>
      </c>
      <c r="I5318">
        <v>2026</v>
      </c>
      <c r="J5318">
        <v>7</v>
      </c>
      <c r="K5318" s="19" t="s">
        <v>282</v>
      </c>
      <c r="L5318" s="19" t="s">
        <v>27</v>
      </c>
      <c r="M5318" s="19" t="s">
        <v>6</v>
      </c>
      <c r="N5318" t="b">
        <v>0</v>
      </c>
      <c r="O5318">
        <v>0</v>
      </c>
      <c r="P5318">
        <v>1</v>
      </c>
      <c r="Q5318">
        <v>0</v>
      </c>
      <c r="R5318">
        <v>0</v>
      </c>
    </row>
    <row r="5319" spans="1:18" x14ac:dyDescent="0.25">
      <c r="A5319" s="19" t="s">
        <v>51</v>
      </c>
      <c r="B5319" s="19" t="s">
        <v>6</v>
      </c>
      <c r="C5319">
        <v>1</v>
      </c>
      <c r="D5319">
        <v>2</v>
      </c>
      <c r="E5319">
        <v>1</v>
      </c>
      <c r="F5319" s="15">
        <v>46223</v>
      </c>
      <c r="G5319" s="19" t="s">
        <v>646</v>
      </c>
      <c r="H5319">
        <v>4</v>
      </c>
      <c r="I5319">
        <v>2026</v>
      </c>
      <c r="J5319">
        <v>7</v>
      </c>
      <c r="K5319" s="19" t="s">
        <v>282</v>
      </c>
      <c r="L5319" s="19" t="s">
        <v>41</v>
      </c>
      <c r="M5319" s="19" t="s">
        <v>6</v>
      </c>
      <c r="N5319" t="b">
        <v>0</v>
      </c>
      <c r="O5319">
        <v>0</v>
      </c>
      <c r="P5319">
        <v>1</v>
      </c>
      <c r="Q5319">
        <v>0</v>
      </c>
      <c r="R5319">
        <v>0</v>
      </c>
    </row>
    <row r="5320" spans="1:18" x14ac:dyDescent="0.25">
      <c r="A5320" s="19" t="s">
        <v>51</v>
      </c>
      <c r="B5320" s="19" t="s">
        <v>6</v>
      </c>
      <c r="C5320">
        <v>1</v>
      </c>
      <c r="D5320">
        <v>2</v>
      </c>
      <c r="E5320">
        <v>1</v>
      </c>
      <c r="F5320" s="15">
        <v>46223</v>
      </c>
      <c r="G5320" s="19" t="s">
        <v>646</v>
      </c>
      <c r="H5320">
        <v>4</v>
      </c>
      <c r="I5320">
        <v>2026</v>
      </c>
      <c r="J5320">
        <v>7</v>
      </c>
      <c r="K5320" s="19" t="s">
        <v>282</v>
      </c>
      <c r="L5320" s="19" t="s">
        <v>19</v>
      </c>
      <c r="M5320" s="19" t="s">
        <v>8</v>
      </c>
      <c r="N5320" t="b">
        <v>0</v>
      </c>
      <c r="O5320">
        <v>0</v>
      </c>
      <c r="P5320">
        <v>1</v>
      </c>
      <c r="Q5320">
        <v>0</v>
      </c>
      <c r="R5320">
        <v>1</v>
      </c>
    </row>
    <row r="5321" spans="1:18" x14ac:dyDescent="0.25">
      <c r="A5321" s="19" t="s">
        <v>27</v>
      </c>
      <c r="B5321" s="19" t="s">
        <v>6</v>
      </c>
      <c r="C5321">
        <v>2</v>
      </c>
      <c r="D5321">
        <v>2</v>
      </c>
      <c r="E5321">
        <v>1</v>
      </c>
      <c r="F5321" s="15">
        <v>46223</v>
      </c>
      <c r="G5321" s="19" t="s">
        <v>646</v>
      </c>
      <c r="H5321">
        <v>4</v>
      </c>
      <c r="I5321">
        <v>2026</v>
      </c>
      <c r="J5321">
        <v>7</v>
      </c>
      <c r="K5321" s="19" t="s">
        <v>282</v>
      </c>
      <c r="L5321" s="19" t="s">
        <v>51</v>
      </c>
      <c r="M5321" s="19" t="s">
        <v>6</v>
      </c>
      <c r="N5321" t="b">
        <v>0</v>
      </c>
      <c r="O5321">
        <v>0</v>
      </c>
      <c r="P5321">
        <v>1</v>
      </c>
      <c r="Q5321">
        <v>0</v>
      </c>
      <c r="R5321">
        <v>0</v>
      </c>
    </row>
    <row r="5322" spans="1:18" x14ac:dyDescent="0.25">
      <c r="A5322" s="19" t="s">
        <v>27</v>
      </c>
      <c r="B5322" s="19" t="s">
        <v>6</v>
      </c>
      <c r="C5322">
        <v>2</v>
      </c>
      <c r="D5322">
        <v>2</v>
      </c>
      <c r="E5322">
        <v>1</v>
      </c>
      <c r="F5322" s="15">
        <v>46223</v>
      </c>
      <c r="G5322" s="19" t="s">
        <v>646</v>
      </c>
      <c r="H5322">
        <v>4</v>
      </c>
      <c r="I5322">
        <v>2026</v>
      </c>
      <c r="J5322">
        <v>7</v>
      </c>
      <c r="K5322" s="19" t="s">
        <v>282</v>
      </c>
      <c r="L5322" s="19" t="s">
        <v>41</v>
      </c>
      <c r="M5322" s="19" t="s">
        <v>6</v>
      </c>
      <c r="N5322" t="b">
        <v>0</v>
      </c>
      <c r="O5322">
        <v>0</v>
      </c>
      <c r="P5322">
        <v>1</v>
      </c>
      <c r="Q5322">
        <v>0</v>
      </c>
      <c r="R5322">
        <v>0</v>
      </c>
    </row>
    <row r="5323" spans="1:18" x14ac:dyDescent="0.25">
      <c r="A5323" s="19" t="s">
        <v>27</v>
      </c>
      <c r="B5323" s="19" t="s">
        <v>6</v>
      </c>
      <c r="C5323">
        <v>2</v>
      </c>
      <c r="D5323">
        <v>2</v>
      </c>
      <c r="E5323">
        <v>1</v>
      </c>
      <c r="F5323" s="15">
        <v>46223</v>
      </c>
      <c r="G5323" s="19" t="s">
        <v>646</v>
      </c>
      <c r="H5323">
        <v>4</v>
      </c>
      <c r="I5323">
        <v>2026</v>
      </c>
      <c r="J5323">
        <v>7</v>
      </c>
      <c r="K5323" s="19" t="s">
        <v>282</v>
      </c>
      <c r="L5323" s="19" t="s">
        <v>19</v>
      </c>
      <c r="M5323" s="19" t="s">
        <v>8</v>
      </c>
      <c r="N5323" t="b">
        <v>0</v>
      </c>
      <c r="O5323">
        <v>0</v>
      </c>
      <c r="P5323">
        <v>1</v>
      </c>
      <c r="Q5323">
        <v>0</v>
      </c>
      <c r="R5323">
        <v>1</v>
      </c>
    </row>
    <row r="5324" spans="1:18" x14ac:dyDescent="0.25">
      <c r="A5324" s="19" t="s">
        <v>41</v>
      </c>
      <c r="B5324" s="19" t="s">
        <v>6</v>
      </c>
      <c r="C5324">
        <v>3</v>
      </c>
      <c r="D5324">
        <v>2</v>
      </c>
      <c r="E5324">
        <v>1</v>
      </c>
      <c r="F5324" s="15">
        <v>46223</v>
      </c>
      <c r="G5324" s="19" t="s">
        <v>646</v>
      </c>
      <c r="H5324">
        <v>4</v>
      </c>
      <c r="I5324">
        <v>2026</v>
      </c>
      <c r="J5324">
        <v>7</v>
      </c>
      <c r="K5324" s="19" t="s">
        <v>282</v>
      </c>
      <c r="L5324" s="19" t="s">
        <v>51</v>
      </c>
      <c r="M5324" s="19" t="s">
        <v>6</v>
      </c>
      <c r="N5324" t="b">
        <v>0</v>
      </c>
      <c r="O5324">
        <v>0</v>
      </c>
      <c r="P5324">
        <v>1</v>
      </c>
      <c r="Q5324">
        <v>0</v>
      </c>
      <c r="R5324">
        <v>0</v>
      </c>
    </row>
    <row r="5325" spans="1:18" x14ac:dyDescent="0.25">
      <c r="A5325" s="19" t="s">
        <v>41</v>
      </c>
      <c r="B5325" s="19" t="s">
        <v>6</v>
      </c>
      <c r="C5325">
        <v>3</v>
      </c>
      <c r="D5325">
        <v>2</v>
      </c>
      <c r="E5325">
        <v>1</v>
      </c>
      <c r="F5325" s="15">
        <v>46223</v>
      </c>
      <c r="G5325" s="19" t="s">
        <v>646</v>
      </c>
      <c r="H5325">
        <v>4</v>
      </c>
      <c r="I5325">
        <v>2026</v>
      </c>
      <c r="J5325">
        <v>7</v>
      </c>
      <c r="K5325" s="19" t="s">
        <v>282</v>
      </c>
      <c r="L5325" s="19" t="s">
        <v>27</v>
      </c>
      <c r="M5325" s="19" t="s">
        <v>6</v>
      </c>
      <c r="N5325" t="b">
        <v>0</v>
      </c>
      <c r="O5325">
        <v>0</v>
      </c>
      <c r="P5325">
        <v>1</v>
      </c>
      <c r="Q5325">
        <v>0</v>
      </c>
      <c r="R5325">
        <v>0</v>
      </c>
    </row>
    <row r="5326" spans="1:18" x14ac:dyDescent="0.25">
      <c r="A5326" s="19" t="s">
        <v>41</v>
      </c>
      <c r="B5326" s="19" t="s">
        <v>6</v>
      </c>
      <c r="C5326">
        <v>3</v>
      </c>
      <c r="D5326">
        <v>2</v>
      </c>
      <c r="E5326">
        <v>1</v>
      </c>
      <c r="F5326" s="15">
        <v>46223</v>
      </c>
      <c r="G5326" s="19" t="s">
        <v>646</v>
      </c>
      <c r="H5326">
        <v>4</v>
      </c>
      <c r="I5326">
        <v>2026</v>
      </c>
      <c r="J5326">
        <v>7</v>
      </c>
      <c r="K5326" s="19" t="s">
        <v>282</v>
      </c>
      <c r="L5326" s="19" t="s">
        <v>19</v>
      </c>
      <c r="M5326" s="19" t="s">
        <v>8</v>
      </c>
      <c r="N5326" t="b">
        <v>0</v>
      </c>
      <c r="O5326">
        <v>0</v>
      </c>
      <c r="P5326">
        <v>1</v>
      </c>
      <c r="Q5326">
        <v>0</v>
      </c>
      <c r="R5326">
        <v>1</v>
      </c>
    </row>
    <row r="5327" spans="1:18" x14ac:dyDescent="0.25">
      <c r="A5327" s="19" t="s">
        <v>19</v>
      </c>
      <c r="B5327" s="19" t="s">
        <v>8</v>
      </c>
      <c r="C5327">
        <v>4</v>
      </c>
      <c r="D5327">
        <v>2</v>
      </c>
      <c r="E5327">
        <v>1</v>
      </c>
      <c r="F5327" s="15">
        <v>46223</v>
      </c>
      <c r="G5327" s="19" t="s">
        <v>646</v>
      </c>
      <c r="H5327">
        <v>4</v>
      </c>
      <c r="I5327">
        <v>2026</v>
      </c>
      <c r="J5327">
        <v>7</v>
      </c>
      <c r="K5327" s="19" t="s">
        <v>282</v>
      </c>
      <c r="L5327" s="19" t="s">
        <v>51</v>
      </c>
      <c r="M5327" s="19" t="s">
        <v>6</v>
      </c>
      <c r="N5327" t="b">
        <v>0</v>
      </c>
      <c r="O5327">
        <v>1</v>
      </c>
      <c r="P5327">
        <v>0</v>
      </c>
      <c r="Q5327">
        <v>0</v>
      </c>
      <c r="R5327">
        <v>0</v>
      </c>
    </row>
    <row r="5328" spans="1:18" x14ac:dyDescent="0.25">
      <c r="A5328" s="19" t="s">
        <v>19</v>
      </c>
      <c r="B5328" s="19" t="s">
        <v>8</v>
      </c>
      <c r="C5328">
        <v>4</v>
      </c>
      <c r="D5328">
        <v>2</v>
      </c>
      <c r="E5328">
        <v>1</v>
      </c>
      <c r="F5328" s="15">
        <v>46223</v>
      </c>
      <c r="G5328" s="19" t="s">
        <v>646</v>
      </c>
      <c r="H5328">
        <v>4</v>
      </c>
      <c r="I5328">
        <v>2026</v>
      </c>
      <c r="J5328">
        <v>7</v>
      </c>
      <c r="K5328" s="19" t="s">
        <v>282</v>
      </c>
      <c r="L5328" s="19" t="s">
        <v>27</v>
      </c>
      <c r="M5328" s="19" t="s">
        <v>6</v>
      </c>
      <c r="N5328" t="b">
        <v>0</v>
      </c>
      <c r="O5328">
        <v>1</v>
      </c>
      <c r="P5328">
        <v>0</v>
      </c>
      <c r="Q5328">
        <v>0</v>
      </c>
      <c r="R5328">
        <v>0</v>
      </c>
    </row>
    <row r="5329" spans="1:18" x14ac:dyDescent="0.25">
      <c r="A5329" s="19" t="s">
        <v>19</v>
      </c>
      <c r="B5329" s="19" t="s">
        <v>8</v>
      </c>
      <c r="C5329">
        <v>4</v>
      </c>
      <c r="D5329">
        <v>2</v>
      </c>
      <c r="E5329">
        <v>1</v>
      </c>
      <c r="F5329" s="15">
        <v>46223</v>
      </c>
      <c r="G5329" s="19" t="s">
        <v>646</v>
      </c>
      <c r="H5329">
        <v>4</v>
      </c>
      <c r="I5329">
        <v>2026</v>
      </c>
      <c r="J5329">
        <v>7</v>
      </c>
      <c r="K5329" s="19" t="s">
        <v>282</v>
      </c>
      <c r="L5329" s="19" t="s">
        <v>41</v>
      </c>
      <c r="M5329" s="19" t="s">
        <v>6</v>
      </c>
      <c r="N5329" t="b">
        <v>0</v>
      </c>
      <c r="O5329">
        <v>1</v>
      </c>
      <c r="P5329">
        <v>0</v>
      </c>
      <c r="Q5329">
        <v>0</v>
      </c>
      <c r="R5329">
        <v>0</v>
      </c>
    </row>
    <row r="5330" spans="1:18" x14ac:dyDescent="0.25">
      <c r="A5330" s="19" t="s">
        <v>17</v>
      </c>
      <c r="B5330" s="19" t="s">
        <v>8</v>
      </c>
      <c r="C5330">
        <v>1</v>
      </c>
      <c r="D5330">
        <v>3</v>
      </c>
      <c r="E5330">
        <v>1</v>
      </c>
      <c r="F5330" s="15">
        <v>46223</v>
      </c>
      <c r="G5330" s="19" t="s">
        <v>647</v>
      </c>
      <c r="H5330">
        <v>4</v>
      </c>
      <c r="I5330">
        <v>2026</v>
      </c>
      <c r="J5330">
        <v>7</v>
      </c>
      <c r="K5330" s="19" t="s">
        <v>282</v>
      </c>
      <c r="L5330" s="19" t="s">
        <v>15</v>
      </c>
      <c r="M5330" s="19" t="s">
        <v>6</v>
      </c>
      <c r="N5330" t="b">
        <v>0</v>
      </c>
      <c r="O5330">
        <v>1</v>
      </c>
      <c r="P5330">
        <v>0</v>
      </c>
      <c r="Q5330">
        <v>0</v>
      </c>
      <c r="R5330">
        <v>0</v>
      </c>
    </row>
    <row r="5331" spans="1:18" x14ac:dyDescent="0.25">
      <c r="A5331" s="19" t="s">
        <v>17</v>
      </c>
      <c r="B5331" s="19" t="s">
        <v>8</v>
      </c>
      <c r="C5331">
        <v>1</v>
      </c>
      <c r="D5331">
        <v>3</v>
      </c>
      <c r="E5331">
        <v>1</v>
      </c>
      <c r="F5331" s="15">
        <v>46223</v>
      </c>
      <c r="G5331" s="19" t="s">
        <v>647</v>
      </c>
      <c r="H5331">
        <v>4</v>
      </c>
      <c r="I5331">
        <v>2026</v>
      </c>
      <c r="J5331">
        <v>7</v>
      </c>
      <c r="K5331" s="19" t="s">
        <v>282</v>
      </c>
      <c r="L5331" s="19" t="s">
        <v>578</v>
      </c>
      <c r="M5331" s="19" t="s">
        <v>6</v>
      </c>
      <c r="N5331" t="b">
        <v>0</v>
      </c>
      <c r="O5331">
        <v>1</v>
      </c>
      <c r="P5331">
        <v>0</v>
      </c>
      <c r="Q5331">
        <v>0</v>
      </c>
      <c r="R5331">
        <v>0</v>
      </c>
    </row>
    <row r="5332" spans="1:18" x14ac:dyDescent="0.25">
      <c r="A5332" s="19" t="s">
        <v>17</v>
      </c>
      <c r="B5332" s="19" t="s">
        <v>8</v>
      </c>
      <c r="C5332">
        <v>1</v>
      </c>
      <c r="D5332">
        <v>3</v>
      </c>
      <c r="E5332">
        <v>1</v>
      </c>
      <c r="F5332" s="15">
        <v>46223</v>
      </c>
      <c r="G5332" s="19" t="s">
        <v>647</v>
      </c>
      <c r="H5332">
        <v>4</v>
      </c>
      <c r="I5332">
        <v>2026</v>
      </c>
      <c r="J5332">
        <v>7</v>
      </c>
      <c r="K5332" s="19" t="s">
        <v>282</v>
      </c>
      <c r="L5332" s="19" t="s">
        <v>13</v>
      </c>
      <c r="M5332" s="19" t="s">
        <v>6</v>
      </c>
      <c r="N5332" t="b">
        <v>0</v>
      </c>
      <c r="O5332">
        <v>1</v>
      </c>
      <c r="P5332">
        <v>0</v>
      </c>
      <c r="Q5332">
        <v>0</v>
      </c>
      <c r="R5332">
        <v>0</v>
      </c>
    </row>
    <row r="5333" spans="1:18" x14ac:dyDescent="0.25">
      <c r="A5333" s="19" t="s">
        <v>15</v>
      </c>
      <c r="B5333" s="19" t="s">
        <v>6</v>
      </c>
      <c r="C5333">
        <v>2</v>
      </c>
      <c r="D5333">
        <v>3</v>
      </c>
      <c r="E5333">
        <v>1</v>
      </c>
      <c r="F5333" s="15">
        <v>46223</v>
      </c>
      <c r="G5333" s="19" t="s">
        <v>647</v>
      </c>
      <c r="H5333">
        <v>4</v>
      </c>
      <c r="I5333">
        <v>2026</v>
      </c>
      <c r="J5333">
        <v>7</v>
      </c>
      <c r="K5333" s="19" t="s">
        <v>282</v>
      </c>
      <c r="L5333" s="19" t="s">
        <v>17</v>
      </c>
      <c r="M5333" s="19" t="s">
        <v>8</v>
      </c>
      <c r="N5333" t="b">
        <v>0</v>
      </c>
      <c r="O5333">
        <v>0</v>
      </c>
      <c r="P5333">
        <v>1</v>
      </c>
      <c r="Q5333">
        <v>0</v>
      </c>
      <c r="R5333">
        <v>1</v>
      </c>
    </row>
    <row r="5334" spans="1:18" x14ac:dyDescent="0.25">
      <c r="A5334" s="19" t="s">
        <v>15</v>
      </c>
      <c r="B5334" s="19" t="s">
        <v>6</v>
      </c>
      <c r="C5334">
        <v>2</v>
      </c>
      <c r="D5334">
        <v>3</v>
      </c>
      <c r="E5334">
        <v>1</v>
      </c>
      <c r="F5334" s="15">
        <v>46223</v>
      </c>
      <c r="G5334" s="19" t="s">
        <v>647</v>
      </c>
      <c r="H5334">
        <v>4</v>
      </c>
      <c r="I5334">
        <v>2026</v>
      </c>
      <c r="J5334">
        <v>7</v>
      </c>
      <c r="K5334" s="19" t="s">
        <v>282</v>
      </c>
      <c r="L5334" s="19" t="s">
        <v>578</v>
      </c>
      <c r="M5334" s="19" t="s">
        <v>6</v>
      </c>
      <c r="N5334" t="b">
        <v>0</v>
      </c>
      <c r="O5334">
        <v>0</v>
      </c>
      <c r="P5334">
        <v>1</v>
      </c>
      <c r="Q5334">
        <v>0</v>
      </c>
      <c r="R5334">
        <v>0</v>
      </c>
    </row>
    <row r="5335" spans="1:18" x14ac:dyDescent="0.25">
      <c r="A5335" s="19" t="s">
        <v>15</v>
      </c>
      <c r="B5335" s="19" t="s">
        <v>6</v>
      </c>
      <c r="C5335">
        <v>2</v>
      </c>
      <c r="D5335">
        <v>3</v>
      </c>
      <c r="E5335">
        <v>1</v>
      </c>
      <c r="F5335" s="15">
        <v>46223</v>
      </c>
      <c r="G5335" s="19" t="s">
        <v>647</v>
      </c>
      <c r="H5335">
        <v>4</v>
      </c>
      <c r="I5335">
        <v>2026</v>
      </c>
      <c r="J5335">
        <v>7</v>
      </c>
      <c r="K5335" s="19" t="s">
        <v>282</v>
      </c>
      <c r="L5335" s="19" t="s">
        <v>13</v>
      </c>
      <c r="M5335" s="19" t="s">
        <v>6</v>
      </c>
      <c r="N5335" t="b">
        <v>0</v>
      </c>
      <c r="O5335">
        <v>0</v>
      </c>
      <c r="P5335">
        <v>1</v>
      </c>
      <c r="Q5335">
        <v>0</v>
      </c>
      <c r="R5335">
        <v>0</v>
      </c>
    </row>
    <row r="5336" spans="1:18" x14ac:dyDescent="0.25">
      <c r="A5336" s="19" t="s">
        <v>578</v>
      </c>
      <c r="B5336" s="19" t="s">
        <v>6</v>
      </c>
      <c r="C5336">
        <v>3</v>
      </c>
      <c r="D5336">
        <v>3</v>
      </c>
      <c r="E5336">
        <v>1</v>
      </c>
      <c r="F5336" s="15">
        <v>46223</v>
      </c>
      <c r="G5336" s="19" t="s">
        <v>647</v>
      </c>
      <c r="H5336">
        <v>4</v>
      </c>
      <c r="I5336">
        <v>2026</v>
      </c>
      <c r="J5336">
        <v>7</v>
      </c>
      <c r="K5336" s="19" t="s">
        <v>282</v>
      </c>
      <c r="L5336" s="19" t="s">
        <v>17</v>
      </c>
      <c r="M5336" s="19" t="s">
        <v>8</v>
      </c>
      <c r="N5336" t="b">
        <v>0</v>
      </c>
      <c r="O5336">
        <v>0</v>
      </c>
      <c r="P5336">
        <v>1</v>
      </c>
      <c r="Q5336">
        <v>0</v>
      </c>
      <c r="R5336">
        <v>1</v>
      </c>
    </row>
    <row r="5337" spans="1:18" x14ac:dyDescent="0.25">
      <c r="A5337" s="19" t="s">
        <v>578</v>
      </c>
      <c r="B5337" s="19" t="s">
        <v>6</v>
      </c>
      <c r="C5337">
        <v>3</v>
      </c>
      <c r="D5337">
        <v>3</v>
      </c>
      <c r="E5337">
        <v>1</v>
      </c>
      <c r="F5337" s="15">
        <v>46223</v>
      </c>
      <c r="G5337" s="19" t="s">
        <v>647</v>
      </c>
      <c r="H5337">
        <v>4</v>
      </c>
      <c r="I5337">
        <v>2026</v>
      </c>
      <c r="J5337">
        <v>7</v>
      </c>
      <c r="K5337" s="19" t="s">
        <v>282</v>
      </c>
      <c r="L5337" s="19" t="s">
        <v>15</v>
      </c>
      <c r="M5337" s="19" t="s">
        <v>6</v>
      </c>
      <c r="N5337" t="b">
        <v>0</v>
      </c>
      <c r="O5337">
        <v>0</v>
      </c>
      <c r="P5337">
        <v>1</v>
      </c>
      <c r="Q5337">
        <v>0</v>
      </c>
      <c r="R5337">
        <v>0</v>
      </c>
    </row>
    <row r="5338" spans="1:18" x14ac:dyDescent="0.25">
      <c r="A5338" s="19" t="s">
        <v>578</v>
      </c>
      <c r="B5338" s="19" t="s">
        <v>6</v>
      </c>
      <c r="C5338">
        <v>3</v>
      </c>
      <c r="D5338">
        <v>3</v>
      </c>
      <c r="E5338">
        <v>1</v>
      </c>
      <c r="F5338" s="15">
        <v>46223</v>
      </c>
      <c r="G5338" s="19" t="s">
        <v>647</v>
      </c>
      <c r="H5338">
        <v>4</v>
      </c>
      <c r="I5338">
        <v>2026</v>
      </c>
      <c r="J5338">
        <v>7</v>
      </c>
      <c r="K5338" s="19" t="s">
        <v>282</v>
      </c>
      <c r="L5338" s="19" t="s">
        <v>13</v>
      </c>
      <c r="M5338" s="19" t="s">
        <v>6</v>
      </c>
      <c r="N5338" t="b">
        <v>0</v>
      </c>
      <c r="O5338">
        <v>0</v>
      </c>
      <c r="P5338">
        <v>1</v>
      </c>
      <c r="Q5338">
        <v>0</v>
      </c>
      <c r="R5338">
        <v>0</v>
      </c>
    </row>
    <row r="5339" spans="1:18" x14ac:dyDescent="0.25">
      <c r="A5339" s="19" t="s">
        <v>13</v>
      </c>
      <c r="B5339" s="19" t="s">
        <v>6</v>
      </c>
      <c r="C5339">
        <v>4</v>
      </c>
      <c r="D5339">
        <v>3</v>
      </c>
      <c r="E5339">
        <v>1</v>
      </c>
      <c r="F5339" s="15">
        <v>46223</v>
      </c>
      <c r="G5339" s="19" t="s">
        <v>647</v>
      </c>
      <c r="H5339">
        <v>4</v>
      </c>
      <c r="I5339">
        <v>2026</v>
      </c>
      <c r="J5339">
        <v>7</v>
      </c>
      <c r="K5339" s="19" t="s">
        <v>282</v>
      </c>
      <c r="L5339" s="19" t="s">
        <v>17</v>
      </c>
      <c r="M5339" s="19" t="s">
        <v>8</v>
      </c>
      <c r="N5339" t="b">
        <v>0</v>
      </c>
      <c r="O5339">
        <v>0</v>
      </c>
      <c r="P5339">
        <v>1</v>
      </c>
      <c r="Q5339">
        <v>0</v>
      </c>
      <c r="R5339">
        <v>1</v>
      </c>
    </row>
    <row r="5340" spans="1:18" x14ac:dyDescent="0.25">
      <c r="A5340" s="19" t="s">
        <v>13</v>
      </c>
      <c r="B5340" s="19" t="s">
        <v>6</v>
      </c>
      <c r="C5340">
        <v>4</v>
      </c>
      <c r="D5340">
        <v>3</v>
      </c>
      <c r="E5340">
        <v>1</v>
      </c>
      <c r="F5340" s="15">
        <v>46223</v>
      </c>
      <c r="G5340" s="19" t="s">
        <v>647</v>
      </c>
      <c r="H5340">
        <v>4</v>
      </c>
      <c r="I5340">
        <v>2026</v>
      </c>
      <c r="J5340">
        <v>7</v>
      </c>
      <c r="K5340" s="19" t="s">
        <v>282</v>
      </c>
      <c r="L5340" s="19" t="s">
        <v>15</v>
      </c>
      <c r="M5340" s="19" t="s">
        <v>6</v>
      </c>
      <c r="N5340" t="b">
        <v>0</v>
      </c>
      <c r="O5340">
        <v>0</v>
      </c>
      <c r="P5340">
        <v>1</v>
      </c>
      <c r="Q5340">
        <v>0</v>
      </c>
      <c r="R5340">
        <v>0</v>
      </c>
    </row>
    <row r="5341" spans="1:18" x14ac:dyDescent="0.25">
      <c r="A5341" s="19" t="s">
        <v>13</v>
      </c>
      <c r="B5341" s="19" t="s">
        <v>6</v>
      </c>
      <c r="C5341">
        <v>4</v>
      </c>
      <c r="D5341">
        <v>3</v>
      </c>
      <c r="E5341">
        <v>1</v>
      </c>
      <c r="F5341" s="15">
        <v>46223</v>
      </c>
      <c r="G5341" s="19" t="s">
        <v>647</v>
      </c>
      <c r="H5341">
        <v>4</v>
      </c>
      <c r="I5341">
        <v>2026</v>
      </c>
      <c r="J5341">
        <v>7</v>
      </c>
      <c r="K5341" s="19" t="s">
        <v>282</v>
      </c>
      <c r="L5341" s="19" t="s">
        <v>578</v>
      </c>
      <c r="M5341" s="19" t="s">
        <v>6</v>
      </c>
      <c r="N5341" t="b">
        <v>0</v>
      </c>
      <c r="O5341">
        <v>0</v>
      </c>
      <c r="P5341">
        <v>1</v>
      </c>
      <c r="Q5341">
        <v>0</v>
      </c>
      <c r="R5341">
        <v>0</v>
      </c>
    </row>
    <row r="5342" spans="1:18" x14ac:dyDescent="0.25">
      <c r="A5342" s="19" t="s">
        <v>7</v>
      </c>
      <c r="B5342" s="19" t="s">
        <v>6</v>
      </c>
      <c r="C5342">
        <v>1</v>
      </c>
      <c r="D5342">
        <v>4</v>
      </c>
      <c r="E5342">
        <v>1</v>
      </c>
      <c r="F5342" s="15">
        <v>46223</v>
      </c>
      <c r="G5342" s="19" t="s">
        <v>648</v>
      </c>
      <c r="H5342">
        <v>3</v>
      </c>
      <c r="I5342">
        <v>2026</v>
      </c>
      <c r="J5342">
        <v>7</v>
      </c>
      <c r="K5342" s="19" t="s">
        <v>282</v>
      </c>
      <c r="L5342" s="19" t="s">
        <v>352</v>
      </c>
      <c r="M5342" s="19" t="s">
        <v>6</v>
      </c>
      <c r="N5342" t="b">
        <v>0</v>
      </c>
      <c r="O5342">
        <v>0</v>
      </c>
      <c r="P5342">
        <v>1</v>
      </c>
      <c r="Q5342">
        <v>0</v>
      </c>
      <c r="R5342">
        <v>0</v>
      </c>
    </row>
    <row r="5343" spans="1:18" x14ac:dyDescent="0.25">
      <c r="A5343" s="19" t="s">
        <v>7</v>
      </c>
      <c r="B5343" s="19" t="s">
        <v>6</v>
      </c>
      <c r="C5343">
        <v>1</v>
      </c>
      <c r="D5343">
        <v>4</v>
      </c>
      <c r="E5343">
        <v>1</v>
      </c>
      <c r="F5343" s="15">
        <v>46223</v>
      </c>
      <c r="G5343" s="19" t="s">
        <v>648</v>
      </c>
      <c r="H5343">
        <v>3</v>
      </c>
      <c r="I5343">
        <v>2026</v>
      </c>
      <c r="J5343">
        <v>7</v>
      </c>
      <c r="K5343" s="19" t="s">
        <v>282</v>
      </c>
      <c r="L5343" s="19" t="s">
        <v>9</v>
      </c>
      <c r="M5343" s="19" t="s">
        <v>8</v>
      </c>
      <c r="N5343" t="b">
        <v>0</v>
      </c>
      <c r="O5343">
        <v>0</v>
      </c>
      <c r="P5343">
        <v>1</v>
      </c>
      <c r="Q5343">
        <v>0</v>
      </c>
      <c r="R5343">
        <v>1</v>
      </c>
    </row>
    <row r="5344" spans="1:18" x14ac:dyDescent="0.25">
      <c r="A5344" s="19" t="s">
        <v>352</v>
      </c>
      <c r="B5344" s="19" t="s">
        <v>6</v>
      </c>
      <c r="C5344">
        <v>2</v>
      </c>
      <c r="D5344">
        <v>4</v>
      </c>
      <c r="E5344">
        <v>1</v>
      </c>
      <c r="F5344" s="15">
        <v>46223</v>
      </c>
      <c r="G5344" s="19" t="s">
        <v>648</v>
      </c>
      <c r="H5344">
        <v>3</v>
      </c>
      <c r="I5344">
        <v>2026</v>
      </c>
      <c r="J5344">
        <v>7</v>
      </c>
      <c r="K5344" s="19" t="s">
        <v>282</v>
      </c>
      <c r="L5344" s="19" t="s">
        <v>7</v>
      </c>
      <c r="M5344" s="19" t="s">
        <v>6</v>
      </c>
      <c r="N5344" t="b">
        <v>0</v>
      </c>
      <c r="O5344">
        <v>0</v>
      </c>
      <c r="P5344">
        <v>1</v>
      </c>
      <c r="Q5344">
        <v>0</v>
      </c>
      <c r="R5344">
        <v>0</v>
      </c>
    </row>
    <row r="5345" spans="1:18" x14ac:dyDescent="0.25">
      <c r="A5345" s="19" t="s">
        <v>352</v>
      </c>
      <c r="B5345" s="19" t="s">
        <v>6</v>
      </c>
      <c r="C5345">
        <v>2</v>
      </c>
      <c r="D5345">
        <v>4</v>
      </c>
      <c r="E5345">
        <v>1</v>
      </c>
      <c r="F5345" s="15">
        <v>46223</v>
      </c>
      <c r="G5345" s="19" t="s">
        <v>648</v>
      </c>
      <c r="H5345">
        <v>3</v>
      </c>
      <c r="I5345">
        <v>2026</v>
      </c>
      <c r="J5345">
        <v>7</v>
      </c>
      <c r="K5345" s="19" t="s">
        <v>282</v>
      </c>
      <c r="L5345" s="19" t="s">
        <v>9</v>
      </c>
      <c r="M5345" s="19" t="s">
        <v>8</v>
      </c>
      <c r="N5345" t="b">
        <v>0</v>
      </c>
      <c r="O5345">
        <v>0</v>
      </c>
      <c r="P5345">
        <v>1</v>
      </c>
      <c r="Q5345">
        <v>0</v>
      </c>
      <c r="R5345">
        <v>1</v>
      </c>
    </row>
    <row r="5346" spans="1:18" x14ac:dyDescent="0.25">
      <c r="A5346" s="19" t="s">
        <v>9</v>
      </c>
      <c r="B5346" s="19" t="s">
        <v>8</v>
      </c>
      <c r="C5346">
        <v>3</v>
      </c>
      <c r="D5346">
        <v>4</v>
      </c>
      <c r="E5346">
        <v>1</v>
      </c>
      <c r="F5346" s="15">
        <v>46223</v>
      </c>
      <c r="G5346" s="19" t="s">
        <v>648</v>
      </c>
      <c r="H5346">
        <v>3</v>
      </c>
      <c r="I5346">
        <v>2026</v>
      </c>
      <c r="J5346">
        <v>7</v>
      </c>
      <c r="K5346" s="19" t="s">
        <v>282</v>
      </c>
      <c r="L5346" s="19" t="s">
        <v>7</v>
      </c>
      <c r="M5346" s="19" t="s">
        <v>6</v>
      </c>
      <c r="N5346" t="b">
        <v>0</v>
      </c>
      <c r="O5346">
        <v>1</v>
      </c>
      <c r="P5346">
        <v>0</v>
      </c>
      <c r="Q5346">
        <v>0</v>
      </c>
      <c r="R5346">
        <v>0</v>
      </c>
    </row>
    <row r="5347" spans="1:18" x14ac:dyDescent="0.25">
      <c r="A5347" s="19" t="s">
        <v>9</v>
      </c>
      <c r="B5347" s="19" t="s">
        <v>8</v>
      </c>
      <c r="C5347">
        <v>3</v>
      </c>
      <c r="D5347">
        <v>4</v>
      </c>
      <c r="E5347">
        <v>1</v>
      </c>
      <c r="F5347" s="15">
        <v>46223</v>
      </c>
      <c r="G5347" s="19" t="s">
        <v>648</v>
      </c>
      <c r="H5347">
        <v>3</v>
      </c>
      <c r="I5347">
        <v>2026</v>
      </c>
      <c r="J5347">
        <v>7</v>
      </c>
      <c r="K5347" s="19" t="s">
        <v>282</v>
      </c>
      <c r="L5347" s="19" t="s">
        <v>352</v>
      </c>
      <c r="M5347" s="19" t="s">
        <v>6</v>
      </c>
      <c r="N5347" t="b">
        <v>0</v>
      </c>
      <c r="O5347">
        <v>1</v>
      </c>
      <c r="P5347">
        <v>0</v>
      </c>
      <c r="Q5347">
        <v>0</v>
      </c>
      <c r="R5347">
        <v>0</v>
      </c>
    </row>
    <row r="5348" spans="1:18" x14ac:dyDescent="0.25">
      <c r="A5348" s="19" t="s">
        <v>19</v>
      </c>
      <c r="B5348" s="19" t="s">
        <v>63</v>
      </c>
      <c r="C5348">
        <v>1</v>
      </c>
      <c r="D5348">
        <v>1</v>
      </c>
      <c r="E5348">
        <v>2</v>
      </c>
      <c r="F5348" s="15">
        <v>46223</v>
      </c>
      <c r="G5348" s="19" t="s">
        <v>649</v>
      </c>
      <c r="H5348">
        <v>4</v>
      </c>
      <c r="I5348">
        <v>2026</v>
      </c>
      <c r="J5348">
        <v>7</v>
      </c>
      <c r="K5348" s="19" t="s">
        <v>282</v>
      </c>
      <c r="L5348" s="19" t="s">
        <v>9</v>
      </c>
      <c r="M5348" s="19" t="s">
        <v>63</v>
      </c>
      <c r="N5348" t="b">
        <v>0</v>
      </c>
      <c r="O5348">
        <v>0</v>
      </c>
      <c r="P5348">
        <v>0</v>
      </c>
      <c r="Q5348">
        <v>1</v>
      </c>
      <c r="R5348">
        <v>0</v>
      </c>
    </row>
    <row r="5349" spans="1:18" x14ac:dyDescent="0.25">
      <c r="A5349" s="19" t="s">
        <v>19</v>
      </c>
      <c r="B5349" s="19" t="s">
        <v>63</v>
      </c>
      <c r="C5349">
        <v>1</v>
      </c>
      <c r="D5349">
        <v>1</v>
      </c>
      <c r="E5349">
        <v>2</v>
      </c>
      <c r="F5349" s="15">
        <v>46223</v>
      </c>
      <c r="G5349" s="19" t="s">
        <v>649</v>
      </c>
      <c r="H5349">
        <v>4</v>
      </c>
      <c r="I5349">
        <v>2026</v>
      </c>
      <c r="J5349">
        <v>7</v>
      </c>
      <c r="K5349" s="19" t="s">
        <v>282</v>
      </c>
      <c r="L5349" s="19" t="s">
        <v>28</v>
      </c>
      <c r="M5349" s="19" t="s">
        <v>63</v>
      </c>
      <c r="N5349" t="b">
        <v>0</v>
      </c>
      <c r="O5349">
        <v>0</v>
      </c>
      <c r="P5349">
        <v>0</v>
      </c>
      <c r="Q5349">
        <v>1</v>
      </c>
      <c r="R5349">
        <v>0</v>
      </c>
    </row>
    <row r="5350" spans="1:18" x14ac:dyDescent="0.25">
      <c r="A5350" s="19" t="s">
        <v>19</v>
      </c>
      <c r="B5350" s="19" t="s">
        <v>63</v>
      </c>
      <c r="C5350">
        <v>1</v>
      </c>
      <c r="D5350">
        <v>1</v>
      </c>
      <c r="E5350">
        <v>2</v>
      </c>
      <c r="F5350" s="15">
        <v>46223</v>
      </c>
      <c r="G5350" s="19" t="s">
        <v>649</v>
      </c>
      <c r="H5350">
        <v>4</v>
      </c>
      <c r="I5350">
        <v>2026</v>
      </c>
      <c r="J5350">
        <v>7</v>
      </c>
      <c r="K5350" s="19" t="s">
        <v>282</v>
      </c>
      <c r="L5350" s="19" t="s">
        <v>17</v>
      </c>
      <c r="M5350" s="19" t="s">
        <v>63</v>
      </c>
      <c r="N5350" t="b">
        <v>0</v>
      </c>
      <c r="O5350">
        <v>0</v>
      </c>
      <c r="P5350">
        <v>0</v>
      </c>
      <c r="Q5350">
        <v>1</v>
      </c>
      <c r="R5350">
        <v>0</v>
      </c>
    </row>
    <row r="5351" spans="1:18" x14ac:dyDescent="0.25">
      <c r="A5351" s="19" t="s">
        <v>9</v>
      </c>
      <c r="B5351" s="19" t="s">
        <v>63</v>
      </c>
      <c r="C5351">
        <v>2</v>
      </c>
      <c r="D5351">
        <v>1</v>
      </c>
      <c r="E5351">
        <v>2</v>
      </c>
      <c r="F5351" s="15">
        <v>46223</v>
      </c>
      <c r="G5351" s="19" t="s">
        <v>649</v>
      </c>
      <c r="H5351">
        <v>4</v>
      </c>
      <c r="I5351">
        <v>2026</v>
      </c>
      <c r="J5351">
        <v>7</v>
      </c>
      <c r="K5351" s="19" t="s">
        <v>282</v>
      </c>
      <c r="L5351" s="19" t="s">
        <v>19</v>
      </c>
      <c r="M5351" s="19" t="s">
        <v>63</v>
      </c>
      <c r="N5351" t="b">
        <v>0</v>
      </c>
      <c r="O5351">
        <v>0</v>
      </c>
      <c r="P5351">
        <v>0</v>
      </c>
      <c r="Q5351">
        <v>1</v>
      </c>
      <c r="R5351">
        <v>0</v>
      </c>
    </row>
    <row r="5352" spans="1:18" x14ac:dyDescent="0.25">
      <c r="A5352" s="19" t="s">
        <v>9</v>
      </c>
      <c r="B5352" s="19" t="s">
        <v>63</v>
      </c>
      <c r="C5352">
        <v>2</v>
      </c>
      <c r="D5352">
        <v>1</v>
      </c>
      <c r="E5352">
        <v>2</v>
      </c>
      <c r="F5352" s="15">
        <v>46223</v>
      </c>
      <c r="G5352" s="19" t="s">
        <v>649</v>
      </c>
      <c r="H5352">
        <v>4</v>
      </c>
      <c r="I5352">
        <v>2026</v>
      </c>
      <c r="J5352">
        <v>7</v>
      </c>
      <c r="K5352" s="19" t="s">
        <v>282</v>
      </c>
      <c r="L5352" s="19" t="s">
        <v>28</v>
      </c>
      <c r="M5352" s="19" t="s">
        <v>63</v>
      </c>
      <c r="N5352" t="b">
        <v>0</v>
      </c>
      <c r="O5352">
        <v>0</v>
      </c>
      <c r="P5352">
        <v>0</v>
      </c>
      <c r="Q5352">
        <v>1</v>
      </c>
      <c r="R5352">
        <v>0</v>
      </c>
    </row>
    <row r="5353" spans="1:18" x14ac:dyDescent="0.25">
      <c r="A5353" s="19" t="s">
        <v>9</v>
      </c>
      <c r="B5353" s="19" t="s">
        <v>63</v>
      </c>
      <c r="C5353">
        <v>2</v>
      </c>
      <c r="D5353">
        <v>1</v>
      </c>
      <c r="E5353">
        <v>2</v>
      </c>
      <c r="F5353" s="15">
        <v>46223</v>
      </c>
      <c r="G5353" s="19" t="s">
        <v>649</v>
      </c>
      <c r="H5353">
        <v>4</v>
      </c>
      <c r="I5353">
        <v>2026</v>
      </c>
      <c r="J5353">
        <v>7</v>
      </c>
      <c r="K5353" s="19" t="s">
        <v>282</v>
      </c>
      <c r="L5353" s="19" t="s">
        <v>17</v>
      </c>
      <c r="M5353" s="19" t="s">
        <v>63</v>
      </c>
      <c r="N5353" t="b">
        <v>0</v>
      </c>
      <c r="O5353">
        <v>0</v>
      </c>
      <c r="P5353">
        <v>0</v>
      </c>
      <c r="Q5353">
        <v>1</v>
      </c>
      <c r="R5353">
        <v>0</v>
      </c>
    </row>
    <row r="5354" spans="1:18" x14ac:dyDescent="0.25">
      <c r="A5354" s="19" t="s">
        <v>28</v>
      </c>
      <c r="B5354" s="19" t="s">
        <v>63</v>
      </c>
      <c r="C5354">
        <v>3</v>
      </c>
      <c r="D5354">
        <v>1</v>
      </c>
      <c r="E5354">
        <v>2</v>
      </c>
      <c r="F5354" s="15">
        <v>46223</v>
      </c>
      <c r="G5354" s="19" t="s">
        <v>649</v>
      </c>
      <c r="H5354">
        <v>4</v>
      </c>
      <c r="I5354">
        <v>2026</v>
      </c>
      <c r="J5354">
        <v>7</v>
      </c>
      <c r="K5354" s="19" t="s">
        <v>282</v>
      </c>
      <c r="L5354" s="19" t="s">
        <v>19</v>
      </c>
      <c r="M5354" s="19" t="s">
        <v>63</v>
      </c>
      <c r="N5354" t="b">
        <v>0</v>
      </c>
      <c r="O5354">
        <v>0</v>
      </c>
      <c r="P5354">
        <v>0</v>
      </c>
      <c r="Q5354">
        <v>1</v>
      </c>
      <c r="R5354">
        <v>0</v>
      </c>
    </row>
    <row r="5355" spans="1:18" x14ac:dyDescent="0.25">
      <c r="A5355" s="19" t="s">
        <v>28</v>
      </c>
      <c r="B5355" s="19" t="s">
        <v>63</v>
      </c>
      <c r="C5355">
        <v>3</v>
      </c>
      <c r="D5355">
        <v>1</v>
      </c>
      <c r="E5355">
        <v>2</v>
      </c>
      <c r="F5355" s="15">
        <v>46223</v>
      </c>
      <c r="G5355" s="19" t="s">
        <v>649</v>
      </c>
      <c r="H5355">
        <v>4</v>
      </c>
      <c r="I5355">
        <v>2026</v>
      </c>
      <c r="J5355">
        <v>7</v>
      </c>
      <c r="K5355" s="19" t="s">
        <v>282</v>
      </c>
      <c r="L5355" s="19" t="s">
        <v>9</v>
      </c>
      <c r="M5355" s="19" t="s">
        <v>63</v>
      </c>
      <c r="N5355" t="b">
        <v>0</v>
      </c>
      <c r="O5355">
        <v>0</v>
      </c>
      <c r="P5355">
        <v>0</v>
      </c>
      <c r="Q5355">
        <v>1</v>
      </c>
      <c r="R5355">
        <v>0</v>
      </c>
    </row>
    <row r="5356" spans="1:18" x14ac:dyDescent="0.25">
      <c r="A5356" s="19" t="s">
        <v>28</v>
      </c>
      <c r="B5356" s="19" t="s">
        <v>63</v>
      </c>
      <c r="C5356">
        <v>3</v>
      </c>
      <c r="D5356">
        <v>1</v>
      </c>
      <c r="E5356">
        <v>2</v>
      </c>
      <c r="F5356" s="15">
        <v>46223</v>
      </c>
      <c r="G5356" s="19" t="s">
        <v>649</v>
      </c>
      <c r="H5356">
        <v>4</v>
      </c>
      <c r="I5356">
        <v>2026</v>
      </c>
      <c r="J5356">
        <v>7</v>
      </c>
      <c r="K5356" s="19" t="s">
        <v>282</v>
      </c>
      <c r="L5356" s="19" t="s">
        <v>17</v>
      </c>
      <c r="M5356" s="19" t="s">
        <v>63</v>
      </c>
      <c r="N5356" t="b">
        <v>0</v>
      </c>
      <c r="O5356">
        <v>0</v>
      </c>
      <c r="P5356">
        <v>0</v>
      </c>
      <c r="Q5356">
        <v>1</v>
      </c>
      <c r="R5356">
        <v>0</v>
      </c>
    </row>
    <row r="5357" spans="1:18" x14ac:dyDescent="0.25">
      <c r="A5357" s="19" t="s">
        <v>17</v>
      </c>
      <c r="B5357" s="19" t="s">
        <v>63</v>
      </c>
      <c r="C5357">
        <v>4</v>
      </c>
      <c r="D5357">
        <v>1</v>
      </c>
      <c r="E5357">
        <v>2</v>
      </c>
      <c r="F5357" s="15">
        <v>46223</v>
      </c>
      <c r="G5357" s="19" t="s">
        <v>649</v>
      </c>
      <c r="H5357">
        <v>4</v>
      </c>
      <c r="I5357">
        <v>2026</v>
      </c>
      <c r="J5357">
        <v>7</v>
      </c>
      <c r="K5357" s="19" t="s">
        <v>282</v>
      </c>
      <c r="L5357" s="19" t="s">
        <v>19</v>
      </c>
      <c r="M5357" s="19" t="s">
        <v>63</v>
      </c>
      <c r="N5357" t="b">
        <v>0</v>
      </c>
      <c r="O5357">
        <v>0</v>
      </c>
      <c r="P5357">
        <v>0</v>
      </c>
      <c r="Q5357">
        <v>1</v>
      </c>
      <c r="R5357">
        <v>0</v>
      </c>
    </row>
    <row r="5358" spans="1:18" x14ac:dyDescent="0.25">
      <c r="A5358" s="19" t="s">
        <v>17</v>
      </c>
      <c r="B5358" s="19" t="s">
        <v>63</v>
      </c>
      <c r="C5358">
        <v>4</v>
      </c>
      <c r="D5358">
        <v>1</v>
      </c>
      <c r="E5358">
        <v>2</v>
      </c>
      <c r="F5358" s="15">
        <v>46223</v>
      </c>
      <c r="G5358" s="19" t="s">
        <v>649</v>
      </c>
      <c r="H5358">
        <v>4</v>
      </c>
      <c r="I5358">
        <v>2026</v>
      </c>
      <c r="J5358">
        <v>7</v>
      </c>
      <c r="K5358" s="19" t="s">
        <v>282</v>
      </c>
      <c r="L5358" s="19" t="s">
        <v>9</v>
      </c>
      <c r="M5358" s="19" t="s">
        <v>63</v>
      </c>
      <c r="N5358" t="b">
        <v>0</v>
      </c>
      <c r="O5358">
        <v>0</v>
      </c>
      <c r="P5358">
        <v>0</v>
      </c>
      <c r="Q5358">
        <v>1</v>
      </c>
      <c r="R5358">
        <v>0</v>
      </c>
    </row>
    <row r="5359" spans="1:18" x14ac:dyDescent="0.25">
      <c r="A5359" s="19" t="s">
        <v>17</v>
      </c>
      <c r="B5359" s="19" t="s">
        <v>63</v>
      </c>
      <c r="C5359">
        <v>4</v>
      </c>
      <c r="D5359">
        <v>1</v>
      </c>
      <c r="E5359">
        <v>2</v>
      </c>
      <c r="F5359" s="15">
        <v>46223</v>
      </c>
      <c r="G5359" s="19" t="s">
        <v>649</v>
      </c>
      <c r="H5359">
        <v>4</v>
      </c>
      <c r="I5359">
        <v>2026</v>
      </c>
      <c r="J5359">
        <v>7</v>
      </c>
      <c r="K5359" s="19" t="s">
        <v>282</v>
      </c>
      <c r="L5359" s="19" t="s">
        <v>28</v>
      </c>
      <c r="M5359" s="19" t="s">
        <v>63</v>
      </c>
      <c r="N5359" t="b">
        <v>0</v>
      </c>
      <c r="O5359">
        <v>0</v>
      </c>
      <c r="P5359">
        <v>0</v>
      </c>
      <c r="Q5359">
        <v>1</v>
      </c>
      <c r="R5359">
        <v>0</v>
      </c>
    </row>
    <row r="5360" spans="1:18" x14ac:dyDescent="0.25">
      <c r="A5360" s="19" t="s">
        <v>51</v>
      </c>
      <c r="B5360" s="19" t="s">
        <v>6</v>
      </c>
      <c r="C5360">
        <v>1</v>
      </c>
      <c r="D5360">
        <v>2</v>
      </c>
      <c r="E5360">
        <v>2</v>
      </c>
      <c r="F5360" s="15">
        <v>46223</v>
      </c>
      <c r="G5360" s="19" t="s">
        <v>650</v>
      </c>
      <c r="H5360">
        <v>4</v>
      </c>
      <c r="I5360">
        <v>2026</v>
      </c>
      <c r="J5360">
        <v>7</v>
      </c>
      <c r="K5360" s="19" t="s">
        <v>282</v>
      </c>
      <c r="L5360" s="19" t="s">
        <v>7</v>
      </c>
      <c r="M5360" s="19" t="s">
        <v>8</v>
      </c>
      <c r="N5360" t="b">
        <v>0</v>
      </c>
      <c r="O5360">
        <v>0</v>
      </c>
      <c r="P5360">
        <v>1</v>
      </c>
      <c r="Q5360">
        <v>0</v>
      </c>
      <c r="R5360">
        <v>1</v>
      </c>
    </row>
    <row r="5361" spans="1:18" x14ac:dyDescent="0.25">
      <c r="A5361" s="19" t="s">
        <v>51</v>
      </c>
      <c r="B5361" s="19" t="s">
        <v>6</v>
      </c>
      <c r="C5361">
        <v>1</v>
      </c>
      <c r="D5361">
        <v>2</v>
      </c>
      <c r="E5361">
        <v>2</v>
      </c>
      <c r="F5361" s="15">
        <v>46223</v>
      </c>
      <c r="G5361" s="19" t="s">
        <v>650</v>
      </c>
      <c r="H5361">
        <v>4</v>
      </c>
      <c r="I5361">
        <v>2026</v>
      </c>
      <c r="J5361">
        <v>7</v>
      </c>
      <c r="K5361" s="19" t="s">
        <v>282</v>
      </c>
      <c r="L5361" s="19" t="s">
        <v>15</v>
      </c>
      <c r="M5361" s="19" t="s">
        <v>6</v>
      </c>
      <c r="N5361" t="b">
        <v>0</v>
      </c>
      <c r="O5361">
        <v>0</v>
      </c>
      <c r="P5361">
        <v>1</v>
      </c>
      <c r="Q5361">
        <v>0</v>
      </c>
      <c r="R5361">
        <v>0</v>
      </c>
    </row>
    <row r="5362" spans="1:18" x14ac:dyDescent="0.25">
      <c r="A5362" s="19" t="s">
        <v>51</v>
      </c>
      <c r="B5362" s="19" t="s">
        <v>6</v>
      </c>
      <c r="C5362">
        <v>1</v>
      </c>
      <c r="D5362">
        <v>2</v>
      </c>
      <c r="E5362">
        <v>2</v>
      </c>
      <c r="F5362" s="15">
        <v>46223</v>
      </c>
      <c r="G5362" s="19" t="s">
        <v>650</v>
      </c>
      <c r="H5362">
        <v>4</v>
      </c>
      <c r="I5362">
        <v>2026</v>
      </c>
      <c r="J5362">
        <v>7</v>
      </c>
      <c r="K5362" s="19" t="s">
        <v>282</v>
      </c>
      <c r="L5362" s="19" t="s">
        <v>14</v>
      </c>
      <c r="M5362" s="19" t="s">
        <v>6</v>
      </c>
      <c r="N5362" t="b">
        <v>0</v>
      </c>
      <c r="O5362">
        <v>0</v>
      </c>
      <c r="P5362">
        <v>1</v>
      </c>
      <c r="Q5362">
        <v>0</v>
      </c>
      <c r="R5362">
        <v>0</v>
      </c>
    </row>
    <row r="5363" spans="1:18" x14ac:dyDescent="0.25">
      <c r="A5363" s="19" t="s">
        <v>7</v>
      </c>
      <c r="B5363" s="19" t="s">
        <v>8</v>
      </c>
      <c r="C5363">
        <v>2</v>
      </c>
      <c r="D5363">
        <v>2</v>
      </c>
      <c r="E5363">
        <v>2</v>
      </c>
      <c r="F5363" s="15">
        <v>46223</v>
      </c>
      <c r="G5363" s="19" t="s">
        <v>650</v>
      </c>
      <c r="H5363">
        <v>4</v>
      </c>
      <c r="I5363">
        <v>2026</v>
      </c>
      <c r="J5363">
        <v>7</v>
      </c>
      <c r="K5363" s="19" t="s">
        <v>282</v>
      </c>
      <c r="L5363" s="19" t="s">
        <v>51</v>
      </c>
      <c r="M5363" s="19" t="s">
        <v>6</v>
      </c>
      <c r="N5363" t="b">
        <v>0</v>
      </c>
      <c r="O5363">
        <v>1</v>
      </c>
      <c r="P5363">
        <v>0</v>
      </c>
      <c r="Q5363">
        <v>0</v>
      </c>
      <c r="R5363">
        <v>0</v>
      </c>
    </row>
    <row r="5364" spans="1:18" x14ac:dyDescent="0.25">
      <c r="A5364" s="19" t="s">
        <v>7</v>
      </c>
      <c r="B5364" s="19" t="s">
        <v>8</v>
      </c>
      <c r="C5364">
        <v>2</v>
      </c>
      <c r="D5364">
        <v>2</v>
      </c>
      <c r="E5364">
        <v>2</v>
      </c>
      <c r="F5364" s="15">
        <v>46223</v>
      </c>
      <c r="G5364" s="19" t="s">
        <v>650</v>
      </c>
      <c r="H5364">
        <v>4</v>
      </c>
      <c r="I5364">
        <v>2026</v>
      </c>
      <c r="J5364">
        <v>7</v>
      </c>
      <c r="K5364" s="19" t="s">
        <v>282</v>
      </c>
      <c r="L5364" s="19" t="s">
        <v>15</v>
      </c>
      <c r="M5364" s="19" t="s">
        <v>6</v>
      </c>
      <c r="N5364" t="b">
        <v>0</v>
      </c>
      <c r="O5364">
        <v>1</v>
      </c>
      <c r="P5364">
        <v>0</v>
      </c>
      <c r="Q5364">
        <v>0</v>
      </c>
      <c r="R5364">
        <v>0</v>
      </c>
    </row>
    <row r="5365" spans="1:18" x14ac:dyDescent="0.25">
      <c r="A5365" s="19" t="s">
        <v>7</v>
      </c>
      <c r="B5365" s="19" t="s">
        <v>8</v>
      </c>
      <c r="C5365">
        <v>2</v>
      </c>
      <c r="D5365">
        <v>2</v>
      </c>
      <c r="E5365">
        <v>2</v>
      </c>
      <c r="F5365" s="15">
        <v>46223</v>
      </c>
      <c r="G5365" s="19" t="s">
        <v>650</v>
      </c>
      <c r="H5365">
        <v>4</v>
      </c>
      <c r="I5365">
        <v>2026</v>
      </c>
      <c r="J5365">
        <v>7</v>
      </c>
      <c r="K5365" s="19" t="s">
        <v>282</v>
      </c>
      <c r="L5365" s="19" t="s">
        <v>14</v>
      </c>
      <c r="M5365" s="19" t="s">
        <v>6</v>
      </c>
      <c r="N5365" t="b">
        <v>0</v>
      </c>
      <c r="O5365">
        <v>1</v>
      </c>
      <c r="P5365">
        <v>0</v>
      </c>
      <c r="Q5365">
        <v>0</v>
      </c>
      <c r="R5365">
        <v>0</v>
      </c>
    </row>
    <row r="5366" spans="1:18" x14ac:dyDescent="0.25">
      <c r="A5366" s="19" t="s">
        <v>15</v>
      </c>
      <c r="B5366" s="19" t="s">
        <v>6</v>
      </c>
      <c r="C5366">
        <v>3</v>
      </c>
      <c r="D5366">
        <v>2</v>
      </c>
      <c r="E5366">
        <v>2</v>
      </c>
      <c r="F5366" s="15">
        <v>46223</v>
      </c>
      <c r="G5366" s="19" t="s">
        <v>650</v>
      </c>
      <c r="H5366">
        <v>4</v>
      </c>
      <c r="I5366">
        <v>2026</v>
      </c>
      <c r="J5366">
        <v>7</v>
      </c>
      <c r="K5366" s="19" t="s">
        <v>282</v>
      </c>
      <c r="L5366" s="19" t="s">
        <v>51</v>
      </c>
      <c r="M5366" s="19" t="s">
        <v>6</v>
      </c>
      <c r="N5366" t="b">
        <v>0</v>
      </c>
      <c r="O5366">
        <v>0</v>
      </c>
      <c r="P5366">
        <v>1</v>
      </c>
      <c r="Q5366">
        <v>0</v>
      </c>
      <c r="R5366">
        <v>0</v>
      </c>
    </row>
    <row r="5367" spans="1:18" x14ac:dyDescent="0.25">
      <c r="A5367" s="19" t="s">
        <v>15</v>
      </c>
      <c r="B5367" s="19" t="s">
        <v>6</v>
      </c>
      <c r="C5367">
        <v>3</v>
      </c>
      <c r="D5367">
        <v>2</v>
      </c>
      <c r="E5367">
        <v>2</v>
      </c>
      <c r="F5367" s="15">
        <v>46223</v>
      </c>
      <c r="G5367" s="19" t="s">
        <v>650</v>
      </c>
      <c r="H5367">
        <v>4</v>
      </c>
      <c r="I5367">
        <v>2026</v>
      </c>
      <c r="J5367">
        <v>7</v>
      </c>
      <c r="K5367" s="19" t="s">
        <v>282</v>
      </c>
      <c r="L5367" s="19" t="s">
        <v>7</v>
      </c>
      <c r="M5367" s="19" t="s">
        <v>8</v>
      </c>
      <c r="N5367" t="b">
        <v>0</v>
      </c>
      <c r="O5367">
        <v>0</v>
      </c>
      <c r="P5367">
        <v>1</v>
      </c>
      <c r="Q5367">
        <v>0</v>
      </c>
      <c r="R5367">
        <v>1</v>
      </c>
    </row>
    <row r="5368" spans="1:18" x14ac:dyDescent="0.25">
      <c r="A5368" s="19" t="s">
        <v>15</v>
      </c>
      <c r="B5368" s="19" t="s">
        <v>6</v>
      </c>
      <c r="C5368">
        <v>3</v>
      </c>
      <c r="D5368">
        <v>2</v>
      </c>
      <c r="E5368">
        <v>2</v>
      </c>
      <c r="F5368" s="15">
        <v>46223</v>
      </c>
      <c r="G5368" s="19" t="s">
        <v>650</v>
      </c>
      <c r="H5368">
        <v>4</v>
      </c>
      <c r="I5368">
        <v>2026</v>
      </c>
      <c r="J5368">
        <v>7</v>
      </c>
      <c r="K5368" s="19" t="s">
        <v>282</v>
      </c>
      <c r="L5368" s="19" t="s">
        <v>14</v>
      </c>
      <c r="M5368" s="19" t="s">
        <v>6</v>
      </c>
      <c r="N5368" t="b">
        <v>0</v>
      </c>
      <c r="O5368">
        <v>0</v>
      </c>
      <c r="P5368">
        <v>1</v>
      </c>
      <c r="Q5368">
        <v>0</v>
      </c>
      <c r="R5368">
        <v>0</v>
      </c>
    </row>
    <row r="5369" spans="1:18" x14ac:dyDescent="0.25">
      <c r="A5369" s="19" t="s">
        <v>14</v>
      </c>
      <c r="B5369" s="19" t="s">
        <v>6</v>
      </c>
      <c r="C5369">
        <v>4</v>
      </c>
      <c r="D5369">
        <v>2</v>
      </c>
      <c r="E5369">
        <v>2</v>
      </c>
      <c r="F5369" s="15">
        <v>46223</v>
      </c>
      <c r="G5369" s="19" t="s">
        <v>650</v>
      </c>
      <c r="H5369">
        <v>4</v>
      </c>
      <c r="I5369">
        <v>2026</v>
      </c>
      <c r="J5369">
        <v>7</v>
      </c>
      <c r="K5369" s="19" t="s">
        <v>282</v>
      </c>
      <c r="L5369" s="19" t="s">
        <v>51</v>
      </c>
      <c r="M5369" s="19" t="s">
        <v>6</v>
      </c>
      <c r="N5369" t="b">
        <v>0</v>
      </c>
      <c r="O5369">
        <v>0</v>
      </c>
      <c r="P5369">
        <v>1</v>
      </c>
      <c r="Q5369">
        <v>0</v>
      </c>
      <c r="R5369">
        <v>0</v>
      </c>
    </row>
    <row r="5370" spans="1:18" x14ac:dyDescent="0.25">
      <c r="A5370" s="19" t="s">
        <v>14</v>
      </c>
      <c r="B5370" s="19" t="s">
        <v>6</v>
      </c>
      <c r="C5370">
        <v>4</v>
      </c>
      <c r="D5370">
        <v>2</v>
      </c>
      <c r="E5370">
        <v>2</v>
      </c>
      <c r="F5370" s="15">
        <v>46223</v>
      </c>
      <c r="G5370" s="19" t="s">
        <v>650</v>
      </c>
      <c r="H5370">
        <v>4</v>
      </c>
      <c r="I5370">
        <v>2026</v>
      </c>
      <c r="J5370">
        <v>7</v>
      </c>
      <c r="K5370" s="19" t="s">
        <v>282</v>
      </c>
      <c r="L5370" s="19" t="s">
        <v>7</v>
      </c>
      <c r="M5370" s="19" t="s">
        <v>8</v>
      </c>
      <c r="N5370" t="b">
        <v>0</v>
      </c>
      <c r="O5370">
        <v>0</v>
      </c>
      <c r="P5370">
        <v>1</v>
      </c>
      <c r="Q5370">
        <v>0</v>
      </c>
      <c r="R5370">
        <v>1</v>
      </c>
    </row>
    <row r="5371" spans="1:18" x14ac:dyDescent="0.25">
      <c r="A5371" s="19" t="s">
        <v>14</v>
      </c>
      <c r="B5371" s="19" t="s">
        <v>6</v>
      </c>
      <c r="C5371">
        <v>4</v>
      </c>
      <c r="D5371">
        <v>2</v>
      </c>
      <c r="E5371">
        <v>2</v>
      </c>
      <c r="F5371" s="15">
        <v>46223</v>
      </c>
      <c r="G5371" s="19" t="s">
        <v>650</v>
      </c>
      <c r="H5371">
        <v>4</v>
      </c>
      <c r="I5371">
        <v>2026</v>
      </c>
      <c r="J5371">
        <v>7</v>
      </c>
      <c r="K5371" s="19" t="s">
        <v>282</v>
      </c>
      <c r="L5371" s="19" t="s">
        <v>15</v>
      </c>
      <c r="M5371" s="19" t="s">
        <v>6</v>
      </c>
      <c r="N5371" t="b">
        <v>0</v>
      </c>
      <c r="O5371">
        <v>0</v>
      </c>
      <c r="P5371">
        <v>1</v>
      </c>
      <c r="Q5371">
        <v>0</v>
      </c>
      <c r="R5371">
        <v>0</v>
      </c>
    </row>
    <row r="5372" spans="1:18" x14ac:dyDescent="0.25">
      <c r="A5372" s="19" t="s">
        <v>325</v>
      </c>
      <c r="B5372" s="19" t="s">
        <v>6</v>
      </c>
      <c r="C5372">
        <v>1</v>
      </c>
      <c r="D5372">
        <v>3</v>
      </c>
      <c r="E5372">
        <v>2</v>
      </c>
      <c r="F5372" s="15">
        <v>46223</v>
      </c>
      <c r="G5372" s="19" t="s">
        <v>651</v>
      </c>
      <c r="H5372">
        <v>4</v>
      </c>
      <c r="I5372">
        <v>2026</v>
      </c>
      <c r="J5372">
        <v>7</v>
      </c>
      <c r="K5372" s="19" t="s">
        <v>282</v>
      </c>
      <c r="L5372" s="19" t="s">
        <v>578</v>
      </c>
      <c r="M5372" s="19" t="s">
        <v>8</v>
      </c>
      <c r="N5372" t="b">
        <v>0</v>
      </c>
      <c r="O5372">
        <v>0</v>
      </c>
      <c r="P5372">
        <v>1</v>
      </c>
      <c r="Q5372">
        <v>0</v>
      </c>
      <c r="R5372">
        <v>1</v>
      </c>
    </row>
    <row r="5373" spans="1:18" x14ac:dyDescent="0.25">
      <c r="A5373" s="19" t="s">
        <v>325</v>
      </c>
      <c r="B5373" s="19" t="s">
        <v>6</v>
      </c>
      <c r="C5373">
        <v>1</v>
      </c>
      <c r="D5373">
        <v>3</v>
      </c>
      <c r="E5373">
        <v>2</v>
      </c>
      <c r="F5373" s="15">
        <v>46223</v>
      </c>
      <c r="G5373" s="19" t="s">
        <v>651</v>
      </c>
      <c r="H5373">
        <v>4</v>
      </c>
      <c r="I5373">
        <v>2026</v>
      </c>
      <c r="J5373">
        <v>7</v>
      </c>
      <c r="K5373" s="19" t="s">
        <v>282</v>
      </c>
      <c r="L5373" s="19" t="s">
        <v>352</v>
      </c>
      <c r="M5373" s="19" t="s">
        <v>6</v>
      </c>
      <c r="N5373" t="b">
        <v>0</v>
      </c>
      <c r="O5373">
        <v>0</v>
      </c>
      <c r="P5373">
        <v>1</v>
      </c>
      <c r="Q5373">
        <v>0</v>
      </c>
      <c r="R5373">
        <v>0</v>
      </c>
    </row>
    <row r="5374" spans="1:18" x14ac:dyDescent="0.25">
      <c r="A5374" s="19" t="s">
        <v>325</v>
      </c>
      <c r="B5374" s="19" t="s">
        <v>6</v>
      </c>
      <c r="C5374">
        <v>1</v>
      </c>
      <c r="D5374">
        <v>3</v>
      </c>
      <c r="E5374">
        <v>2</v>
      </c>
      <c r="F5374" s="15">
        <v>46223</v>
      </c>
      <c r="G5374" s="19" t="s">
        <v>651</v>
      </c>
      <c r="H5374">
        <v>4</v>
      </c>
      <c r="I5374">
        <v>2026</v>
      </c>
      <c r="J5374">
        <v>7</v>
      </c>
      <c r="K5374" s="19" t="s">
        <v>282</v>
      </c>
      <c r="L5374" s="19" t="s">
        <v>27</v>
      </c>
      <c r="M5374" s="19" t="s">
        <v>6</v>
      </c>
      <c r="N5374" t="b">
        <v>0</v>
      </c>
      <c r="O5374">
        <v>0</v>
      </c>
      <c r="P5374">
        <v>1</v>
      </c>
      <c r="Q5374">
        <v>0</v>
      </c>
      <c r="R5374">
        <v>0</v>
      </c>
    </row>
    <row r="5375" spans="1:18" x14ac:dyDescent="0.25">
      <c r="A5375" s="19" t="s">
        <v>578</v>
      </c>
      <c r="B5375" s="19" t="s">
        <v>8</v>
      </c>
      <c r="C5375">
        <v>2</v>
      </c>
      <c r="D5375">
        <v>3</v>
      </c>
      <c r="E5375">
        <v>2</v>
      </c>
      <c r="F5375" s="15">
        <v>46223</v>
      </c>
      <c r="G5375" s="19" t="s">
        <v>651</v>
      </c>
      <c r="H5375">
        <v>4</v>
      </c>
      <c r="I5375">
        <v>2026</v>
      </c>
      <c r="J5375">
        <v>7</v>
      </c>
      <c r="K5375" s="19" t="s">
        <v>282</v>
      </c>
      <c r="L5375" s="19" t="s">
        <v>325</v>
      </c>
      <c r="M5375" s="19" t="s">
        <v>6</v>
      </c>
      <c r="N5375" t="b">
        <v>0</v>
      </c>
      <c r="O5375">
        <v>1</v>
      </c>
      <c r="P5375">
        <v>0</v>
      </c>
      <c r="Q5375">
        <v>0</v>
      </c>
      <c r="R5375">
        <v>0</v>
      </c>
    </row>
    <row r="5376" spans="1:18" x14ac:dyDescent="0.25">
      <c r="A5376" s="19" t="s">
        <v>578</v>
      </c>
      <c r="B5376" s="19" t="s">
        <v>8</v>
      </c>
      <c r="C5376">
        <v>2</v>
      </c>
      <c r="D5376">
        <v>3</v>
      </c>
      <c r="E5376">
        <v>2</v>
      </c>
      <c r="F5376" s="15">
        <v>46223</v>
      </c>
      <c r="G5376" s="19" t="s">
        <v>651</v>
      </c>
      <c r="H5376">
        <v>4</v>
      </c>
      <c r="I5376">
        <v>2026</v>
      </c>
      <c r="J5376">
        <v>7</v>
      </c>
      <c r="K5376" s="19" t="s">
        <v>282</v>
      </c>
      <c r="L5376" s="19" t="s">
        <v>352</v>
      </c>
      <c r="M5376" s="19" t="s">
        <v>6</v>
      </c>
      <c r="N5376" t="b">
        <v>0</v>
      </c>
      <c r="O5376">
        <v>1</v>
      </c>
      <c r="P5376">
        <v>0</v>
      </c>
      <c r="Q5376">
        <v>0</v>
      </c>
      <c r="R5376">
        <v>0</v>
      </c>
    </row>
    <row r="5377" spans="1:18" x14ac:dyDescent="0.25">
      <c r="A5377" s="19" t="s">
        <v>578</v>
      </c>
      <c r="B5377" s="19" t="s">
        <v>8</v>
      </c>
      <c r="C5377">
        <v>2</v>
      </c>
      <c r="D5377">
        <v>3</v>
      </c>
      <c r="E5377">
        <v>2</v>
      </c>
      <c r="F5377" s="15">
        <v>46223</v>
      </c>
      <c r="G5377" s="19" t="s">
        <v>651</v>
      </c>
      <c r="H5377">
        <v>4</v>
      </c>
      <c r="I5377">
        <v>2026</v>
      </c>
      <c r="J5377">
        <v>7</v>
      </c>
      <c r="K5377" s="19" t="s">
        <v>282</v>
      </c>
      <c r="L5377" s="19" t="s">
        <v>27</v>
      </c>
      <c r="M5377" s="19" t="s">
        <v>6</v>
      </c>
      <c r="N5377" t="b">
        <v>0</v>
      </c>
      <c r="O5377">
        <v>1</v>
      </c>
      <c r="P5377">
        <v>0</v>
      </c>
      <c r="Q5377">
        <v>0</v>
      </c>
      <c r="R5377">
        <v>0</v>
      </c>
    </row>
    <row r="5378" spans="1:18" x14ac:dyDescent="0.25">
      <c r="A5378" s="19" t="s">
        <v>352</v>
      </c>
      <c r="B5378" s="19" t="s">
        <v>6</v>
      </c>
      <c r="C5378">
        <v>3</v>
      </c>
      <c r="D5378">
        <v>3</v>
      </c>
      <c r="E5378">
        <v>2</v>
      </c>
      <c r="F5378" s="15">
        <v>46223</v>
      </c>
      <c r="G5378" s="19" t="s">
        <v>651</v>
      </c>
      <c r="H5378">
        <v>4</v>
      </c>
      <c r="I5378">
        <v>2026</v>
      </c>
      <c r="J5378">
        <v>7</v>
      </c>
      <c r="K5378" s="19" t="s">
        <v>282</v>
      </c>
      <c r="L5378" s="19" t="s">
        <v>325</v>
      </c>
      <c r="M5378" s="19" t="s">
        <v>6</v>
      </c>
      <c r="N5378" t="b">
        <v>0</v>
      </c>
      <c r="O5378">
        <v>0</v>
      </c>
      <c r="P5378">
        <v>1</v>
      </c>
      <c r="Q5378">
        <v>0</v>
      </c>
      <c r="R5378">
        <v>0</v>
      </c>
    </row>
    <row r="5379" spans="1:18" x14ac:dyDescent="0.25">
      <c r="A5379" s="19" t="s">
        <v>352</v>
      </c>
      <c r="B5379" s="19" t="s">
        <v>6</v>
      </c>
      <c r="C5379">
        <v>3</v>
      </c>
      <c r="D5379">
        <v>3</v>
      </c>
      <c r="E5379">
        <v>2</v>
      </c>
      <c r="F5379" s="15">
        <v>46223</v>
      </c>
      <c r="G5379" s="19" t="s">
        <v>651</v>
      </c>
      <c r="H5379">
        <v>4</v>
      </c>
      <c r="I5379">
        <v>2026</v>
      </c>
      <c r="J5379">
        <v>7</v>
      </c>
      <c r="K5379" s="19" t="s">
        <v>282</v>
      </c>
      <c r="L5379" s="19" t="s">
        <v>578</v>
      </c>
      <c r="M5379" s="19" t="s">
        <v>8</v>
      </c>
      <c r="N5379" t="b">
        <v>0</v>
      </c>
      <c r="O5379">
        <v>0</v>
      </c>
      <c r="P5379">
        <v>1</v>
      </c>
      <c r="Q5379">
        <v>0</v>
      </c>
      <c r="R5379">
        <v>1</v>
      </c>
    </row>
    <row r="5380" spans="1:18" x14ac:dyDescent="0.25">
      <c r="A5380" s="19" t="s">
        <v>352</v>
      </c>
      <c r="B5380" s="19" t="s">
        <v>6</v>
      </c>
      <c r="C5380">
        <v>3</v>
      </c>
      <c r="D5380">
        <v>3</v>
      </c>
      <c r="E5380">
        <v>2</v>
      </c>
      <c r="F5380" s="15">
        <v>46223</v>
      </c>
      <c r="G5380" s="19" t="s">
        <v>651</v>
      </c>
      <c r="H5380">
        <v>4</v>
      </c>
      <c r="I5380">
        <v>2026</v>
      </c>
      <c r="J5380">
        <v>7</v>
      </c>
      <c r="K5380" s="19" t="s">
        <v>282</v>
      </c>
      <c r="L5380" s="19" t="s">
        <v>27</v>
      </c>
      <c r="M5380" s="19" t="s">
        <v>6</v>
      </c>
      <c r="N5380" t="b">
        <v>0</v>
      </c>
      <c r="O5380">
        <v>0</v>
      </c>
      <c r="P5380">
        <v>1</v>
      </c>
      <c r="Q5380">
        <v>0</v>
      </c>
      <c r="R5380">
        <v>0</v>
      </c>
    </row>
    <row r="5381" spans="1:18" x14ac:dyDescent="0.25">
      <c r="A5381" s="19" t="s">
        <v>27</v>
      </c>
      <c r="B5381" s="19" t="s">
        <v>6</v>
      </c>
      <c r="C5381">
        <v>4</v>
      </c>
      <c r="D5381">
        <v>3</v>
      </c>
      <c r="E5381">
        <v>2</v>
      </c>
      <c r="F5381" s="15">
        <v>46223</v>
      </c>
      <c r="G5381" s="19" t="s">
        <v>651</v>
      </c>
      <c r="H5381">
        <v>4</v>
      </c>
      <c r="I5381">
        <v>2026</v>
      </c>
      <c r="J5381">
        <v>7</v>
      </c>
      <c r="K5381" s="19" t="s">
        <v>282</v>
      </c>
      <c r="L5381" s="19" t="s">
        <v>325</v>
      </c>
      <c r="M5381" s="19" t="s">
        <v>6</v>
      </c>
      <c r="N5381" t="b">
        <v>0</v>
      </c>
      <c r="O5381">
        <v>0</v>
      </c>
      <c r="P5381">
        <v>1</v>
      </c>
      <c r="Q5381">
        <v>0</v>
      </c>
      <c r="R5381">
        <v>0</v>
      </c>
    </row>
    <row r="5382" spans="1:18" x14ac:dyDescent="0.25">
      <c r="A5382" s="19" t="s">
        <v>27</v>
      </c>
      <c r="B5382" s="19" t="s">
        <v>6</v>
      </c>
      <c r="C5382">
        <v>4</v>
      </c>
      <c r="D5382">
        <v>3</v>
      </c>
      <c r="E5382">
        <v>2</v>
      </c>
      <c r="F5382" s="15">
        <v>46223</v>
      </c>
      <c r="G5382" s="19" t="s">
        <v>651</v>
      </c>
      <c r="H5382">
        <v>4</v>
      </c>
      <c r="I5382">
        <v>2026</v>
      </c>
      <c r="J5382">
        <v>7</v>
      </c>
      <c r="K5382" s="19" t="s">
        <v>282</v>
      </c>
      <c r="L5382" s="19" t="s">
        <v>578</v>
      </c>
      <c r="M5382" s="19" t="s">
        <v>8</v>
      </c>
      <c r="N5382" t="b">
        <v>0</v>
      </c>
      <c r="O5382">
        <v>0</v>
      </c>
      <c r="P5382">
        <v>1</v>
      </c>
      <c r="Q5382">
        <v>0</v>
      </c>
      <c r="R5382">
        <v>1</v>
      </c>
    </row>
    <row r="5383" spans="1:18" x14ac:dyDescent="0.25">
      <c r="A5383" s="19" t="s">
        <v>27</v>
      </c>
      <c r="B5383" s="19" t="s">
        <v>6</v>
      </c>
      <c r="C5383">
        <v>4</v>
      </c>
      <c r="D5383">
        <v>3</v>
      </c>
      <c r="E5383">
        <v>2</v>
      </c>
      <c r="F5383" s="15">
        <v>46223</v>
      </c>
      <c r="G5383" s="19" t="s">
        <v>651</v>
      </c>
      <c r="H5383">
        <v>4</v>
      </c>
      <c r="I5383">
        <v>2026</v>
      </c>
      <c r="J5383">
        <v>7</v>
      </c>
      <c r="K5383" s="19" t="s">
        <v>282</v>
      </c>
      <c r="L5383" s="19" t="s">
        <v>352</v>
      </c>
      <c r="M5383" s="19" t="s">
        <v>6</v>
      </c>
      <c r="N5383" t="b">
        <v>0</v>
      </c>
      <c r="O5383">
        <v>0</v>
      </c>
      <c r="P5383">
        <v>1</v>
      </c>
      <c r="Q5383">
        <v>0</v>
      </c>
      <c r="R5383">
        <v>0</v>
      </c>
    </row>
    <row r="5384" spans="1:18" x14ac:dyDescent="0.25">
      <c r="A5384" s="19" t="s">
        <v>13</v>
      </c>
      <c r="B5384" s="19" t="s">
        <v>6</v>
      </c>
      <c r="C5384">
        <v>1</v>
      </c>
      <c r="D5384">
        <v>4</v>
      </c>
      <c r="E5384">
        <v>2</v>
      </c>
      <c r="F5384" s="15">
        <v>46223</v>
      </c>
      <c r="G5384" s="19" t="s">
        <v>652</v>
      </c>
      <c r="H5384">
        <v>3</v>
      </c>
      <c r="I5384">
        <v>2026</v>
      </c>
      <c r="J5384">
        <v>7</v>
      </c>
      <c r="K5384" s="19" t="s">
        <v>282</v>
      </c>
      <c r="L5384" s="19" t="s">
        <v>41</v>
      </c>
      <c r="M5384" s="19" t="s">
        <v>8</v>
      </c>
      <c r="N5384" t="b">
        <v>0</v>
      </c>
      <c r="O5384">
        <v>0</v>
      </c>
      <c r="P5384">
        <v>1</v>
      </c>
      <c r="Q5384">
        <v>0</v>
      </c>
      <c r="R5384">
        <v>1</v>
      </c>
    </row>
    <row r="5385" spans="1:18" x14ac:dyDescent="0.25">
      <c r="A5385" s="19" t="s">
        <v>13</v>
      </c>
      <c r="B5385" s="19" t="s">
        <v>6</v>
      </c>
      <c r="C5385">
        <v>1</v>
      </c>
      <c r="D5385">
        <v>4</v>
      </c>
      <c r="E5385">
        <v>2</v>
      </c>
      <c r="F5385" s="15">
        <v>46223</v>
      </c>
      <c r="G5385" s="19" t="s">
        <v>652</v>
      </c>
      <c r="H5385">
        <v>3</v>
      </c>
      <c r="I5385">
        <v>2026</v>
      </c>
      <c r="J5385">
        <v>7</v>
      </c>
      <c r="K5385" s="19" t="s">
        <v>282</v>
      </c>
      <c r="L5385" s="19" t="s">
        <v>10</v>
      </c>
      <c r="M5385" s="19" t="s">
        <v>6</v>
      </c>
      <c r="N5385" t="b">
        <v>0</v>
      </c>
      <c r="O5385">
        <v>0</v>
      </c>
      <c r="P5385">
        <v>1</v>
      </c>
      <c r="Q5385">
        <v>0</v>
      </c>
      <c r="R5385">
        <v>0</v>
      </c>
    </row>
    <row r="5386" spans="1:18" x14ac:dyDescent="0.25">
      <c r="A5386" s="19" t="s">
        <v>41</v>
      </c>
      <c r="B5386" s="19" t="s">
        <v>8</v>
      </c>
      <c r="C5386">
        <v>2</v>
      </c>
      <c r="D5386">
        <v>4</v>
      </c>
      <c r="E5386">
        <v>2</v>
      </c>
      <c r="F5386" s="15">
        <v>46223</v>
      </c>
      <c r="G5386" s="19" t="s">
        <v>652</v>
      </c>
      <c r="H5386">
        <v>3</v>
      </c>
      <c r="I5386">
        <v>2026</v>
      </c>
      <c r="J5386">
        <v>7</v>
      </c>
      <c r="K5386" s="19" t="s">
        <v>282</v>
      </c>
      <c r="L5386" s="19" t="s">
        <v>13</v>
      </c>
      <c r="M5386" s="19" t="s">
        <v>6</v>
      </c>
      <c r="N5386" t="b">
        <v>0</v>
      </c>
      <c r="O5386">
        <v>1</v>
      </c>
      <c r="P5386">
        <v>0</v>
      </c>
      <c r="Q5386">
        <v>0</v>
      </c>
      <c r="R5386">
        <v>0</v>
      </c>
    </row>
    <row r="5387" spans="1:18" x14ac:dyDescent="0.25">
      <c r="A5387" s="19" t="s">
        <v>41</v>
      </c>
      <c r="B5387" s="19" t="s">
        <v>8</v>
      </c>
      <c r="C5387">
        <v>2</v>
      </c>
      <c r="D5387">
        <v>4</v>
      </c>
      <c r="E5387">
        <v>2</v>
      </c>
      <c r="F5387" s="15">
        <v>46223</v>
      </c>
      <c r="G5387" s="19" t="s">
        <v>652</v>
      </c>
      <c r="H5387">
        <v>3</v>
      </c>
      <c r="I5387">
        <v>2026</v>
      </c>
      <c r="J5387">
        <v>7</v>
      </c>
      <c r="K5387" s="19" t="s">
        <v>282</v>
      </c>
      <c r="L5387" s="19" t="s">
        <v>10</v>
      </c>
      <c r="M5387" s="19" t="s">
        <v>6</v>
      </c>
      <c r="N5387" t="b">
        <v>0</v>
      </c>
      <c r="O5387">
        <v>1</v>
      </c>
      <c r="P5387">
        <v>0</v>
      </c>
      <c r="Q5387">
        <v>0</v>
      </c>
      <c r="R5387">
        <v>0</v>
      </c>
    </row>
    <row r="5388" spans="1:18" x14ac:dyDescent="0.25">
      <c r="A5388" s="19" t="s">
        <v>10</v>
      </c>
      <c r="B5388" s="19" t="s">
        <v>6</v>
      </c>
      <c r="C5388">
        <v>3</v>
      </c>
      <c r="D5388">
        <v>4</v>
      </c>
      <c r="E5388">
        <v>2</v>
      </c>
      <c r="F5388" s="15">
        <v>46223</v>
      </c>
      <c r="G5388" s="19" t="s">
        <v>652</v>
      </c>
      <c r="H5388">
        <v>3</v>
      </c>
      <c r="I5388">
        <v>2026</v>
      </c>
      <c r="J5388">
        <v>7</v>
      </c>
      <c r="K5388" s="19" t="s">
        <v>282</v>
      </c>
      <c r="L5388" s="19" t="s">
        <v>13</v>
      </c>
      <c r="M5388" s="19" t="s">
        <v>6</v>
      </c>
      <c r="N5388" t="b">
        <v>0</v>
      </c>
      <c r="O5388">
        <v>0</v>
      </c>
      <c r="P5388">
        <v>1</v>
      </c>
      <c r="Q5388">
        <v>0</v>
      </c>
      <c r="R5388">
        <v>0</v>
      </c>
    </row>
    <row r="5389" spans="1:18" x14ac:dyDescent="0.25">
      <c r="A5389" s="19" t="s">
        <v>10</v>
      </c>
      <c r="B5389" s="19" t="s">
        <v>6</v>
      </c>
      <c r="C5389">
        <v>3</v>
      </c>
      <c r="D5389">
        <v>4</v>
      </c>
      <c r="E5389">
        <v>2</v>
      </c>
      <c r="F5389" s="15">
        <v>46223</v>
      </c>
      <c r="G5389" s="19" t="s">
        <v>652</v>
      </c>
      <c r="H5389">
        <v>3</v>
      </c>
      <c r="I5389">
        <v>2026</v>
      </c>
      <c r="J5389">
        <v>7</v>
      </c>
      <c r="K5389" s="19" t="s">
        <v>282</v>
      </c>
      <c r="L5389" s="19" t="s">
        <v>41</v>
      </c>
      <c r="M5389" s="19" t="s">
        <v>8</v>
      </c>
      <c r="N5389" t="b">
        <v>0</v>
      </c>
      <c r="O5389">
        <v>0</v>
      </c>
      <c r="P5389">
        <v>1</v>
      </c>
      <c r="Q5389">
        <v>0</v>
      </c>
      <c r="R5389">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2026-07-21T14:41:39Z</dcterms:modified>
</cp:coreProperties>
</file>