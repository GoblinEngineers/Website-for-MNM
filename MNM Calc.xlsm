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430532FF-1215-4281-82E6-A7005FA46477}"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Matchups!$A$1:$R$5485</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12" i="1" l="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3" i="2"/>
  <c r="H13" i="2"/>
  <c r="I13" i="2"/>
  <c r="K13" i="2"/>
  <c r="L13" i="2"/>
  <c r="M13" i="2"/>
  <c r="G103" i="2"/>
  <c r="H103" i="2"/>
  <c r="I103" i="2"/>
  <c r="K103" i="2"/>
  <c r="L103" i="2"/>
  <c r="M103" i="2"/>
  <c r="G102" i="2"/>
  <c r="H102" i="2"/>
  <c r="I102" i="2"/>
  <c r="K102" i="2"/>
  <c r="L102" i="2"/>
  <c r="M102" i="2"/>
  <c r="G101" i="2"/>
  <c r="H101" i="2"/>
  <c r="I101" i="2"/>
  <c r="K101" i="2"/>
  <c r="L101" i="2"/>
  <c r="M101" i="2"/>
  <c r="G100" i="2"/>
  <c r="H100" i="2"/>
  <c r="I100" i="2"/>
  <c r="K100" i="2"/>
  <c r="L100" i="2"/>
  <c r="M100" i="2"/>
  <c r="G98" i="2"/>
  <c r="H98" i="2"/>
  <c r="I98" i="2"/>
  <c r="K98" i="2"/>
  <c r="L98" i="2"/>
  <c r="M98" i="2"/>
  <c r="G18" i="2"/>
  <c r="H18" i="2"/>
  <c r="I18" i="2"/>
  <c r="K18" i="2"/>
  <c r="L18" i="2"/>
  <c r="M18" i="2"/>
  <c r="G44" i="2"/>
  <c r="H44" i="2"/>
  <c r="I44" i="2"/>
  <c r="K44" i="2"/>
  <c r="L44" i="2"/>
  <c r="M44"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82" i="2"/>
  <c r="H82" i="2"/>
  <c r="I82" i="2"/>
  <c r="K82" i="2"/>
  <c r="L82" i="2"/>
  <c r="M82" i="2"/>
  <c r="G56" i="2"/>
  <c r="H56" i="2"/>
  <c r="I56" i="2"/>
  <c r="K56" i="2"/>
  <c r="L56" i="2"/>
  <c r="M56" i="2"/>
  <c r="G20" i="2"/>
  <c r="H20" i="2"/>
  <c r="I20" i="2"/>
  <c r="K20" i="2"/>
  <c r="L20" i="2"/>
  <c r="M20" i="2"/>
  <c r="G94" i="2"/>
  <c r="H94" i="2"/>
  <c r="I94" i="2"/>
  <c r="K94" i="2"/>
  <c r="L94" i="2"/>
  <c r="M94" i="2"/>
  <c r="G91" i="2"/>
  <c r="H91" i="2"/>
  <c r="I91" i="2"/>
  <c r="K91" i="2"/>
  <c r="L91" i="2"/>
  <c r="M91"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7" i="2"/>
  <c r="H97" i="2"/>
  <c r="I97" i="2"/>
  <c r="K97" i="2"/>
  <c r="L97" i="2"/>
  <c r="M97"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6" i="14"/>
  <c r="G90" i="2"/>
  <c r="H90" i="2"/>
  <c r="I90" i="2"/>
  <c r="K90" i="2"/>
  <c r="L90" i="2"/>
  <c r="M90"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3" i="2"/>
  <c r="H93" i="2"/>
  <c r="I93" i="2"/>
  <c r="K93" i="2"/>
  <c r="L93" i="2"/>
  <c r="M93"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43" i="2"/>
  <c r="L10" i="2"/>
  <c r="L65" i="2"/>
  <c r="G62" i="2"/>
  <c r="M54" i="2"/>
  <c r="M68" i="2"/>
  <c r="M71" i="2"/>
  <c r="I67" i="2"/>
  <c r="M99" i="2"/>
  <c r="K69" i="2"/>
  <c r="M5" i="2"/>
  <c r="G99" i="2"/>
  <c r="K62" i="2"/>
  <c r="K42" i="2"/>
  <c r="M79" i="2"/>
  <c r="H70" i="2"/>
  <c r="I31" i="2"/>
  <c r="I6" i="2"/>
  <c r="H38" i="2"/>
  <c r="M77" i="2"/>
  <c r="H6" i="2"/>
  <c r="M7" i="2"/>
  <c r="M95" i="2"/>
  <c r="M6" i="2"/>
  <c r="H58" i="2"/>
  <c r="G75" i="2"/>
  <c r="L54" i="2"/>
  <c r="K65" i="2"/>
  <c r="G72" i="2"/>
  <c r="K79" i="2"/>
  <c r="G38" i="2"/>
  <c r="L83" i="2"/>
  <c r="K23" i="2"/>
  <c r="H60" i="2"/>
  <c r="I43" i="2"/>
  <c r="M92"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45" i="2"/>
  <c r="I7" i="2"/>
  <c r="I65" i="2"/>
  <c r="L37" i="2"/>
  <c r="M37" i="2"/>
  <c r="M70" i="2"/>
  <c r="G68" i="2"/>
  <c r="G60" i="2"/>
  <c r="L7" i="2"/>
  <c r="L63" i="2"/>
  <c r="M63" i="2"/>
  <c r="H15" i="2"/>
  <c r="H31" i="2"/>
  <c r="M40" i="2"/>
  <c r="M62" i="2"/>
  <c r="G67" i="2"/>
  <c r="H64" i="2"/>
  <c r="L71" i="2"/>
  <c r="H55" i="2"/>
  <c r="L50" i="2"/>
  <c r="H74" i="2"/>
  <c r="K63" i="2"/>
  <c r="G73" i="2"/>
  <c r="K67" i="2"/>
  <c r="G74" i="2"/>
  <c r="K43" i="2"/>
  <c r="I64" i="2"/>
  <c r="L31" i="2"/>
  <c r="H92" i="2"/>
  <c r="H40" i="2"/>
  <c r="L69" i="2"/>
  <c r="M65" i="2"/>
  <c r="H42" i="2"/>
  <c r="G63" i="2"/>
  <c r="H7" i="2"/>
  <c r="G65" i="2"/>
  <c r="K77" i="2"/>
  <c r="I76" i="2"/>
  <c r="I59" i="2"/>
  <c r="M31" i="2"/>
  <c r="H62" i="2"/>
  <c r="M72" i="2"/>
  <c r="I45" i="2"/>
  <c r="I57" i="2"/>
  <c r="H79" i="2"/>
  <c r="G69" i="2"/>
  <c r="I95" i="2"/>
  <c r="H67" i="2"/>
  <c r="I60" i="2"/>
  <c r="M67" i="2"/>
  <c r="H37" i="2"/>
  <c r="L15" i="2"/>
  <c r="L53" i="2"/>
  <c r="G95" i="2"/>
  <c r="L14" i="2"/>
  <c r="I75" i="2"/>
  <c r="G53" i="2"/>
  <c r="G76" i="2"/>
  <c r="L6" i="2"/>
  <c r="L48" i="2"/>
  <c r="H5" i="2"/>
  <c r="I79" i="2"/>
  <c r="L38" i="2"/>
  <c r="G58" i="2"/>
  <c r="G45" i="2"/>
  <c r="M43" i="2"/>
  <c r="K45" i="2"/>
  <c r="I99" i="2"/>
  <c r="M74" i="2"/>
  <c r="G6" i="2"/>
  <c r="K73" i="2"/>
  <c r="I69" i="2"/>
  <c r="M50" i="2"/>
  <c r="G14" i="2"/>
  <c r="I77" i="2"/>
  <c r="K71" i="2"/>
  <c r="L78" i="2"/>
  <c r="M55" i="2"/>
  <c r="H50" i="2"/>
  <c r="H99" i="2"/>
  <c r="G71" i="2"/>
  <c r="I70" i="2"/>
  <c r="M10" i="2"/>
  <c r="I83" i="2"/>
  <c r="K6" i="2"/>
  <c r="G70" i="2"/>
  <c r="I52" i="2"/>
  <c r="G7" i="2"/>
  <c r="H53" i="2"/>
  <c r="H73" i="2"/>
  <c r="L45" i="2"/>
  <c r="M78" i="2"/>
  <c r="M23" i="2"/>
  <c r="L62" i="2"/>
  <c r="L68" i="2"/>
  <c r="K55" i="2"/>
  <c r="M83" i="2"/>
  <c r="L64" i="2"/>
  <c r="G10" i="2"/>
  <c r="M42" i="2"/>
  <c r="L72" i="2"/>
  <c r="L67" i="2"/>
  <c r="I62" i="2"/>
  <c r="K52" i="2"/>
  <c r="G92" i="2"/>
  <c r="G83" i="2"/>
  <c r="G15" i="2"/>
  <c r="M14" i="2"/>
  <c r="M61" i="2"/>
  <c r="G57" i="2"/>
  <c r="L92" i="2"/>
  <c r="K61" i="2"/>
  <c r="G54" i="2"/>
  <c r="L59" i="2"/>
  <c r="K40" i="2"/>
  <c r="L57" i="2"/>
  <c r="I10" i="2"/>
  <c r="G78" i="2"/>
  <c r="K74" i="2"/>
  <c r="K54" i="2"/>
  <c r="G40" i="2"/>
  <c r="L52" i="2"/>
  <c r="H75" i="2"/>
  <c r="M60" i="2"/>
  <c r="I55" i="2"/>
  <c r="G43" i="2"/>
  <c r="I68" i="2"/>
  <c r="L75" i="2"/>
  <c r="K10" i="2"/>
  <c r="K92" i="2"/>
  <c r="H14" i="2"/>
  <c r="M48" i="2"/>
  <c r="M69" i="2"/>
  <c r="G23" i="2"/>
  <c r="K38" i="2"/>
  <c r="K14" i="2"/>
  <c r="H54" i="2"/>
  <c r="M45" i="2"/>
  <c r="L40" i="2"/>
  <c r="I53" i="2"/>
  <c r="I48" i="2"/>
  <c r="K57" i="2"/>
  <c r="G55" i="2"/>
  <c r="M38" i="2"/>
  <c r="L95" i="2"/>
  <c r="H65" i="2"/>
  <c r="I92" i="2"/>
  <c r="G79" i="2"/>
  <c r="I74" i="2"/>
  <c r="L73" i="2"/>
  <c r="K50" i="2"/>
  <c r="H71" i="2"/>
  <c r="L61" i="2"/>
  <c r="G5" i="2"/>
  <c r="K5" i="2"/>
  <c r="M57" i="2"/>
  <c r="G31" i="2"/>
  <c r="L70" i="2"/>
  <c r="G64" i="2"/>
  <c r="G37" i="2"/>
  <c r="M64" i="2"/>
  <c r="K95" i="2"/>
  <c r="M59" i="2"/>
  <c r="K37" i="2"/>
  <c r="I40" i="2"/>
  <c r="L42" i="2"/>
  <c r="H10" i="2"/>
  <c r="H63" i="2"/>
  <c r="I23" i="2"/>
  <c r="H43" i="2"/>
  <c r="M58" i="2"/>
  <c r="I14" i="2"/>
  <c r="K75" i="2"/>
  <c r="K15" i="2"/>
  <c r="K70" i="2"/>
  <c r="L5" i="2"/>
  <c r="H95" i="2"/>
  <c r="K83" i="2"/>
  <c r="M52" i="2"/>
  <c r="G59" i="2"/>
  <c r="H61" i="2"/>
  <c r="H69" i="2"/>
  <c r="K60" i="2"/>
  <c r="H83" i="2"/>
  <c r="I38" i="2"/>
  <c r="H78" i="2"/>
  <c r="L99" i="2"/>
  <c r="I58" i="2"/>
  <c r="H23" i="2"/>
  <c r="I15" i="2"/>
  <c r="I72" i="2"/>
  <c r="G42" i="2"/>
  <c r="K99" i="2"/>
  <c r="K58" i="2"/>
  <c r="K59" i="2"/>
  <c r="M75" i="2"/>
  <c r="K72" i="2"/>
  <c r="K48" i="2"/>
  <c r="K53" i="2"/>
  <c r="K31" i="2"/>
  <c r="M53" i="2"/>
  <c r="K68" i="2"/>
  <c r="G52" i="2"/>
  <c r="K76" i="2"/>
  <c r="I42" i="2"/>
  <c r="J104" i="2" l="1"/>
  <c r="N104" i="2"/>
  <c r="O104" i="2"/>
  <c r="J13" i="2"/>
  <c r="N13" i="2"/>
  <c r="O13" i="2"/>
  <c r="J103" i="2"/>
  <c r="N103" i="2"/>
  <c r="O103" i="2" s="1"/>
  <c r="J102" i="2"/>
  <c r="N102" i="2"/>
  <c r="O102" i="2" s="1"/>
  <c r="J101" i="2"/>
  <c r="N101" i="2"/>
  <c r="O101" i="2" s="1"/>
  <c r="J100" i="2"/>
  <c r="N100" i="2"/>
  <c r="O100" i="2" s="1"/>
  <c r="J98" i="2"/>
  <c r="N98" i="2"/>
  <c r="O98" i="2" s="1"/>
  <c r="J18" i="2"/>
  <c r="N18" i="2"/>
  <c r="O18" i="2" s="1"/>
  <c r="H55" i="14"/>
  <c r="J44" i="2"/>
  <c r="N44" i="2"/>
  <c r="O44" i="2" s="1"/>
  <c r="J82" i="2"/>
  <c r="N82" i="2"/>
  <c r="O82" i="2" s="1"/>
  <c r="J56" i="2"/>
  <c r="N56" i="2"/>
  <c r="O56" i="2" s="1"/>
  <c r="J20" i="2"/>
  <c r="N20" i="2"/>
  <c r="O20" i="2" s="1"/>
  <c r="J94" i="2"/>
  <c r="N94" i="2"/>
  <c r="O94" i="2" s="1"/>
  <c r="J91" i="2"/>
  <c r="N91" i="2"/>
  <c r="O91" i="2" s="1"/>
  <c r="G55" i="14"/>
  <c r="J80" i="2"/>
  <c r="F80" i="2" s="1"/>
  <c r="N80" i="2"/>
  <c r="O80" i="2" s="1"/>
  <c r="J51" i="2"/>
  <c r="F51" i="2" s="1"/>
  <c r="N51" i="2"/>
  <c r="J85" i="2"/>
  <c r="F85" i="2" s="1"/>
  <c r="N85" i="2"/>
  <c r="J84" i="2"/>
  <c r="F84" i="2" s="1"/>
  <c r="N84" i="2"/>
  <c r="O84" i="2" s="1"/>
  <c r="J97" i="2"/>
  <c r="F97" i="2" s="1"/>
  <c r="N97" i="2"/>
  <c r="H53" i="14"/>
  <c r="J90" i="2"/>
  <c r="F90" i="2" s="1"/>
  <c r="N90" i="2"/>
  <c r="J89" i="2"/>
  <c r="N89" i="2"/>
  <c r="O89" i="2" s="1"/>
  <c r="J88" i="2"/>
  <c r="N88" i="2"/>
  <c r="J87" i="2"/>
  <c r="N87" i="2"/>
  <c r="J86" i="2"/>
  <c r="N86" i="2"/>
  <c r="J49" i="2"/>
  <c r="N49" i="2"/>
  <c r="O49" i="2" s="1"/>
  <c r="J47" i="2"/>
  <c r="N47" i="2"/>
  <c r="O47" i="2" s="1"/>
  <c r="J93" i="2"/>
  <c r="N93" i="2"/>
  <c r="J81" i="2"/>
  <c r="N81" i="2"/>
  <c r="O81" i="2" s="1"/>
  <c r="N45" i="2"/>
  <c r="O45" i="2" s="1"/>
  <c r="J45" i="2"/>
  <c r="F45" i="2" s="1"/>
  <c r="H52" i="14"/>
  <c r="N31" i="2"/>
  <c r="O31" i="2" s="1"/>
  <c r="J31" i="2"/>
  <c r="F31" i="2" s="1"/>
  <c r="N10" i="2"/>
  <c r="O10" i="2" s="1"/>
  <c r="J10" i="2"/>
  <c r="F1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14" i="2"/>
  <c r="O14" i="2" s="1"/>
  <c r="J14" i="2"/>
  <c r="F14" i="2" s="1"/>
  <c r="N62" i="2"/>
  <c r="O62" i="2" s="1"/>
  <c r="J62" i="2"/>
  <c r="F62" i="2" s="1"/>
  <c r="N61" i="2"/>
  <c r="O61" i="2" s="1"/>
  <c r="J61" i="2"/>
  <c r="F61" i="2" s="1"/>
  <c r="N60" i="2"/>
  <c r="O60" i="2" s="1"/>
  <c r="J60" i="2"/>
  <c r="F60" i="2" s="1"/>
  <c r="N95" i="2"/>
  <c r="O95" i="2" s="1"/>
  <c r="J95" i="2"/>
  <c r="F95" i="2" s="1"/>
  <c r="N59" i="2"/>
  <c r="O59" i="2" s="1"/>
  <c r="J59" i="2"/>
  <c r="F59" i="2" s="1"/>
  <c r="N58" i="2"/>
  <c r="O58" i="2" s="1"/>
  <c r="J58" i="2"/>
  <c r="F58" i="2" s="1"/>
  <c r="N57" i="2"/>
  <c r="O57" i="2" s="1"/>
  <c r="J57" i="2"/>
  <c r="F57" i="2" s="1"/>
  <c r="N92" i="2"/>
  <c r="O92" i="2" s="1"/>
  <c r="J92" i="2"/>
  <c r="F92"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43" i="2"/>
  <c r="O43" i="2" s="1"/>
  <c r="J43" i="2"/>
  <c r="F43" i="2" s="1"/>
  <c r="N99" i="2"/>
  <c r="O99" i="2" s="1"/>
  <c r="J99" i="2"/>
  <c r="F99"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83" i="2"/>
  <c r="O83" i="2" s="1"/>
  <c r="J83" i="2"/>
  <c r="F83"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1912"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12" i="2"/>
  <c r="I25" i="2"/>
  <c r="C6" i="5"/>
  <c r="H33" i="2"/>
  <c r="G17" i="2"/>
  <c r="M30" i="2"/>
  <c r="M8" i="2"/>
  <c r="M32" i="2"/>
  <c r="I11" i="2"/>
  <c r="G30" i="2"/>
  <c r="H25" i="2"/>
  <c r="K24" i="2"/>
  <c r="G35" i="2"/>
  <c r="M96" i="2"/>
  <c r="L11" i="2"/>
  <c r="M33" i="2"/>
  <c r="L12" i="2"/>
  <c r="L66" i="2"/>
  <c r="L22" i="2"/>
  <c r="H26" i="2"/>
  <c r="G12" i="2"/>
  <c r="I9" i="2"/>
  <c r="H12" i="2"/>
  <c r="I12" i="2"/>
  <c r="G96" i="2"/>
  <c r="M27" i="2"/>
  <c r="I29" i="2"/>
  <c r="L21" i="2"/>
  <c r="K21" i="2"/>
  <c r="C9" i="5"/>
  <c r="K32" i="2"/>
  <c r="H46" i="2"/>
  <c r="I24" i="2"/>
  <c r="G22" i="2"/>
  <c r="H24" i="2"/>
  <c r="H9" i="2"/>
  <c r="K26" i="2"/>
  <c r="L26" i="2"/>
  <c r="H21" i="2"/>
  <c r="K29" i="2"/>
  <c r="G36" i="2"/>
  <c r="I19" i="2"/>
  <c r="H22" i="2"/>
  <c r="M35" i="2"/>
  <c r="L24" i="2"/>
  <c r="L30" i="2"/>
  <c r="M34" i="2"/>
  <c r="M29" i="2"/>
  <c r="G25" i="2"/>
  <c r="K11" i="2"/>
  <c r="K27" i="2"/>
  <c r="I30" i="2"/>
  <c r="G46" i="2"/>
  <c r="M22" i="2"/>
  <c r="H36" i="2"/>
  <c r="K41" i="2"/>
  <c r="I36" i="2"/>
  <c r="I35" i="2"/>
  <c r="C5" i="5"/>
  <c r="I16" i="2"/>
  <c r="M39" i="2"/>
  <c r="G32" i="2"/>
  <c r="G27" i="2"/>
  <c r="G39" i="2"/>
  <c r="I21" i="2"/>
  <c r="M46" i="2"/>
  <c r="K96" i="2"/>
  <c r="I39" i="2"/>
  <c r="G11" i="2"/>
  <c r="H28" i="2"/>
  <c r="L8" i="2"/>
  <c r="G29" i="2"/>
  <c r="M9" i="2"/>
  <c r="L41" i="2"/>
  <c r="L16" i="2"/>
  <c r="G34" i="2"/>
  <c r="I27" i="2"/>
  <c r="L29" i="2"/>
  <c r="K9" i="2"/>
  <c r="I66" i="2"/>
  <c r="M24" i="2"/>
  <c r="G16" i="2"/>
  <c r="M11" i="2"/>
  <c r="H96" i="2"/>
  <c r="G8" i="2"/>
  <c r="H17" i="2"/>
  <c r="G21" i="2"/>
  <c r="M41" i="2"/>
  <c r="K25" i="2"/>
  <c r="M12" i="2"/>
  <c r="L17" i="2"/>
  <c r="H16" i="2"/>
  <c r="H32" i="2"/>
  <c r="I26" i="2"/>
  <c r="K17" i="2"/>
  <c r="M17" i="2"/>
  <c r="H34" i="2"/>
  <c r="L33" i="2"/>
  <c r="I22" i="2"/>
  <c r="C16" i="5"/>
  <c r="I33" i="2"/>
  <c r="I17" i="2"/>
  <c r="M21" i="2"/>
  <c r="K35" i="2"/>
  <c r="K36" i="2"/>
  <c r="I28" i="2"/>
  <c r="K30" i="2"/>
  <c r="H30" i="2"/>
  <c r="H29" i="2"/>
  <c r="L36" i="2"/>
  <c r="H11" i="2"/>
  <c r="M26" i="2"/>
  <c r="C7" i="5"/>
  <c r="K8" i="2"/>
  <c r="C10" i="5"/>
  <c r="G24" i="2"/>
  <c r="K39" i="2"/>
  <c r="I34" i="2"/>
  <c r="H66" i="2"/>
  <c r="G33" i="2"/>
  <c r="L32" i="2"/>
  <c r="K22" i="2"/>
  <c r="G41" i="2"/>
  <c r="L96" i="2"/>
  <c r="H27" i="2"/>
  <c r="M66" i="2"/>
  <c r="I8" i="2"/>
  <c r="M16" i="2"/>
  <c r="L9" i="2"/>
  <c r="G9" i="2"/>
  <c r="M19" i="2"/>
  <c r="L39" i="2"/>
  <c r="L25" i="2"/>
  <c r="L27" i="2"/>
  <c r="H19" i="2"/>
  <c r="H8" i="2"/>
  <c r="K28" i="2"/>
  <c r="K66" i="2"/>
  <c r="M28" i="2"/>
  <c r="H35" i="2"/>
  <c r="K34" i="2"/>
  <c r="C8" i="5"/>
  <c r="L19" i="2"/>
  <c r="G66" i="2"/>
  <c r="I32" i="2"/>
  <c r="K33" i="2"/>
  <c r="G26" i="2"/>
  <c r="G19" i="2"/>
  <c r="L35" i="2"/>
  <c r="I96" i="2"/>
  <c r="K46" i="2"/>
  <c r="I46" i="2"/>
  <c r="G28" i="2"/>
  <c r="L28" i="2"/>
  <c r="K16" i="2"/>
  <c r="M25" i="2"/>
  <c r="M36" i="2"/>
  <c r="H1911" i="1" l="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3" i="2"/>
  <c r="E13" i="2"/>
  <c r="F103" i="2"/>
  <c r="E103" i="2"/>
  <c r="F102" i="2"/>
  <c r="E102" i="2"/>
  <c r="F101" i="2"/>
  <c r="E101" i="2"/>
  <c r="F100" i="2"/>
  <c r="E100" i="2"/>
  <c r="F98" i="2"/>
  <c r="E98" i="2"/>
  <c r="F18" i="2"/>
  <c r="E18" i="2"/>
  <c r="F44" i="2"/>
  <c r="E44"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82" i="2"/>
  <c r="E82" i="2"/>
  <c r="F56" i="2"/>
  <c r="E56" i="2"/>
  <c r="F20" i="2"/>
  <c r="E20" i="2"/>
  <c r="F94" i="2"/>
  <c r="E94" i="2"/>
  <c r="F91" i="2"/>
  <c r="E91"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3"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0" i="2"/>
  <c r="O86" i="2"/>
  <c r="O87" i="2"/>
  <c r="O88" i="2"/>
  <c r="O97" i="2"/>
  <c r="E97"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0"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3" i="2"/>
  <c r="E93"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45"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0" i="2"/>
  <c r="E79" i="2"/>
  <c r="E78" i="2"/>
  <c r="E77" i="2"/>
  <c r="E76" i="2"/>
  <c r="E75" i="2"/>
  <c r="E74" i="2"/>
  <c r="E73" i="2"/>
  <c r="E72" i="2"/>
  <c r="E71" i="2"/>
  <c r="E70" i="2"/>
  <c r="E69" i="2"/>
  <c r="E68" i="2"/>
  <c r="E67" i="2"/>
  <c r="E6" i="2"/>
  <c r="E65" i="2"/>
  <c r="E64" i="2"/>
  <c r="E63" i="2"/>
  <c r="E14" i="2"/>
  <c r="E62" i="2"/>
  <c r="E61" i="2"/>
  <c r="E60" i="2"/>
  <c r="E95" i="2"/>
  <c r="E59" i="2"/>
  <c r="E58" i="2"/>
  <c r="E57" i="2"/>
  <c r="E92" i="2"/>
  <c r="E55" i="2"/>
  <c r="E54" i="2"/>
  <c r="E53" i="2"/>
  <c r="E52" i="2"/>
  <c r="E5" i="2"/>
  <c r="E50" i="2"/>
  <c r="E43" i="2"/>
  <c r="E99"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83"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35" i="2"/>
  <c r="O35" i="2" s="1"/>
  <c r="J11" i="2"/>
  <c r="F11" i="2" s="1"/>
  <c r="J9" i="2"/>
  <c r="F9" i="2" s="1"/>
  <c r="J41" i="2"/>
  <c r="F41" i="2" s="1"/>
  <c r="J16" i="2"/>
  <c r="F16" i="2" s="1"/>
  <c r="J22" i="2"/>
  <c r="F22" i="2" s="1"/>
  <c r="N9" i="2"/>
  <c r="O9" i="2" s="1"/>
  <c r="N11" i="2"/>
  <c r="O11" i="2" s="1"/>
  <c r="N39" i="2"/>
  <c r="O39" i="2" s="1"/>
  <c r="N30" i="2"/>
  <c r="O30" i="2" s="1"/>
  <c r="J32" i="2"/>
  <c r="F32" i="2" s="1"/>
  <c r="N66" i="2"/>
  <c r="O66"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8" i="2"/>
  <c r="O8" i="2" s="1"/>
  <c r="N16" i="2"/>
  <c r="O16" i="2" s="1"/>
  <c r="N36" i="2"/>
  <c r="O36" i="2" s="1"/>
  <c r="N96" i="2"/>
  <c r="O96" i="2" s="1"/>
  <c r="N32" i="2"/>
  <c r="O32" i="2" s="1"/>
  <c r="N12" i="2"/>
  <c r="O12"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30" i="2"/>
  <c r="F30" i="2" s="1"/>
  <c r="J35" i="2"/>
  <c r="F35" i="2" s="1"/>
  <c r="J8" i="2"/>
  <c r="F8" i="2" s="1"/>
  <c r="J21" i="2"/>
  <c r="F21" i="2" s="1"/>
  <c r="J12" i="2"/>
  <c r="F12" i="2" s="1"/>
  <c r="J96" i="2"/>
  <c r="F96" i="2" s="1"/>
  <c r="J66" i="2"/>
  <c r="F66" i="2" s="1"/>
  <c r="C13" i="5"/>
  <c r="D9" i="5"/>
  <c r="G20" i="5"/>
  <c r="G17" i="5"/>
  <c r="G19" i="5"/>
  <c r="G16" i="5"/>
  <c r="G18" i="5"/>
  <c r="G21" i="5" s="1"/>
  <c r="P104" i="2" l="1"/>
  <c r="P13" i="2"/>
  <c r="P103" i="2"/>
  <c r="P102" i="2"/>
  <c r="P101" i="2"/>
  <c r="P100" i="2"/>
  <c r="P98" i="2"/>
  <c r="P18" i="2"/>
  <c r="P44" i="2"/>
  <c r="P82" i="2"/>
  <c r="P56" i="2"/>
  <c r="P20" i="2"/>
  <c r="P94" i="2"/>
  <c r="P91" i="2"/>
  <c r="P80" i="2"/>
  <c r="P51" i="2"/>
  <c r="P85" i="2"/>
  <c r="P84" i="2"/>
  <c r="P97" i="2"/>
  <c r="P90" i="2"/>
  <c r="P89" i="2"/>
  <c r="P88" i="2"/>
  <c r="P87" i="2"/>
  <c r="P86" i="2"/>
  <c r="P47" i="2"/>
  <c r="P49" i="2"/>
  <c r="P93" i="2"/>
  <c r="P81" i="2"/>
  <c r="P45" i="2"/>
  <c r="P31" i="2"/>
  <c r="P79" i="2"/>
  <c r="P10" i="2"/>
  <c r="P77" i="2"/>
  <c r="P78" i="2"/>
  <c r="P75" i="2"/>
  <c r="P76" i="2"/>
  <c r="P73" i="2"/>
  <c r="P74" i="2"/>
  <c r="P72" i="2"/>
  <c r="P69" i="2"/>
  <c r="P71" i="2"/>
  <c r="P70" i="2"/>
  <c r="P67" i="2"/>
  <c r="P68" i="2"/>
  <c r="P65" i="2"/>
  <c r="P6" i="2"/>
  <c r="P63" i="2"/>
  <c r="P64" i="2"/>
  <c r="P62" i="2"/>
  <c r="P14" i="2"/>
  <c r="P60" i="2"/>
  <c r="P61" i="2"/>
  <c r="P59" i="2"/>
  <c r="P95" i="2"/>
  <c r="P57" i="2"/>
  <c r="P58" i="2"/>
  <c r="P55" i="2"/>
  <c r="P92" i="2"/>
  <c r="P53" i="2"/>
  <c r="P54" i="2"/>
  <c r="P5" i="2"/>
  <c r="P52" i="2"/>
  <c r="P43" i="2"/>
  <c r="P50" i="2"/>
  <c r="P48" i="2"/>
  <c r="P99" i="2"/>
  <c r="P42" i="2"/>
  <c r="P40" i="2"/>
  <c r="E11" i="2"/>
  <c r="P37" i="2"/>
  <c r="P38" i="2"/>
  <c r="E34" i="2"/>
  <c r="E26" i="2"/>
  <c r="E32" i="2"/>
  <c r="P23" i="2"/>
  <c r="P7" i="2"/>
  <c r="P83" i="2"/>
  <c r="E9" i="2"/>
  <c r="E16" i="2"/>
  <c r="E27" i="2"/>
  <c r="E41" i="2"/>
  <c r="E46" i="2"/>
  <c r="P15" i="2"/>
  <c r="E29" i="2"/>
  <c r="E39" i="2"/>
  <c r="E19" i="2"/>
  <c r="E28" i="2"/>
  <c r="E22" i="2"/>
  <c r="E17" i="2"/>
  <c r="E33" i="2"/>
  <c r="E24" i="2"/>
  <c r="E25" i="2"/>
  <c r="P25" i="2"/>
  <c r="P34" i="2"/>
  <c r="P17" i="2"/>
  <c r="P33" i="2"/>
  <c r="P24" i="2"/>
  <c r="P32" i="2"/>
  <c r="P26" i="2"/>
  <c r="P39" i="2"/>
  <c r="P22" i="2"/>
  <c r="P9" i="2"/>
  <c r="P29" i="2"/>
  <c r="P11" i="2"/>
  <c r="P28" i="2"/>
  <c r="P19" i="2"/>
  <c r="P46" i="2"/>
  <c r="P41" i="2"/>
  <c r="P16" i="2"/>
  <c r="P27" i="2"/>
  <c r="E96" i="2"/>
  <c r="E30" i="2"/>
  <c r="E36" i="2"/>
  <c r="E12" i="2"/>
  <c r="E8" i="2"/>
  <c r="E21" i="2"/>
  <c r="E66"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35" i="2"/>
  <c r="D10" i="5"/>
  <c r="D7" i="5"/>
  <c r="D6" i="5"/>
  <c r="D5" i="5"/>
  <c r="C14" i="5"/>
  <c r="D104" i="2" l="1"/>
  <c r="C104" i="2" s="1"/>
  <c r="D13" i="2"/>
  <c r="C13" i="2" s="1"/>
  <c r="D103" i="2"/>
  <c r="C103" i="2" s="1"/>
  <c r="D102" i="2"/>
  <c r="C102" i="2" s="1"/>
  <c r="D101" i="2"/>
  <c r="C101" i="2" s="1"/>
  <c r="D100" i="2"/>
  <c r="C100" i="2" s="1"/>
  <c r="D98" i="2"/>
  <c r="C98" i="2" s="1"/>
  <c r="D18" i="2"/>
  <c r="C18" i="2" s="1"/>
  <c r="D44" i="2"/>
  <c r="C44" i="2" s="1"/>
  <c r="D82" i="2"/>
  <c r="C82" i="2" s="1"/>
  <c r="D56" i="2"/>
  <c r="C56" i="2" s="1"/>
  <c r="D20" i="2"/>
  <c r="C20" i="2" s="1"/>
  <c r="D91" i="2"/>
  <c r="C91" i="2" s="1"/>
  <c r="D94" i="2"/>
  <c r="C94" i="2" s="1"/>
  <c r="D80" i="2"/>
  <c r="C80" i="2" s="1"/>
  <c r="D85" i="2"/>
  <c r="C85" i="2" s="1"/>
  <c r="D51" i="2"/>
  <c r="C51" i="2" s="1"/>
  <c r="D97" i="2"/>
  <c r="C97" i="2" s="1"/>
  <c r="D84" i="2"/>
  <c r="C84" i="2" s="1"/>
  <c r="D90" i="2"/>
  <c r="C90" i="2" s="1"/>
  <c r="D89" i="2"/>
  <c r="C89" i="2" s="1"/>
  <c r="D88" i="2"/>
  <c r="C88" i="2" s="1"/>
  <c r="D87" i="2"/>
  <c r="C87" i="2" s="1"/>
  <c r="D86" i="2"/>
  <c r="C86" i="2" s="1"/>
  <c r="D47" i="2"/>
  <c r="C47" i="2" s="1"/>
  <c r="D49" i="2"/>
  <c r="C49" i="2" s="1"/>
  <c r="D81" i="2"/>
  <c r="C81" i="2" s="1"/>
  <c r="D93" i="2"/>
  <c r="C93" i="2" s="1"/>
  <c r="D45" i="2"/>
  <c r="C45" i="2" s="1"/>
  <c r="D10" i="2"/>
  <c r="C10"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14" i="2"/>
  <c r="C14" i="2" s="1"/>
  <c r="D63" i="2"/>
  <c r="C63" i="2" s="1"/>
  <c r="D61" i="2"/>
  <c r="C61" i="2" s="1"/>
  <c r="D62" i="2"/>
  <c r="C62" i="2" s="1"/>
  <c r="D60" i="2"/>
  <c r="C60" i="2" s="1"/>
  <c r="D59" i="2"/>
  <c r="C59" i="2" s="1"/>
  <c r="D95" i="2"/>
  <c r="C95" i="2" s="1"/>
  <c r="D57" i="2"/>
  <c r="C57" i="2" s="1"/>
  <c r="D58" i="2"/>
  <c r="C58" i="2" s="1"/>
  <c r="D55" i="2"/>
  <c r="C55" i="2" s="1"/>
  <c r="D92" i="2"/>
  <c r="C92" i="2" s="1"/>
  <c r="D53" i="2"/>
  <c r="C53" i="2" s="1"/>
  <c r="D54" i="2"/>
  <c r="C54" i="2" s="1"/>
  <c r="D5" i="2"/>
  <c r="C5" i="2" s="1"/>
  <c r="D52" i="2"/>
  <c r="C52" i="2" s="1"/>
  <c r="D43" i="2"/>
  <c r="C43" i="2" s="1"/>
  <c r="D50" i="2"/>
  <c r="C50" i="2" s="1"/>
  <c r="D48" i="2"/>
  <c r="C48" i="2" s="1"/>
  <c r="D99" i="2"/>
  <c r="C99" i="2" s="1"/>
  <c r="D42" i="2"/>
  <c r="C42" i="2" s="1"/>
  <c r="D40" i="2"/>
  <c r="C40" i="2" s="1"/>
  <c r="D38" i="2"/>
  <c r="C38" i="2" s="1"/>
  <c r="D37" i="2"/>
  <c r="C37" i="2" s="1"/>
  <c r="D23" i="2"/>
  <c r="C23" i="2" s="1"/>
  <c r="D7" i="2"/>
  <c r="C7" i="2" s="1"/>
  <c r="D83" i="2"/>
  <c r="C83" i="2" s="1"/>
  <c r="D15" i="2"/>
  <c r="C15" i="2" s="1"/>
  <c r="D25" i="2"/>
  <c r="C25" i="2" s="1"/>
  <c r="D34" i="2"/>
  <c r="C34" i="2" s="1"/>
  <c r="D17" i="2"/>
  <c r="C17" i="2" s="1"/>
  <c r="D33" i="2"/>
  <c r="C33" i="2" s="1"/>
  <c r="D24" i="2"/>
  <c r="C24" i="2" s="1"/>
  <c r="D32" i="2"/>
  <c r="C32" i="2" s="1"/>
  <c r="D26" i="2"/>
  <c r="C26" i="2" s="1"/>
  <c r="D39" i="2"/>
  <c r="C39" i="2" s="1"/>
  <c r="D22" i="2"/>
  <c r="C22" i="2" s="1"/>
  <c r="D9" i="2"/>
  <c r="C9" i="2" s="1"/>
  <c r="D28" i="2"/>
  <c r="C28" i="2" s="1"/>
  <c r="D29" i="2"/>
  <c r="C29" i="2" s="1"/>
  <c r="D11" i="2"/>
  <c r="C11" i="2" s="1"/>
  <c r="D19" i="2"/>
  <c r="C19" i="2" s="1"/>
  <c r="D46" i="2"/>
  <c r="C46" i="2" s="1"/>
  <c r="D41" i="2"/>
  <c r="C41" i="2" s="1"/>
  <c r="D16" i="2"/>
  <c r="C16" i="2" s="1"/>
  <c r="D27" i="2"/>
  <c r="C27" i="2" s="1"/>
  <c r="C15" i="5"/>
  <c r="D36" i="2"/>
  <c r="D35" i="2"/>
  <c r="D12" i="2"/>
  <c r="D21" i="2"/>
  <c r="D66" i="2"/>
  <c r="D30" i="2"/>
  <c r="D8" i="2"/>
  <c r="D96" i="2"/>
  <c r="G7" i="5"/>
  <c r="G5" i="5"/>
  <c r="G8" i="5" s="1"/>
  <c r="G6" i="5"/>
  <c r="G13" i="5"/>
  <c r="P21" i="2" l="1"/>
  <c r="C21" i="2" s="1"/>
  <c r="P66" i="2"/>
  <c r="C66" i="2" s="1"/>
  <c r="P35" i="2"/>
  <c r="C35" i="2" s="1"/>
  <c r="P12" i="2"/>
  <c r="C12" i="2" s="1"/>
  <c r="P36" i="2"/>
  <c r="C36" i="2" s="1"/>
  <c r="P8" i="2"/>
  <c r="C8" i="2" s="1"/>
  <c r="P30" i="2"/>
  <c r="C30" i="2" s="1"/>
  <c r="P96" i="2"/>
  <c r="C96"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<sst xmlns="http://schemas.openxmlformats.org/spreadsheetml/2006/main" count="37050" uniqueCount="663">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</sst>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31.541685185184" createdVersion="8" refreshedVersion="8" minRefreshableVersion="3" recordCount="1911" xr:uid="{DC51D016-C251-461D-A8BC-322113D3679A}">
  <cacheSource type="worksheet">
    <worksheetSource name="GameLog"/>
  </cacheSource>
  <cacheFields count="11">
    <cacheField name="Player" numFmtId="0">
      <sharedItems containsBlank="1" count="149">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7-28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31.541685532407" createdVersion="8" refreshedVersion="8" minRefreshableVersion="3" recordCount="5388" xr:uid="{A68797AC-E72E-49CE-BBC1-16C3348D6A5F}">
  <cacheSource type="worksheet">
    <worksheetSource name="Matchups"/>
  </cacheSource>
  <cacheFields count="22">
    <cacheField name="Player" numFmtId="0">
      <sharedItems count="135">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7-21T00:00:00" count="52">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5">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Arman" u="1"/>
        <s v="Christian S"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7-21T00:00:00"/>
        <groupItems count="14">
          <s v="&lt;7/21/2025"/>
          <s v="Jan"/>
          <s v="Feb"/>
          <s v="Mar"/>
          <s v="Apr"/>
          <s v="May"/>
          <s v="Jun"/>
          <s v="Jul"/>
          <s v="Aug"/>
          <s v="Sep"/>
          <s v="Oct"/>
          <s v="Nov"/>
          <s v="Dec"/>
          <s v="&gt;7/21/2026"/>
        </groupItems>
      </fieldGroup>
    </cacheField>
    <cacheField name="Quarters (Date)" numFmtId="0" databaseField="0">
      <fieldGroup base="5">
        <rangePr groupBy="quarters" startDate="2025-07-21T00:00:00" endDate="2026-07-21T00:00:00"/>
        <groupItems count="6">
          <s v="&lt;7/21/2025"/>
          <s v="Qtr1"/>
          <s v="Qtr2"/>
          <s v="Qtr3"/>
          <s v="Qtr4"/>
          <s v="&gt;7/21/2026"/>
        </groupItems>
      </fieldGroup>
    </cacheField>
    <cacheField name="Years (Date)" numFmtId="0" databaseField="0">
      <fieldGroup base="5">
        <rangePr groupBy="years" startDate="2025-07-21T00:00:00" endDate="2026-07-21T00:00:00"/>
        <groupItems count="4">
          <s v="&lt;7/21/2025"/>
          <s v="2025"/>
          <s v="2026"/>
          <s v="&gt;7/21/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11">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1"/>
  </r>
  <r>
    <x v="90"/>
    <x v="2"/>
    <x v="0"/>
    <n v="1"/>
    <n v="1"/>
    <d v="2026-07-27T00:00:00"/>
    <s v="1|19000101|46230"/>
    <x v="0"/>
    <x v="1"/>
    <x v="6"/>
    <x v="1"/>
  </r>
  <r>
    <x v="8"/>
    <x v="2"/>
    <x v="1"/>
    <n v="1"/>
    <n v="1"/>
    <d v="2026-07-27T00:00:00"/>
    <s v="1|19000101|46230"/>
    <x v="0"/>
    <x v="1"/>
    <x v="6"/>
    <x v="1"/>
  </r>
  <r>
    <x v="62"/>
    <x v="2"/>
    <x v="2"/>
    <n v="1"/>
    <n v="1"/>
    <d v="2026-07-27T00:00:00"/>
    <s v="1|19000101|46230"/>
    <x v="0"/>
    <x v="1"/>
    <x v="6"/>
    <x v="1"/>
  </r>
  <r>
    <x v="19"/>
    <x v="2"/>
    <x v="4"/>
    <n v="2"/>
    <n v="1"/>
    <d v="2026-07-27T00:00:00"/>
    <s v="2|19000101|46230"/>
    <x v="0"/>
    <x v="1"/>
    <x v="6"/>
    <x v="1"/>
  </r>
  <r>
    <x v="4"/>
    <x v="2"/>
    <x v="0"/>
    <n v="2"/>
    <n v="1"/>
    <d v="2026-07-27T00:00:00"/>
    <s v="2|19000101|46230"/>
    <x v="0"/>
    <x v="1"/>
    <x v="6"/>
    <x v="1"/>
  </r>
  <r>
    <x v="70"/>
    <x v="2"/>
    <x v="1"/>
    <n v="2"/>
    <n v="1"/>
    <d v="2026-07-27T00:00:00"/>
    <s v="2|19000101|46230"/>
    <x v="0"/>
    <x v="1"/>
    <x v="6"/>
    <x v="1"/>
  </r>
  <r>
    <x v="9"/>
    <x v="2"/>
    <x v="2"/>
    <n v="2"/>
    <n v="1"/>
    <d v="2026-07-27T00:00:00"/>
    <s v="2|19000101|46230"/>
    <x v="0"/>
    <x v="1"/>
    <x v="6"/>
    <x v="1"/>
  </r>
  <r>
    <x v="1"/>
    <x v="2"/>
    <x v="4"/>
    <n v="3"/>
    <n v="1"/>
    <d v="2026-07-27T00:00:00"/>
    <s v="3|19000101|46230"/>
    <x v="0"/>
    <x v="1"/>
    <x v="6"/>
    <x v="1"/>
  </r>
  <r>
    <x v="58"/>
    <x v="2"/>
    <x v="0"/>
    <n v="3"/>
    <n v="1"/>
    <d v="2026-07-27T00:00:00"/>
    <s v="3|19000101|46230"/>
    <x v="0"/>
    <x v="1"/>
    <x v="6"/>
    <x v="1"/>
  </r>
  <r>
    <x v="84"/>
    <x v="2"/>
    <x v="1"/>
    <n v="3"/>
    <n v="1"/>
    <d v="2026-07-27T00:00:00"/>
    <s v="3|19000101|46230"/>
    <x v="0"/>
    <x v="1"/>
    <x v="6"/>
    <x v="1"/>
  </r>
  <r>
    <x v="79"/>
    <x v="2"/>
    <x v="2"/>
    <n v="3"/>
    <n v="1"/>
    <d v="2026-07-27T00:00:00"/>
    <s v="3|19000101|46230"/>
    <x v="0"/>
    <x v="1"/>
    <x v="6"/>
    <x v="1"/>
  </r>
  <r>
    <x v="37"/>
    <x v="1"/>
    <x v="4"/>
    <n v="4"/>
    <n v="1"/>
    <d v="2026-07-27T00:00:00"/>
    <s v="4|19000101|46230"/>
    <x v="2"/>
    <x v="1"/>
    <x v="6"/>
    <x v="1"/>
  </r>
  <r>
    <x v="18"/>
    <x v="0"/>
    <x v="0"/>
    <n v="4"/>
    <n v="1"/>
    <d v="2026-07-27T00:00:00"/>
    <s v="4|19000101|46230"/>
    <x v="2"/>
    <x v="1"/>
    <x v="6"/>
    <x v="1"/>
  </r>
  <r>
    <x v="13"/>
    <x v="1"/>
    <x v="1"/>
    <n v="4"/>
    <n v="1"/>
    <d v="2026-07-27T00:00:00"/>
    <s v="4|19000101|46230"/>
    <x v="2"/>
    <x v="1"/>
    <x v="6"/>
    <x v="1"/>
  </r>
  <r>
    <x v="80"/>
    <x v="1"/>
    <x v="4"/>
    <n v="5"/>
    <n v="1"/>
    <d v="2026-07-27T00:00:00"/>
    <s v="5|19000101|46230"/>
    <x v="2"/>
    <x v="1"/>
    <x v="6"/>
    <x v="1"/>
  </r>
  <r>
    <x v="27"/>
    <x v="1"/>
    <x v="0"/>
    <n v="5"/>
    <n v="1"/>
    <d v="2026-07-27T00:00:00"/>
    <s v="5|19000101|46230"/>
    <x v="2"/>
    <x v="1"/>
    <x v="6"/>
    <x v="1"/>
  </r>
  <r>
    <x v="10"/>
    <x v="0"/>
    <x v="1"/>
    <n v="5"/>
    <n v="1"/>
    <d v="2026-07-27T00:00:00"/>
    <s v="5|19000101|46230"/>
    <x v="2"/>
    <x v="1"/>
    <x v="6"/>
    <x v="1"/>
  </r>
  <r>
    <x v="10"/>
    <x v="1"/>
    <x v="4"/>
    <n v="1"/>
    <n v="2"/>
    <d v="2026-07-27T00:00:00"/>
    <s v="1|19000102|46230"/>
    <x v="0"/>
    <x v="1"/>
    <x v="6"/>
    <x v="1"/>
  </r>
  <r>
    <x v="18"/>
    <x v="0"/>
    <x v="0"/>
    <n v="1"/>
    <n v="2"/>
    <d v="2026-07-27T00:00:00"/>
    <s v="1|19000102|46230"/>
    <x v="0"/>
    <x v="1"/>
    <x v="6"/>
    <x v="1"/>
  </r>
  <r>
    <x v="84"/>
    <x v="1"/>
    <x v="1"/>
    <n v="1"/>
    <n v="2"/>
    <d v="2026-07-27T00:00:00"/>
    <s v="1|19000102|46230"/>
    <x v="0"/>
    <x v="1"/>
    <x v="6"/>
    <x v="1"/>
  </r>
  <r>
    <x v="8"/>
    <x v="1"/>
    <x v="2"/>
    <n v="1"/>
    <n v="2"/>
    <d v="2026-07-27T00:00:00"/>
    <s v="1|19000102|46230"/>
    <x v="0"/>
    <x v="1"/>
    <x v="6"/>
    <x v="1"/>
  </r>
  <r>
    <x v="62"/>
    <x v="2"/>
    <x v="4"/>
    <n v="2"/>
    <n v="2"/>
    <d v="2026-07-27T00:00:00"/>
    <s v="2|19000102|46230"/>
    <x v="0"/>
    <x v="1"/>
    <x v="6"/>
    <x v="1"/>
  </r>
  <r>
    <x v="9"/>
    <x v="2"/>
    <x v="0"/>
    <n v="2"/>
    <n v="2"/>
    <d v="2026-07-27T00:00:00"/>
    <s v="2|19000102|46230"/>
    <x v="0"/>
    <x v="1"/>
    <x v="6"/>
    <x v="1"/>
  </r>
  <r>
    <x v="58"/>
    <x v="2"/>
    <x v="1"/>
    <n v="2"/>
    <n v="2"/>
    <d v="2026-07-27T00:00:00"/>
    <s v="2|19000102|46230"/>
    <x v="0"/>
    <x v="1"/>
    <x v="6"/>
    <x v="1"/>
  </r>
  <r>
    <x v="37"/>
    <x v="2"/>
    <x v="2"/>
    <n v="2"/>
    <n v="2"/>
    <d v="2026-07-27T00:00:00"/>
    <s v="2|19000102|46230"/>
    <x v="0"/>
    <x v="1"/>
    <x v="6"/>
    <x v="1"/>
  </r>
  <r>
    <x v="13"/>
    <x v="1"/>
    <x v="4"/>
    <n v="3"/>
    <n v="2"/>
    <d v="2026-07-27T00:00:00"/>
    <s v="3|19000102|46230"/>
    <x v="0"/>
    <x v="1"/>
    <x v="6"/>
    <x v="1"/>
  </r>
  <r>
    <x v="70"/>
    <x v="0"/>
    <x v="0"/>
    <n v="3"/>
    <n v="2"/>
    <d v="2026-07-27T00:00:00"/>
    <s v="3|19000102|46230"/>
    <x v="0"/>
    <x v="1"/>
    <x v="6"/>
    <x v="1"/>
  </r>
  <r>
    <x v="1"/>
    <x v="1"/>
    <x v="1"/>
    <n v="3"/>
    <n v="2"/>
    <d v="2026-07-27T00:00:00"/>
    <s v="3|19000102|46230"/>
    <x v="0"/>
    <x v="1"/>
    <x v="6"/>
    <x v="1"/>
  </r>
  <r>
    <x v="33"/>
    <x v="1"/>
    <x v="2"/>
    <n v="3"/>
    <n v="2"/>
    <d v="2026-07-27T00:00:00"/>
    <s v="3|19000102|46230"/>
    <x v="0"/>
    <x v="1"/>
    <x v="6"/>
    <x v="1"/>
  </r>
  <r>
    <x v="79"/>
    <x v="0"/>
    <x v="4"/>
    <n v="4"/>
    <n v="2"/>
    <d v="2026-07-27T00:00:00"/>
    <s v="4|19000102|46230"/>
    <x v="2"/>
    <x v="1"/>
    <x v="6"/>
    <x v="1"/>
  </r>
  <r>
    <x v="80"/>
    <x v="1"/>
    <x v="0"/>
    <n v="4"/>
    <n v="2"/>
    <d v="2026-07-27T00:00:00"/>
    <s v="4|19000102|46230"/>
    <x v="2"/>
    <x v="1"/>
    <x v="6"/>
    <x v="1"/>
  </r>
  <r>
    <x v="19"/>
    <x v="1"/>
    <x v="1"/>
    <n v="4"/>
    <n v="2"/>
    <d v="2026-07-27T00:00:00"/>
    <s v="4|19000102|46230"/>
    <x v="2"/>
    <x v="1"/>
    <x v="6"/>
    <x v="1"/>
  </r>
  <r>
    <x v="27"/>
    <x v="1"/>
    <x v="4"/>
    <n v="5"/>
    <n v="2"/>
    <d v="2026-07-27T00:00:00"/>
    <s v="5|19000102|46230"/>
    <x v="2"/>
    <x v="1"/>
    <x v="6"/>
    <x v="1"/>
  </r>
  <r>
    <x v="90"/>
    <x v="1"/>
    <x v="0"/>
    <n v="5"/>
    <n v="2"/>
    <d v="2026-07-27T00:00:00"/>
    <s v="5|19000102|46230"/>
    <x v="2"/>
    <x v="1"/>
    <x v="6"/>
    <x v="1"/>
  </r>
  <r>
    <x v="4"/>
    <x v="0"/>
    <x v="1"/>
    <n v="5"/>
    <n v="2"/>
    <d v="2026-07-27T00:00:00"/>
    <s v="5|19000102|46230"/>
    <x v="2"/>
    <x v="1"/>
    <x v="6"/>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88">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Current"/>
    <x v="4"/>
    <s v="Loss"/>
    <b v="0"/>
    <n v="1"/>
    <n v="0"/>
    <n v="0"/>
    <n v="0"/>
  </r>
  <r>
    <x v="2"/>
    <s v="Win"/>
    <n v="1"/>
    <n v="1"/>
    <n v="1"/>
    <x v="51"/>
    <s v="1|19000101|46223"/>
    <n v="4"/>
    <n v="2026"/>
    <n v="7"/>
    <s v="Current"/>
    <x v="18"/>
    <s v="Loss"/>
    <b v="0"/>
    <n v="1"/>
    <n v="0"/>
    <n v="0"/>
    <n v="0"/>
  </r>
  <r>
    <x v="2"/>
    <s v="Win"/>
    <n v="1"/>
    <n v="1"/>
    <n v="1"/>
    <x v="51"/>
    <s v="1|19000101|46223"/>
    <n v="4"/>
    <n v="2026"/>
    <n v="7"/>
    <s v="Current"/>
    <x v="46"/>
    <s v="Loss"/>
    <b v="0"/>
    <n v="1"/>
    <n v="0"/>
    <n v="0"/>
    <n v="0"/>
  </r>
  <r>
    <x v="4"/>
    <s v="Loss"/>
    <n v="2"/>
    <n v="1"/>
    <n v="1"/>
    <x v="51"/>
    <s v="1|19000101|46223"/>
    <n v="4"/>
    <n v="2026"/>
    <n v="7"/>
    <s v="Current"/>
    <x v="1"/>
    <s v="Win"/>
    <b v="0"/>
    <n v="0"/>
    <n v="1"/>
    <n v="0"/>
    <n v="1"/>
  </r>
  <r>
    <x v="4"/>
    <s v="Loss"/>
    <n v="2"/>
    <n v="1"/>
    <n v="1"/>
    <x v="51"/>
    <s v="1|19000101|46223"/>
    <n v="4"/>
    <n v="2026"/>
    <n v="7"/>
    <s v="Current"/>
    <x v="18"/>
    <s v="Loss"/>
    <b v="0"/>
    <n v="0"/>
    <n v="1"/>
    <n v="0"/>
    <n v="0"/>
  </r>
  <r>
    <x v="4"/>
    <s v="Loss"/>
    <n v="2"/>
    <n v="1"/>
    <n v="1"/>
    <x v="51"/>
    <s v="1|19000101|46223"/>
    <n v="4"/>
    <n v="2026"/>
    <n v="7"/>
    <s v="Current"/>
    <x v="46"/>
    <s v="Loss"/>
    <b v="0"/>
    <n v="0"/>
    <n v="1"/>
    <n v="0"/>
    <n v="0"/>
  </r>
  <r>
    <x v="18"/>
    <s v="Loss"/>
    <n v="3"/>
    <n v="1"/>
    <n v="1"/>
    <x v="51"/>
    <s v="1|19000101|46223"/>
    <n v="4"/>
    <n v="2026"/>
    <n v="7"/>
    <s v="Current"/>
    <x v="1"/>
    <s v="Win"/>
    <b v="0"/>
    <n v="0"/>
    <n v="1"/>
    <n v="0"/>
    <n v="1"/>
  </r>
  <r>
    <x v="18"/>
    <s v="Loss"/>
    <n v="3"/>
    <n v="1"/>
    <n v="1"/>
    <x v="51"/>
    <s v="1|19000101|46223"/>
    <n v="4"/>
    <n v="2026"/>
    <n v="7"/>
    <s v="Current"/>
    <x v="4"/>
    <s v="Loss"/>
    <b v="0"/>
    <n v="0"/>
    <n v="1"/>
    <n v="0"/>
    <n v="0"/>
  </r>
  <r>
    <x v="18"/>
    <s v="Loss"/>
    <n v="3"/>
    <n v="1"/>
    <n v="1"/>
    <x v="51"/>
    <s v="1|19000101|46223"/>
    <n v="4"/>
    <n v="2026"/>
    <n v="7"/>
    <s v="Current"/>
    <x v="46"/>
    <s v="Loss"/>
    <b v="0"/>
    <n v="0"/>
    <n v="1"/>
    <n v="0"/>
    <n v="0"/>
  </r>
  <r>
    <x v="46"/>
    <s v="Loss"/>
    <n v="4"/>
    <n v="1"/>
    <n v="1"/>
    <x v="51"/>
    <s v="1|19000101|46223"/>
    <n v="4"/>
    <n v="2026"/>
    <n v="7"/>
    <s v="Current"/>
    <x v="1"/>
    <s v="Win"/>
    <b v="0"/>
    <n v="0"/>
    <n v="1"/>
    <n v="0"/>
    <n v="1"/>
  </r>
  <r>
    <x v="46"/>
    <s v="Loss"/>
    <n v="4"/>
    <n v="1"/>
    <n v="1"/>
    <x v="51"/>
    <s v="1|19000101|46223"/>
    <n v="4"/>
    <n v="2026"/>
    <n v="7"/>
    <s v="Current"/>
    <x v="4"/>
    <s v="Loss"/>
    <b v="0"/>
    <n v="0"/>
    <n v="1"/>
    <n v="0"/>
    <n v="0"/>
  </r>
  <r>
    <x v="46"/>
    <s v="Loss"/>
    <n v="4"/>
    <n v="1"/>
    <n v="1"/>
    <x v="51"/>
    <s v="1|19000101|46223"/>
    <n v="4"/>
    <n v="2026"/>
    <n v="7"/>
    <s v="Current"/>
    <x v="18"/>
    <s v="Loss"/>
    <b v="0"/>
    <n v="0"/>
    <n v="1"/>
    <n v="0"/>
    <n v="0"/>
  </r>
  <r>
    <x v="34"/>
    <s v="Loss"/>
    <n v="1"/>
    <n v="2"/>
    <n v="1"/>
    <x v="51"/>
    <s v="2|19000101|46223"/>
    <n v="4"/>
    <n v="2026"/>
    <n v="7"/>
    <s v="Current"/>
    <x v="13"/>
    <s v="Loss"/>
    <b v="0"/>
    <n v="0"/>
    <n v="1"/>
    <n v="0"/>
    <n v="0"/>
  </r>
  <r>
    <x v="34"/>
    <s v="Loss"/>
    <n v="1"/>
    <n v="2"/>
    <n v="1"/>
    <x v="51"/>
    <s v="2|19000101|46223"/>
    <n v="4"/>
    <n v="2026"/>
    <n v="7"/>
    <s v="Current"/>
    <x v="24"/>
    <s v="Loss"/>
    <b v="0"/>
    <n v="0"/>
    <n v="1"/>
    <n v="0"/>
    <n v="0"/>
  </r>
  <r>
    <x v="34"/>
    <s v="Loss"/>
    <n v="1"/>
    <n v="2"/>
    <n v="1"/>
    <x v="51"/>
    <s v="2|19000101|46223"/>
    <n v="4"/>
    <n v="2026"/>
    <n v="7"/>
    <s v="Current"/>
    <x v="14"/>
    <s v="Win"/>
    <b v="0"/>
    <n v="0"/>
    <n v="1"/>
    <n v="0"/>
    <n v="1"/>
  </r>
  <r>
    <x v="13"/>
    <s v="Loss"/>
    <n v="2"/>
    <n v="2"/>
    <n v="1"/>
    <x v="51"/>
    <s v="2|19000101|46223"/>
    <n v="4"/>
    <n v="2026"/>
    <n v="7"/>
    <s v="Current"/>
    <x v="34"/>
    <s v="Loss"/>
    <b v="0"/>
    <n v="0"/>
    <n v="1"/>
    <n v="0"/>
    <n v="0"/>
  </r>
  <r>
    <x v="13"/>
    <s v="Loss"/>
    <n v="2"/>
    <n v="2"/>
    <n v="1"/>
    <x v="51"/>
    <s v="2|19000101|46223"/>
    <n v="4"/>
    <n v="2026"/>
    <n v="7"/>
    <s v="Current"/>
    <x v="24"/>
    <s v="Loss"/>
    <b v="0"/>
    <n v="0"/>
    <n v="1"/>
    <n v="0"/>
    <n v="0"/>
  </r>
  <r>
    <x v="13"/>
    <s v="Loss"/>
    <n v="2"/>
    <n v="2"/>
    <n v="1"/>
    <x v="51"/>
    <s v="2|19000101|46223"/>
    <n v="4"/>
    <n v="2026"/>
    <n v="7"/>
    <s v="Current"/>
    <x v="14"/>
    <s v="Win"/>
    <b v="0"/>
    <n v="0"/>
    <n v="1"/>
    <n v="0"/>
    <n v="1"/>
  </r>
  <r>
    <x v="24"/>
    <s v="Loss"/>
    <n v="3"/>
    <n v="2"/>
    <n v="1"/>
    <x v="51"/>
    <s v="2|19000101|46223"/>
    <n v="4"/>
    <n v="2026"/>
    <n v="7"/>
    <s v="Current"/>
    <x v="34"/>
    <s v="Loss"/>
    <b v="0"/>
    <n v="0"/>
    <n v="1"/>
    <n v="0"/>
    <n v="0"/>
  </r>
  <r>
    <x v="24"/>
    <s v="Loss"/>
    <n v="3"/>
    <n v="2"/>
    <n v="1"/>
    <x v="51"/>
    <s v="2|19000101|46223"/>
    <n v="4"/>
    <n v="2026"/>
    <n v="7"/>
    <s v="Current"/>
    <x v="13"/>
    <s v="Loss"/>
    <b v="0"/>
    <n v="0"/>
    <n v="1"/>
    <n v="0"/>
    <n v="0"/>
  </r>
  <r>
    <x v="24"/>
    <s v="Loss"/>
    <n v="3"/>
    <n v="2"/>
    <n v="1"/>
    <x v="51"/>
    <s v="2|19000101|46223"/>
    <n v="4"/>
    <n v="2026"/>
    <n v="7"/>
    <s v="Current"/>
    <x v="14"/>
    <s v="Win"/>
    <b v="0"/>
    <n v="0"/>
    <n v="1"/>
    <n v="0"/>
    <n v="1"/>
  </r>
  <r>
    <x v="14"/>
    <s v="Win"/>
    <n v="4"/>
    <n v="2"/>
    <n v="1"/>
    <x v="51"/>
    <s v="2|19000101|46223"/>
    <n v="4"/>
    <n v="2026"/>
    <n v="7"/>
    <s v="Current"/>
    <x v="34"/>
    <s v="Loss"/>
    <b v="0"/>
    <n v="1"/>
    <n v="0"/>
    <n v="0"/>
    <n v="0"/>
  </r>
  <r>
    <x v="14"/>
    <s v="Win"/>
    <n v="4"/>
    <n v="2"/>
    <n v="1"/>
    <x v="51"/>
    <s v="2|19000101|46223"/>
    <n v="4"/>
    <n v="2026"/>
    <n v="7"/>
    <s v="Current"/>
    <x v="13"/>
    <s v="Loss"/>
    <b v="0"/>
    <n v="1"/>
    <n v="0"/>
    <n v="0"/>
    <n v="0"/>
  </r>
  <r>
    <x v="14"/>
    <s v="Win"/>
    <n v="4"/>
    <n v="2"/>
    <n v="1"/>
    <x v="51"/>
    <s v="2|19000101|46223"/>
    <n v="4"/>
    <n v="2026"/>
    <n v="7"/>
    <s v="Current"/>
    <x v="24"/>
    <s v="Loss"/>
    <b v="0"/>
    <n v="1"/>
    <n v="0"/>
    <n v="0"/>
    <n v="0"/>
  </r>
  <r>
    <x v="7"/>
    <s v="Win"/>
    <n v="1"/>
    <n v="3"/>
    <n v="1"/>
    <x v="51"/>
    <s v="3|19000101|46223"/>
    <n v="4"/>
    <n v="2026"/>
    <n v="7"/>
    <s v="Current"/>
    <x v="2"/>
    <s v="Loss"/>
    <b v="0"/>
    <n v="1"/>
    <n v="0"/>
    <n v="0"/>
    <n v="0"/>
  </r>
  <r>
    <x v="7"/>
    <s v="Win"/>
    <n v="1"/>
    <n v="3"/>
    <n v="1"/>
    <x v="51"/>
    <s v="3|19000101|46223"/>
    <n v="4"/>
    <n v="2026"/>
    <n v="7"/>
    <s v="Current"/>
    <x v="84"/>
    <s v="Loss"/>
    <b v="0"/>
    <n v="1"/>
    <n v="0"/>
    <n v="0"/>
    <n v="0"/>
  </r>
  <r>
    <x v="7"/>
    <s v="Win"/>
    <n v="1"/>
    <n v="3"/>
    <n v="1"/>
    <x v="51"/>
    <s v="3|19000101|46223"/>
    <n v="4"/>
    <n v="2026"/>
    <n v="7"/>
    <s v="Current"/>
    <x v="5"/>
    <s v="Loss"/>
    <b v="0"/>
    <n v="1"/>
    <n v="0"/>
    <n v="0"/>
    <n v="0"/>
  </r>
  <r>
    <x v="3"/>
    <s v="Loss"/>
    <n v="2"/>
    <n v="3"/>
    <n v="1"/>
    <x v="51"/>
    <s v="3|19000101|46223"/>
    <n v="4"/>
    <n v="2026"/>
    <n v="7"/>
    <s v="Current"/>
    <x v="7"/>
    <s v="Win"/>
    <b v="0"/>
    <n v="0"/>
    <n v="1"/>
    <n v="0"/>
    <n v="1"/>
  </r>
  <r>
    <x v="3"/>
    <s v="Loss"/>
    <n v="2"/>
    <n v="3"/>
    <n v="1"/>
    <x v="51"/>
    <s v="3|19000101|46223"/>
    <n v="4"/>
    <n v="2026"/>
    <n v="7"/>
    <s v="Current"/>
    <x v="84"/>
    <s v="Loss"/>
    <b v="0"/>
    <n v="0"/>
    <n v="1"/>
    <n v="0"/>
    <n v="0"/>
  </r>
  <r>
    <x v="3"/>
    <s v="Loss"/>
    <n v="2"/>
    <n v="3"/>
    <n v="1"/>
    <x v="51"/>
    <s v="3|19000101|46223"/>
    <n v="4"/>
    <n v="2026"/>
    <n v="7"/>
    <s v="Current"/>
    <x v="5"/>
    <s v="Loss"/>
    <b v="0"/>
    <n v="0"/>
    <n v="1"/>
    <n v="0"/>
    <n v="0"/>
  </r>
  <r>
    <x v="84"/>
    <s v="Loss"/>
    <n v="3"/>
    <n v="3"/>
    <n v="1"/>
    <x v="51"/>
    <s v="3|19000101|46223"/>
    <n v="4"/>
    <n v="2026"/>
    <n v="7"/>
    <s v="Current"/>
    <x v="7"/>
    <s v="Win"/>
    <b v="0"/>
    <n v="0"/>
    <n v="1"/>
    <n v="0"/>
    <n v="1"/>
  </r>
  <r>
    <x v="84"/>
    <s v="Loss"/>
    <n v="3"/>
    <n v="3"/>
    <n v="1"/>
    <x v="51"/>
    <s v="3|19000101|46223"/>
    <n v="4"/>
    <n v="2026"/>
    <n v="7"/>
    <s v="Current"/>
    <x v="2"/>
    <s v="Loss"/>
    <b v="0"/>
    <n v="0"/>
    <n v="1"/>
    <n v="0"/>
    <n v="0"/>
  </r>
  <r>
    <x v="84"/>
    <s v="Loss"/>
    <n v="3"/>
    <n v="3"/>
    <n v="1"/>
    <x v="51"/>
    <s v="3|19000101|46223"/>
    <n v="4"/>
    <n v="2026"/>
    <n v="7"/>
    <s v="Current"/>
    <x v="5"/>
    <s v="Loss"/>
    <b v="0"/>
    <n v="0"/>
    <n v="1"/>
    <n v="0"/>
    <n v="0"/>
  </r>
  <r>
    <x v="5"/>
    <s v="Loss"/>
    <n v="4"/>
    <n v="3"/>
    <n v="1"/>
    <x v="51"/>
    <s v="3|19000101|46223"/>
    <n v="4"/>
    <n v="2026"/>
    <n v="7"/>
    <s v="Current"/>
    <x v="7"/>
    <s v="Win"/>
    <b v="0"/>
    <n v="0"/>
    <n v="1"/>
    <n v="0"/>
    <n v="1"/>
  </r>
  <r>
    <x v="5"/>
    <s v="Loss"/>
    <n v="4"/>
    <n v="3"/>
    <n v="1"/>
    <x v="51"/>
    <s v="3|19000101|46223"/>
    <n v="4"/>
    <n v="2026"/>
    <n v="7"/>
    <s v="Current"/>
    <x v="2"/>
    <s v="Loss"/>
    <b v="0"/>
    <n v="0"/>
    <n v="1"/>
    <n v="0"/>
    <n v="0"/>
  </r>
  <r>
    <x v="5"/>
    <s v="Loss"/>
    <n v="4"/>
    <n v="3"/>
    <n v="1"/>
    <x v="51"/>
    <s v="3|19000101|46223"/>
    <n v="4"/>
    <n v="2026"/>
    <n v="7"/>
    <s v="Current"/>
    <x v="84"/>
    <s v="Loss"/>
    <b v="0"/>
    <n v="0"/>
    <n v="1"/>
    <n v="0"/>
    <n v="0"/>
  </r>
  <r>
    <x v="1"/>
    <s v="Loss"/>
    <n v="1"/>
    <n v="4"/>
    <n v="1"/>
    <x v="51"/>
    <s v="4|19000101|46223"/>
    <n v="3"/>
    <n v="2026"/>
    <n v="7"/>
    <s v="Current"/>
    <x v="21"/>
    <s v="Loss"/>
    <b v="0"/>
    <n v="0"/>
    <n v="1"/>
    <n v="0"/>
    <n v="0"/>
  </r>
  <r>
    <x v="1"/>
    <s v="Loss"/>
    <n v="1"/>
    <n v="4"/>
    <n v="1"/>
    <x v="51"/>
    <s v="4|19000101|46223"/>
    <n v="3"/>
    <n v="2026"/>
    <n v="7"/>
    <s v="Current"/>
    <x v="17"/>
    <s v="Win"/>
    <b v="0"/>
    <n v="0"/>
    <n v="1"/>
    <n v="0"/>
    <n v="1"/>
  </r>
  <r>
    <x v="21"/>
    <s v="Loss"/>
    <n v="2"/>
    <n v="4"/>
    <n v="1"/>
    <x v="51"/>
    <s v="4|19000101|46223"/>
    <n v="3"/>
    <n v="2026"/>
    <n v="7"/>
    <s v="Current"/>
    <x v="0"/>
    <s v="Loss"/>
    <b v="0"/>
    <n v="0"/>
    <n v="1"/>
    <n v="0"/>
    <n v="0"/>
  </r>
  <r>
    <x v="21"/>
    <s v="Loss"/>
    <n v="2"/>
    <n v="4"/>
    <n v="1"/>
    <x v="51"/>
    <s v="4|19000101|46223"/>
    <n v="3"/>
    <n v="2026"/>
    <n v="7"/>
    <s v="Current"/>
    <x v="17"/>
    <s v="Win"/>
    <b v="0"/>
    <n v="0"/>
    <n v="1"/>
    <n v="0"/>
    <n v="1"/>
  </r>
  <r>
    <x v="17"/>
    <s v="Win"/>
    <n v="3"/>
    <n v="4"/>
    <n v="1"/>
    <x v="51"/>
    <s v="4|19000101|46223"/>
    <n v="3"/>
    <n v="2026"/>
    <n v="7"/>
    <s v="Current"/>
    <x v="0"/>
    <s v="Loss"/>
    <b v="0"/>
    <n v="1"/>
    <n v="0"/>
    <n v="0"/>
    <n v="0"/>
  </r>
  <r>
    <x v="17"/>
    <s v="Win"/>
    <n v="3"/>
    <n v="4"/>
    <n v="1"/>
    <x v="51"/>
    <s v="4|19000101|46223"/>
    <n v="3"/>
    <n v="2026"/>
    <n v="7"/>
    <s v="Current"/>
    <x v="21"/>
    <s v="Loss"/>
    <b v="0"/>
    <n v="1"/>
    <n v="0"/>
    <n v="0"/>
    <n v="0"/>
  </r>
  <r>
    <x v="14"/>
    <s v="Draw"/>
    <n v="1"/>
    <n v="1"/>
    <n v="2"/>
    <x v="51"/>
    <s v="1|19000102|46223"/>
    <n v="4"/>
    <n v="2026"/>
    <n v="7"/>
    <s v="Current"/>
    <x v="17"/>
    <s v="Draw"/>
    <b v="0"/>
    <n v="0"/>
    <n v="0"/>
    <n v="1"/>
    <n v="0"/>
  </r>
  <r>
    <x v="14"/>
    <s v="Draw"/>
    <n v="1"/>
    <n v="1"/>
    <n v="2"/>
    <x v="51"/>
    <s v="1|19000102|46223"/>
    <n v="4"/>
    <n v="2026"/>
    <n v="7"/>
    <s v="Current"/>
    <x v="1"/>
    <s v="Draw"/>
    <b v="0"/>
    <n v="0"/>
    <n v="0"/>
    <n v="1"/>
    <n v="0"/>
  </r>
  <r>
    <x v="14"/>
    <s v="Draw"/>
    <n v="1"/>
    <n v="1"/>
    <n v="2"/>
    <x v="51"/>
    <s v="1|19000102|46223"/>
    <n v="4"/>
    <n v="2026"/>
    <n v="7"/>
    <s v="Current"/>
    <x v="7"/>
    <s v="Draw"/>
    <b v="0"/>
    <n v="0"/>
    <n v="0"/>
    <n v="1"/>
    <n v="0"/>
  </r>
  <r>
    <x v="17"/>
    <s v="Draw"/>
    <n v="2"/>
    <n v="1"/>
    <n v="2"/>
    <x v="51"/>
    <s v="1|19000102|46223"/>
    <n v="4"/>
    <n v="2026"/>
    <n v="7"/>
    <s v="Current"/>
    <x v="14"/>
    <s v="Draw"/>
    <b v="0"/>
    <n v="0"/>
    <n v="0"/>
    <n v="1"/>
    <n v="0"/>
  </r>
  <r>
    <x v="17"/>
    <s v="Draw"/>
    <n v="2"/>
    <n v="1"/>
    <n v="2"/>
    <x v="51"/>
    <s v="1|19000102|46223"/>
    <n v="4"/>
    <n v="2026"/>
    <n v="7"/>
    <s v="Current"/>
    <x v="1"/>
    <s v="Draw"/>
    <b v="0"/>
    <n v="0"/>
    <n v="0"/>
    <n v="1"/>
    <n v="0"/>
  </r>
  <r>
    <x v="17"/>
    <s v="Draw"/>
    <n v="2"/>
    <n v="1"/>
    <n v="2"/>
    <x v="51"/>
    <s v="1|19000102|46223"/>
    <n v="4"/>
    <n v="2026"/>
    <n v="7"/>
    <s v="Current"/>
    <x v="7"/>
    <s v="Draw"/>
    <b v="0"/>
    <n v="0"/>
    <n v="0"/>
    <n v="1"/>
    <n v="0"/>
  </r>
  <r>
    <x v="2"/>
    <s v="Draw"/>
    <n v="3"/>
    <n v="1"/>
    <n v="2"/>
    <x v="51"/>
    <s v="1|19000102|46223"/>
    <n v="4"/>
    <n v="2026"/>
    <n v="7"/>
    <s v="Current"/>
    <x v="14"/>
    <s v="Draw"/>
    <b v="0"/>
    <n v="0"/>
    <n v="0"/>
    <n v="1"/>
    <n v="0"/>
  </r>
  <r>
    <x v="2"/>
    <s v="Draw"/>
    <n v="3"/>
    <n v="1"/>
    <n v="2"/>
    <x v="51"/>
    <s v="1|19000102|46223"/>
    <n v="4"/>
    <n v="2026"/>
    <n v="7"/>
    <s v="Current"/>
    <x v="17"/>
    <s v="Draw"/>
    <b v="0"/>
    <n v="0"/>
    <n v="0"/>
    <n v="1"/>
    <n v="0"/>
  </r>
  <r>
    <x v="2"/>
    <s v="Draw"/>
    <n v="3"/>
    <n v="1"/>
    <n v="2"/>
    <x v="51"/>
    <s v="1|19000102|46223"/>
    <n v="4"/>
    <n v="2026"/>
    <n v="7"/>
    <s v="Current"/>
    <x v="7"/>
    <s v="Draw"/>
    <b v="0"/>
    <n v="0"/>
    <n v="0"/>
    <n v="1"/>
    <n v="0"/>
  </r>
  <r>
    <x v="7"/>
    <s v="Draw"/>
    <n v="4"/>
    <n v="1"/>
    <n v="2"/>
    <x v="51"/>
    <s v="1|19000102|46223"/>
    <n v="4"/>
    <n v="2026"/>
    <n v="7"/>
    <s v="Current"/>
    <x v="14"/>
    <s v="Draw"/>
    <b v="0"/>
    <n v="0"/>
    <n v="0"/>
    <n v="1"/>
    <n v="0"/>
  </r>
  <r>
    <x v="7"/>
    <s v="Draw"/>
    <n v="4"/>
    <n v="1"/>
    <n v="2"/>
    <x v="51"/>
    <s v="1|19000102|46223"/>
    <n v="4"/>
    <n v="2026"/>
    <n v="7"/>
    <s v="Current"/>
    <x v="17"/>
    <s v="Draw"/>
    <b v="0"/>
    <n v="0"/>
    <n v="0"/>
    <n v="1"/>
    <n v="0"/>
  </r>
  <r>
    <x v="7"/>
    <s v="Draw"/>
    <n v="4"/>
    <n v="1"/>
    <n v="2"/>
    <x v="51"/>
    <s v="1|19000102|46223"/>
    <n v="4"/>
    <n v="2026"/>
    <n v="7"/>
    <s v="Current"/>
    <x v="1"/>
    <s v="Draw"/>
    <b v="0"/>
    <n v="0"/>
    <n v="0"/>
    <n v="1"/>
    <n v="0"/>
  </r>
  <r>
    <x v="34"/>
    <s v="Loss"/>
    <n v="1"/>
    <n v="2"/>
    <n v="2"/>
    <x v="51"/>
    <s v="2|19000102|46223"/>
    <n v="4"/>
    <n v="2026"/>
    <n v="7"/>
    <s v="Current"/>
    <x v="0"/>
    <s v="Win"/>
    <b v="0"/>
    <n v="0"/>
    <n v="1"/>
    <n v="0"/>
    <n v="1"/>
  </r>
  <r>
    <x v="34"/>
    <s v="Loss"/>
    <n v="1"/>
    <n v="2"/>
    <n v="2"/>
    <x v="51"/>
    <s v="2|19000102|46223"/>
    <n v="4"/>
    <n v="2026"/>
    <n v="7"/>
    <s v="Current"/>
    <x v="2"/>
    <s v="Loss"/>
    <b v="0"/>
    <n v="0"/>
    <n v="1"/>
    <n v="0"/>
    <n v="0"/>
  </r>
  <r>
    <x v="34"/>
    <s v="Loss"/>
    <n v="1"/>
    <n v="2"/>
    <n v="2"/>
    <x v="51"/>
    <s v="2|19000102|46223"/>
    <n v="4"/>
    <n v="2026"/>
    <n v="7"/>
    <s v="Current"/>
    <x v="4"/>
    <s v="Loss"/>
    <b v="0"/>
    <n v="0"/>
    <n v="1"/>
    <n v="0"/>
    <n v="0"/>
  </r>
  <r>
    <x v="1"/>
    <s v="Win"/>
    <n v="2"/>
    <n v="2"/>
    <n v="2"/>
    <x v="51"/>
    <s v="2|19000102|46223"/>
    <n v="4"/>
    <n v="2026"/>
    <n v="7"/>
    <s v="Current"/>
    <x v="34"/>
    <s v="Loss"/>
    <b v="0"/>
    <n v="1"/>
    <n v="0"/>
    <n v="0"/>
    <n v="0"/>
  </r>
  <r>
    <x v="1"/>
    <s v="Win"/>
    <n v="2"/>
    <n v="2"/>
    <n v="2"/>
    <x v="51"/>
    <s v="2|19000102|46223"/>
    <n v="4"/>
    <n v="2026"/>
    <n v="7"/>
    <s v="Current"/>
    <x v="2"/>
    <s v="Loss"/>
    <b v="0"/>
    <n v="1"/>
    <n v="0"/>
    <n v="0"/>
    <n v="0"/>
  </r>
  <r>
    <x v="1"/>
    <s v="Win"/>
    <n v="2"/>
    <n v="2"/>
    <n v="2"/>
    <x v="51"/>
    <s v="2|19000102|46223"/>
    <n v="4"/>
    <n v="2026"/>
    <n v="7"/>
    <s v="Current"/>
    <x v="4"/>
    <s v="Loss"/>
    <b v="0"/>
    <n v="1"/>
    <n v="0"/>
    <n v="0"/>
    <n v="0"/>
  </r>
  <r>
    <x v="3"/>
    <s v="Loss"/>
    <n v="3"/>
    <n v="2"/>
    <n v="2"/>
    <x v="51"/>
    <s v="2|19000102|46223"/>
    <n v="4"/>
    <n v="2026"/>
    <n v="7"/>
    <s v="Current"/>
    <x v="34"/>
    <s v="Loss"/>
    <b v="0"/>
    <n v="0"/>
    <n v="1"/>
    <n v="0"/>
    <n v="0"/>
  </r>
  <r>
    <x v="3"/>
    <s v="Loss"/>
    <n v="3"/>
    <n v="2"/>
    <n v="2"/>
    <x v="51"/>
    <s v="2|19000102|46223"/>
    <n v="4"/>
    <n v="2026"/>
    <n v="7"/>
    <s v="Current"/>
    <x v="0"/>
    <s v="Win"/>
    <b v="0"/>
    <n v="0"/>
    <n v="1"/>
    <n v="0"/>
    <n v="1"/>
  </r>
  <r>
    <x v="3"/>
    <s v="Loss"/>
    <n v="3"/>
    <n v="2"/>
    <n v="2"/>
    <x v="51"/>
    <s v="2|19000102|46223"/>
    <n v="4"/>
    <n v="2026"/>
    <n v="7"/>
    <s v="Current"/>
    <x v="4"/>
    <s v="Loss"/>
    <b v="0"/>
    <n v="0"/>
    <n v="1"/>
    <n v="0"/>
    <n v="0"/>
  </r>
  <r>
    <x v="4"/>
    <s v="Loss"/>
    <n v="4"/>
    <n v="2"/>
    <n v="2"/>
    <x v="51"/>
    <s v="2|19000102|46223"/>
    <n v="4"/>
    <n v="2026"/>
    <n v="7"/>
    <s v="Current"/>
    <x v="34"/>
    <s v="Loss"/>
    <b v="0"/>
    <n v="0"/>
    <n v="1"/>
    <n v="0"/>
    <n v="0"/>
  </r>
  <r>
    <x v="4"/>
    <s v="Loss"/>
    <n v="4"/>
    <n v="2"/>
    <n v="2"/>
    <x v="51"/>
    <s v="2|19000102|46223"/>
    <n v="4"/>
    <n v="2026"/>
    <n v="7"/>
    <s v="Current"/>
    <x v="0"/>
    <s v="Win"/>
    <b v="0"/>
    <n v="0"/>
    <n v="1"/>
    <n v="0"/>
    <n v="1"/>
  </r>
  <r>
    <x v="4"/>
    <s v="Loss"/>
    <n v="4"/>
    <n v="2"/>
    <n v="2"/>
    <x v="51"/>
    <s v="2|19000102|46223"/>
    <n v="4"/>
    <n v="2026"/>
    <n v="7"/>
    <s v="Current"/>
    <x v="2"/>
    <s v="Loss"/>
    <b v="0"/>
    <n v="0"/>
    <n v="1"/>
    <n v="0"/>
    <n v="0"/>
  </r>
  <r>
    <x v="46"/>
    <s v="Loss"/>
    <n v="1"/>
    <n v="3"/>
    <n v="2"/>
    <x v="51"/>
    <s v="3|19000102|46223"/>
    <n v="4"/>
    <n v="2026"/>
    <n v="7"/>
    <s v="Current"/>
    <x v="84"/>
    <s v="Win"/>
    <b v="0"/>
    <n v="0"/>
    <n v="1"/>
    <n v="0"/>
    <n v="1"/>
  </r>
  <r>
    <x v="46"/>
    <s v="Loss"/>
    <n v="1"/>
    <n v="3"/>
    <n v="2"/>
    <x v="51"/>
    <s v="3|19000102|46223"/>
    <n v="4"/>
    <n v="2026"/>
    <n v="7"/>
    <s v="Current"/>
    <x v="21"/>
    <s v="Loss"/>
    <b v="0"/>
    <n v="0"/>
    <n v="1"/>
    <n v="0"/>
    <n v="0"/>
  </r>
  <r>
    <x v="46"/>
    <s v="Loss"/>
    <n v="1"/>
    <n v="3"/>
    <n v="2"/>
    <x v="51"/>
    <s v="3|19000102|46223"/>
    <n v="4"/>
    <n v="2026"/>
    <n v="7"/>
    <s v="Current"/>
    <x v="13"/>
    <s v="Loss"/>
    <b v="0"/>
    <n v="0"/>
    <n v="1"/>
    <n v="0"/>
    <n v="0"/>
  </r>
  <r>
    <x v="84"/>
    <s v="Win"/>
    <n v="2"/>
    <n v="3"/>
    <n v="2"/>
    <x v="51"/>
    <s v="3|19000102|46223"/>
    <n v="4"/>
    <n v="2026"/>
    <n v="7"/>
    <s v="Current"/>
    <x v="46"/>
    <s v="Loss"/>
    <b v="0"/>
    <n v="1"/>
    <n v="0"/>
    <n v="0"/>
    <n v="0"/>
  </r>
  <r>
    <x v="84"/>
    <s v="Win"/>
    <n v="2"/>
    <n v="3"/>
    <n v="2"/>
    <x v="51"/>
    <s v="3|19000102|46223"/>
    <n v="4"/>
    <n v="2026"/>
    <n v="7"/>
    <s v="Current"/>
    <x v="21"/>
    <s v="Loss"/>
    <b v="0"/>
    <n v="1"/>
    <n v="0"/>
    <n v="0"/>
    <n v="0"/>
  </r>
  <r>
    <x v="84"/>
    <s v="Win"/>
    <n v="2"/>
    <n v="3"/>
    <n v="2"/>
    <x v="51"/>
    <s v="3|19000102|46223"/>
    <n v="4"/>
    <n v="2026"/>
    <n v="7"/>
    <s v="Current"/>
    <x v="13"/>
    <s v="Loss"/>
    <b v="0"/>
    <n v="1"/>
    <n v="0"/>
    <n v="0"/>
    <n v="0"/>
  </r>
  <r>
    <x v="21"/>
    <s v="Loss"/>
    <n v="3"/>
    <n v="3"/>
    <n v="2"/>
    <x v="51"/>
    <s v="3|19000102|46223"/>
    <n v="4"/>
    <n v="2026"/>
    <n v="7"/>
    <s v="Current"/>
    <x v="46"/>
    <s v="Loss"/>
    <b v="0"/>
    <n v="0"/>
    <n v="1"/>
    <n v="0"/>
    <n v="0"/>
  </r>
  <r>
    <x v="21"/>
    <s v="Loss"/>
    <n v="3"/>
    <n v="3"/>
    <n v="2"/>
    <x v="51"/>
    <s v="3|19000102|46223"/>
    <n v="4"/>
    <n v="2026"/>
    <n v="7"/>
    <s v="Current"/>
    <x v="84"/>
    <s v="Win"/>
    <b v="0"/>
    <n v="0"/>
    <n v="1"/>
    <n v="0"/>
    <n v="1"/>
  </r>
  <r>
    <x v="21"/>
    <s v="Loss"/>
    <n v="3"/>
    <n v="3"/>
    <n v="2"/>
    <x v="51"/>
    <s v="3|19000102|46223"/>
    <n v="4"/>
    <n v="2026"/>
    <n v="7"/>
    <s v="Current"/>
    <x v="13"/>
    <s v="Loss"/>
    <b v="0"/>
    <n v="0"/>
    <n v="1"/>
    <n v="0"/>
    <n v="0"/>
  </r>
  <r>
    <x v="13"/>
    <s v="Loss"/>
    <n v="4"/>
    <n v="3"/>
    <n v="2"/>
    <x v="51"/>
    <s v="3|19000102|46223"/>
    <n v="4"/>
    <n v="2026"/>
    <n v="7"/>
    <s v="Current"/>
    <x v="46"/>
    <s v="Loss"/>
    <b v="0"/>
    <n v="0"/>
    <n v="1"/>
    <n v="0"/>
    <n v="0"/>
  </r>
  <r>
    <x v="13"/>
    <s v="Loss"/>
    <n v="4"/>
    <n v="3"/>
    <n v="2"/>
    <x v="51"/>
    <s v="3|19000102|46223"/>
    <n v="4"/>
    <n v="2026"/>
    <n v="7"/>
    <s v="Current"/>
    <x v="84"/>
    <s v="Win"/>
    <b v="0"/>
    <n v="0"/>
    <n v="1"/>
    <n v="0"/>
    <n v="1"/>
  </r>
  <r>
    <x v="13"/>
    <s v="Loss"/>
    <n v="4"/>
    <n v="3"/>
    <n v="2"/>
    <x v="51"/>
    <s v="3|19000102|46223"/>
    <n v="4"/>
    <n v="2026"/>
    <n v="7"/>
    <s v="Current"/>
    <x v="21"/>
    <s v="Loss"/>
    <b v="0"/>
    <n v="0"/>
    <n v="1"/>
    <n v="0"/>
    <n v="0"/>
  </r>
  <r>
    <x v="5"/>
    <s v="Loss"/>
    <n v="1"/>
    <n v="4"/>
    <n v="2"/>
    <x v="51"/>
    <s v="4|19000102|46223"/>
    <n v="3"/>
    <n v="2026"/>
    <n v="7"/>
    <s v="Current"/>
    <x v="24"/>
    <s v="Win"/>
    <b v="0"/>
    <n v="0"/>
    <n v="1"/>
    <n v="0"/>
    <n v="1"/>
  </r>
  <r>
    <x v="5"/>
    <s v="Loss"/>
    <n v="1"/>
    <n v="4"/>
    <n v="2"/>
    <x v="51"/>
    <s v="4|19000102|46223"/>
    <n v="3"/>
    <n v="2026"/>
    <n v="7"/>
    <s v="Current"/>
    <x v="18"/>
    <s v="Loss"/>
    <b v="0"/>
    <n v="0"/>
    <n v="1"/>
    <n v="0"/>
    <n v="0"/>
  </r>
  <r>
    <x v="24"/>
    <s v="Win"/>
    <n v="2"/>
    <n v="4"/>
    <n v="2"/>
    <x v="51"/>
    <s v="4|19000102|46223"/>
    <n v="3"/>
    <n v="2026"/>
    <n v="7"/>
    <s v="Current"/>
    <x v="5"/>
    <s v="Loss"/>
    <b v="0"/>
    <n v="1"/>
    <n v="0"/>
    <n v="0"/>
    <n v="0"/>
  </r>
  <r>
    <x v="24"/>
    <s v="Win"/>
    <n v="2"/>
    <n v="4"/>
    <n v="2"/>
    <x v="51"/>
    <s v="4|19000102|46223"/>
    <n v="3"/>
    <n v="2026"/>
    <n v="7"/>
    <s v="Current"/>
    <x v="18"/>
    <s v="Loss"/>
    <b v="0"/>
    <n v="1"/>
    <n v="0"/>
    <n v="0"/>
    <n v="0"/>
  </r>
  <r>
    <x v="18"/>
    <s v="Loss"/>
    <n v="3"/>
    <n v="4"/>
    <n v="2"/>
    <x v="51"/>
    <s v="4|19000102|46223"/>
    <n v="3"/>
    <n v="2026"/>
    <n v="7"/>
    <s v="Current"/>
    <x v="5"/>
    <s v="Loss"/>
    <b v="0"/>
    <n v="0"/>
    <n v="1"/>
    <n v="0"/>
    <n v="0"/>
  </r>
  <r>
    <x v="18"/>
    <s v="Loss"/>
    <n v="3"/>
    <n v="4"/>
    <n v="2"/>
    <x v="51"/>
    <s v="4|19000102|46223"/>
    <n v="3"/>
    <n v="2026"/>
    <n v="7"/>
    <s v="Current"/>
    <x v="24"/>
    <s v="Win"/>
    <b v="0"/>
    <n v="0"/>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5" firstHeaderRow="1" firstDataRow="2" firstDataCol="1" rowPageCount="2"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axis="axisPage" showAll="0">
      <items count="4">
        <item x="1"/>
        <item x="0"/>
        <item m="1" x="2"/>
        <item t="default"/>
      </items>
    </pivotField>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6">
        <item x="0"/>
        <item x="4"/>
        <item x="40"/>
        <item x="50"/>
        <item x="14"/>
        <item x="5"/>
        <item x="18"/>
        <item m="1" x="116"/>
        <item x="1"/>
        <item x="10"/>
        <item x="15"/>
        <item x="8"/>
        <item x="2"/>
        <item x="34"/>
        <item x="62"/>
        <item m="1" x="129"/>
        <item x="9"/>
        <item x="61"/>
        <item x="22"/>
        <item x="24"/>
        <item m="1" x="128"/>
        <item m="1" x="122"/>
        <item x="55"/>
        <item x="53"/>
        <item x="35"/>
        <item x="13"/>
        <item x="37"/>
        <item x="56"/>
        <item x="51"/>
        <item m="1" x="112"/>
        <item x="29"/>
        <item x="36"/>
        <item x="49"/>
        <item x="3"/>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m="1" x="99"/>
        <item x="48"/>
        <item x="46"/>
        <item x="43"/>
        <item m="1" x="126"/>
        <item m="1" x="121"/>
        <item x="21"/>
        <item x="44"/>
        <item m="1" x="127"/>
        <item x="11"/>
        <item x="16"/>
        <item x="58"/>
        <item m="1" x="96"/>
        <item x="64"/>
        <item m="1" x="124"/>
        <item m="1" x="123"/>
        <item x="66"/>
        <item x="65"/>
        <item x="67"/>
        <item x="68"/>
        <item x="69"/>
        <item x="70"/>
        <item x="71"/>
        <item x="72"/>
        <item x="32"/>
        <item x="38"/>
        <item x="39"/>
        <item x="41"/>
        <item x="73"/>
        <item x="74"/>
        <item m="1" x="114"/>
        <item m="1" x="115"/>
        <item m="1" x="113"/>
        <item m="1" x="109"/>
        <item m="1" x="100"/>
        <item m="1" x="111"/>
        <item x="76"/>
        <item x="77"/>
        <item x="78"/>
        <item m="1" x="107"/>
        <item x="79"/>
        <item m="1" x="101"/>
        <item x="80"/>
        <item m="1" x="108"/>
        <item m="1" x="94"/>
        <item m="1" x="102"/>
        <item x="47"/>
        <item x="81"/>
        <item x="82"/>
        <item x="83"/>
        <item x="84"/>
        <item x="75"/>
        <item m="1" x="104"/>
        <item m="1" x="105"/>
        <item x="85"/>
        <item x="86"/>
        <item m="1" x="103"/>
        <item x="87"/>
        <item m="1" x="106"/>
        <item x="88"/>
        <item x="89"/>
        <item m="1" x="98"/>
        <item x="91"/>
        <item x="92"/>
        <item x="90"/>
        <item m="1" x="97"/>
        <item m="1" x="95"/>
        <item x="93"/>
        <item t="default"/>
      </items>
    </pivotField>
    <pivotField showAll="0"/>
    <pivotField showAll="0"/>
    <pivotField showAll="0"/>
    <pivotField showAll="0"/>
    <pivotField numFmtId="22" showAll="0">
      <items count="53">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t="default"/>
      </items>
    </pivotField>
    <pivotField dataField="1" showAll="0"/>
    <pivotField showAll="0"/>
    <pivotField showAll="0"/>
    <pivotField showAll="0"/>
    <pivotField showAll="0"/>
    <pivotField axis="axisRow" showAll="0" sortType="descending">
      <items count="136">
        <item x="3"/>
        <item x="4"/>
        <item x="40"/>
        <item x="50"/>
        <item x="14"/>
        <item x="5"/>
        <item x="18"/>
        <item m="1" x="116"/>
        <item x="0"/>
        <item x="10"/>
        <item x="15"/>
        <item x="8"/>
        <item x="1"/>
        <item x="34"/>
        <item x="62"/>
        <item m="1" x="129"/>
        <item x="9"/>
        <item x="61"/>
        <item x="22"/>
        <item x="24"/>
        <item m="1" x="128"/>
        <item m="1" x="122"/>
        <item x="55"/>
        <item x="53"/>
        <item x="35"/>
        <item x="13"/>
        <item x="37"/>
        <item x="56"/>
        <item x="51"/>
        <item m="1" x="112"/>
        <item x="29"/>
        <item x="36"/>
        <item x="49"/>
        <item x="2"/>
        <item x="54"/>
        <item x="25"/>
        <item x="60"/>
        <item x="63"/>
        <item x="6"/>
        <item x="19"/>
        <item x="52"/>
        <item x="20"/>
        <item x="23"/>
        <item x="27"/>
        <item x="30"/>
        <item x="26"/>
        <item x="57"/>
        <item x="17"/>
        <item x="7"/>
        <item x="31"/>
        <item x="59"/>
        <item m="1" x="110"/>
        <item x="33"/>
        <item m="1" x="125"/>
        <item m="1" x="119"/>
        <item m="1" x="118"/>
        <item x="12"/>
        <item m="1" x="120"/>
        <item x="42"/>
        <item m="1" x="134"/>
        <item m="1" x="132"/>
        <item m="1" x="133"/>
        <item m="1" x="130"/>
        <item m="1" x="131"/>
        <item x="28"/>
        <item m="1" x="117"/>
        <item x="45"/>
        <item x="47"/>
        <item m="1" x="99"/>
        <item x="46"/>
        <item x="43"/>
        <item m="1" x="126"/>
        <item m="1" x="121"/>
        <item x="21"/>
        <item x="44"/>
        <item m="1" x="127"/>
        <item x="11"/>
        <item x="16"/>
        <item x="58"/>
        <item m="1" x="96"/>
        <item x="64"/>
        <item m="1" x="124"/>
        <item m="1" x="123"/>
        <item x="65"/>
        <item x="66"/>
        <item x="67"/>
        <item x="68"/>
        <item x="69"/>
        <item x="70"/>
        <item x="71"/>
        <item x="72"/>
        <item x="32"/>
        <item x="38"/>
        <item x="39"/>
        <item x="41"/>
        <item x="73"/>
        <item x="74"/>
        <item m="1" x="114"/>
        <item m="1" x="115"/>
        <item m="1" x="113"/>
        <item m="1" x="109"/>
        <item m="1" x="100"/>
        <item m="1" x="111"/>
        <item x="76"/>
        <item x="77"/>
        <item x="78"/>
        <item m="1" x="107"/>
        <item x="79"/>
        <item m="1" x="101"/>
        <item m="1" x="108"/>
        <item x="80"/>
        <item m="1" x="94"/>
        <item m="1" x="102"/>
        <item x="48"/>
        <item x="81"/>
        <item x="82"/>
        <item x="83"/>
        <item x="84"/>
        <item x="75"/>
        <item m="1" x="105"/>
        <item x="85"/>
        <item m="1" x="104"/>
        <item x="86"/>
        <item m="1" x="103"/>
        <item x="87"/>
        <item m="1" x="106"/>
        <item x="88"/>
        <item x="89"/>
        <item m="1" x="98"/>
        <item x="91"/>
        <item x="92"/>
        <item x="90"/>
        <item m="1" x="97"/>
        <item m="1" x="95"/>
        <item x="93"/>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
    </i>
    <i>
      <x v="12"/>
    </i>
    <i>
      <x v="6"/>
    </i>
    <i>
      <x v="33"/>
    </i>
    <i>
      <x v="4"/>
    </i>
    <i>
      <x v="19"/>
    </i>
    <i>
      <x v="48"/>
    </i>
    <i>
      <x v="5"/>
    </i>
    <i>
      <x v="9"/>
    </i>
    <i>
      <x v="10"/>
    </i>
    <i>
      <x v="56"/>
    </i>
    <i>
      <x v="74"/>
    </i>
    <i>
      <x v="25"/>
    </i>
    <i>
      <x v="64"/>
    </i>
    <i>
      <x v="13"/>
    </i>
    <i>
      <x v="41"/>
    </i>
    <i>
      <x v="88"/>
    </i>
    <i>
      <x v="42"/>
    </i>
    <i>
      <x v="49"/>
    </i>
    <i>
      <x v="77"/>
    </i>
    <i>
      <x v="43"/>
    </i>
    <i>
      <x v="45"/>
    </i>
    <i>
      <x v="70"/>
    </i>
    <i>
      <x v="69"/>
    </i>
    <i>
      <x v="107"/>
    </i>
    <i>
      <x/>
    </i>
    <i>
      <x v="76"/>
    </i>
    <i>
      <x v="116"/>
    </i>
    <i>
      <x v="91"/>
    </i>
    <i>
      <x v="39"/>
    </i>
    <i>
      <x v="31"/>
    </i>
    <i>
      <x v="11"/>
    </i>
    <i>
      <x v="52"/>
    </i>
    <i>
      <x v="117"/>
    </i>
    <i>
      <x v="35"/>
    </i>
    <i>
      <x v="38"/>
    </i>
    <i>
      <x v="44"/>
    </i>
    <i>
      <x v="105"/>
    </i>
    <i>
      <x v="93"/>
    </i>
    <i>
      <x v="37"/>
    </i>
    <i>
      <x v="110"/>
    </i>
    <i>
      <x v="14"/>
    </i>
    <i>
      <x v="36"/>
    </i>
    <i>
      <x v="120"/>
    </i>
    <i>
      <x v="95"/>
    </i>
    <i>
      <x v="131"/>
    </i>
    <i>
      <x v="66"/>
    </i>
    <i>
      <x v="27"/>
    </i>
    <i>
      <x v="3"/>
    </i>
    <i>
      <x v="2"/>
    </i>
    <i>
      <x v="118"/>
    </i>
    <i>
      <x v="90"/>
    </i>
    <i>
      <x v="30"/>
    </i>
    <i>
      <x v="134"/>
    </i>
    <i>
      <x v="78"/>
    </i>
    <i>
      <x v="87"/>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4" firstHeaderRow="1" firstDataRow="2" firstDataCol="1" rowPageCount="1" colPageCount="1"/>
  <pivotFields count="11">
    <pivotField axis="axisRow" showAll="0">
      <items count="150">
        <item x="1"/>
        <item x="8"/>
        <item x="9"/>
        <item x="11"/>
        <item x="13"/>
        <item x="15"/>
        <item m="1" x="130"/>
        <item x="42"/>
        <item x="47"/>
        <item x="48"/>
        <item x="50"/>
        <item x="51"/>
        <item x="55"/>
        <item x="56"/>
        <item x="57"/>
        <item x="58"/>
        <item x="61"/>
        <item x="0"/>
        <item m="1" x="117"/>
        <item x="72"/>
        <item x="18"/>
        <item x="33"/>
        <item x="53"/>
        <item x="22"/>
        <item m="1" x="143"/>
        <item m="1" x="144"/>
        <item m="1" x="145"/>
        <item m="1" x="146"/>
        <item m="1" x="147"/>
        <item m="1" x="148"/>
        <item x="60"/>
        <item m="1" x="111"/>
        <item x="45"/>
        <item x="27"/>
        <item x="44"/>
        <item x="26"/>
        <item x="52"/>
        <item m="1" x="141"/>
        <item x="43"/>
        <item x="6"/>
        <item x="35"/>
        <item x="23"/>
        <item m="1" x="129"/>
        <item x="49"/>
        <item x="36"/>
        <item m="1" x="123"/>
        <item x="19"/>
        <item m="1" x="142"/>
        <item m="1" x="138"/>
        <item x="16"/>
        <item m="1" x="113"/>
        <item x="38"/>
        <item x="31"/>
        <item x="21"/>
        <item x="46"/>
        <item m="1" x="139"/>
        <item x="62"/>
        <item m="1" x="140"/>
        <item x="39"/>
        <item x="17"/>
        <item x="41"/>
        <item x="3"/>
        <item m="1" x="107"/>
        <item x="32"/>
        <item x="20"/>
        <item x="30"/>
        <item x="59"/>
        <item x="34"/>
        <item m="1" x="137"/>
        <item m="1" x="126"/>
        <item m="1" x="119"/>
        <item m="1" x="118"/>
        <item x="12"/>
        <item m="1" x="121"/>
        <item x="40"/>
        <item m="1" x="136"/>
        <item m="1" x="134"/>
        <item m="1" x="133"/>
        <item m="1" x="135"/>
        <item m="1" x="131"/>
        <item m="1" x="132"/>
        <item m="1" x="120"/>
        <item x="5"/>
        <item m="1" x="99"/>
        <item x="29"/>
        <item x="10"/>
        <item x="37"/>
        <item m="1" x="127"/>
        <item m="1" x="122"/>
        <item x="4"/>
        <item m="1" x="128"/>
        <item x="25"/>
        <item x="14"/>
        <item x="54"/>
        <item m="1" x="96"/>
        <item x="63"/>
        <item m="1" x="125"/>
        <item m="1" x="124"/>
        <item x="65"/>
        <item x="66"/>
        <item x="67"/>
        <item x="68"/>
        <item x="69"/>
        <item x="70"/>
        <item x="71"/>
        <item x="7"/>
        <item x="24"/>
        <item x="28"/>
        <item x="64"/>
        <item x="73"/>
        <item x="74"/>
        <item m="1" x="115"/>
        <item m="1" x="116"/>
        <item m="1" x="114"/>
        <item m="1" x="109"/>
        <item m="1" x="100"/>
        <item m="1" x="112"/>
        <item x="76"/>
        <item x="77"/>
        <item x="78"/>
        <item m="1" x="110"/>
        <item x="79"/>
        <item m="1" x="101"/>
        <item x="80"/>
        <item m="1" x="108"/>
        <item m="1" x="94"/>
        <item m="1" x="102"/>
        <item x="2"/>
        <item x="81"/>
        <item x="82"/>
        <item x="83"/>
        <item x="84"/>
        <item x="75"/>
        <item m="1" x="104"/>
        <item m="1" x="105"/>
        <item x="85"/>
        <item x="86"/>
        <item m="1" x="103"/>
        <item x="87"/>
        <item m="1" x="106"/>
        <item x="88"/>
        <item x="89"/>
        <item m="1" x="98"/>
        <item x="91"/>
        <item x="92"/>
        <item x="90"/>
        <item m="1" x="97"/>
        <item m="1" x="95"/>
        <item x="93"/>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h="1" x="4"/>
        <item h="1" x="5"/>
        <item h="1" x="3"/>
        <item h="1" x="1"/>
        <item h="1" x="0"/>
        <item t="default"/>
      </items>
    </pivotField>
    <pivotField showAll="0"/>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2"/>
        <filter val="4"/>
        <filter val="6"/>
        <filter val="8"/>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912" totalsRowShown="0">
  <autoFilter ref="A1:K1912" xr:uid="{5D12F212-41F7-47F6-8D3C-5B1C2A153568}">
    <filterColumn colId="0">
      <filters>
        <filter val="Arman"/>
        <filter val="Arman 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485" tableType="queryTable" totalsRowShown="0">
  <autoFilter ref="A1:R5485"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R66" sqref="R66"/>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v>
      </c>
      <c r="F5" s="8">
        <f>IF(View_Table[[#This Row],[Games]]=0,0,(View_Table[[#This Row],[Wins]] + (View_Table[[#This Row],[Draws]] * 0.25))/View_Table[[#This Row],[Games]])</f>
        <v>0.875</v>
      </c>
      <c r="G5" s="5">
        <f>IFERROR(
    GETPIVOTDATA(
        "Result",
        'Pivot Table'!$A$3,
        "Player",View_Table[[#This Row],[Player]],
        "Result","Win"
    ),
    0
)</f>
        <v>5</v>
      </c>
      <c r="H5" s="5">
        <f>IFERROR(
    GETPIVOTDATA(
        "Result",
        'Pivot Table'!$A$3,
        "Player",View_Table[[#This Row],[Player]],
        "Result","Loss"
    ),
    0
)</f>
        <v>0</v>
      </c>
      <c r="I5" s="5">
        <f>IFERROR(
    GETPIVOTDATA(
        "Result",
        'Pivot Table'!$A$3,
        "Player",View_Table[[#This Row],[Player]],
        "Result","Draw"
    ),
    0
)</f>
        <v>1</v>
      </c>
      <c r="J5" s="5">
        <f>View_Table[[#This Row],[Wins]]+View_Table[[#This Row],[Losses]]+View_Table[[#This Row],[Draws]]</f>
        <v>6</v>
      </c>
      <c r="K5" s="7">
        <f>IFERROR(
    GETPIVOTDATA(
        "Result",
        'Pivot Table Previous'!$A$3,
        "Player",View_Table[[#This Row],[Player]],
        "Result","Win"
    ),
    0
)</f>
        <v>3</v>
      </c>
      <c r="L5" s="5">
        <f>IFERROR(
    GETPIVOTDATA(
        "Result",
        'Pivot Table Previous'!$A$3,
        "Player",View_Table[[#This Row],[Player]],
        "Result","Loss"
    ),
    0
)</f>
        <v>0</v>
      </c>
      <c r="M5" s="5">
        <f>IFERROR(
    GETPIVOTDATA(
        "Result",
        'Pivot Table Previous'!$A$3,
        "Player",View_Table[[#This Row],[Player]],
        "Result","Draw"
    ),
    0
)</f>
        <v>1</v>
      </c>
      <c r="N5" s="5">
        <f>View_Table[[#This Row],[Wins Previous]]+View_Table[[#This Row],[Losses Previous]]+View_Table[[#This Row],[Draws Previous]]</f>
        <v>4</v>
      </c>
      <c r="O5" s="9">
        <f>_xlfn.LET(_xlpm.g,View_Table[[#This Row],[Games Previous]], _xlpm.w,(View_Table[[#This Row],[Wins Previous]] + View_Table[[#This Row],[Draws Previous]] * 0.25), _xlpm.fake, MAX(0,25-_xlpm.g), IF(_xlpm.g=0,0,(_xlpm.w + _xlpm.fake*0.25)/(_xlpm.g + _xlpm.fake)))</f>
        <v>0.34</v>
      </c>
      <c r="P5" s="7">
        <f>_xlfn.RANK.EQ(View_Table[[#This Row],[Weighted Win% Previous]], View_Table[Weighted Win% Previous], 0)</f>
        <v>1</v>
      </c>
    </row>
    <row r="6" spans="2:16" x14ac:dyDescent="0.2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0.32</v>
      </c>
      <c r="F6" s="8">
        <f>IF(View_Table[[#This Row],[Games]]=0,0,(View_Table[[#This Row],[Wins]] + (View_Table[[#This Row],[Draws]] * 0.25))/View_Table[[#This Row],[Games]])</f>
        <v>0.54166666666666663</v>
      </c>
      <c r="G6" s="5">
        <f>IFERROR(
    GETPIVOTDATA(
        "Result",
        'Pivot Table'!$A$3,
        "Player",View_Table[[#This Row],[Player]],
        "Result","Win"
    ),
    0
)</f>
        <v>3</v>
      </c>
      <c r="H6" s="5">
        <f>IFERROR(
    GETPIVOTDATA(
        "Result",
        'Pivot Table'!$A$3,
        "Player",View_Table[[#This Row],[Player]],
        "Result","Loss"
    ),
    0
)</f>
        <v>2</v>
      </c>
      <c r="I6" s="5">
        <f>IFERROR(
    GETPIVOTDATA(
        "Result",
        'Pivot Table'!$A$3,
        "Player",View_Table[[#This Row],[Player]],
        "Result","Draw"
    ),
    0
)</f>
        <v>1</v>
      </c>
      <c r="J6" s="5">
        <f>View_Table[[#This Row],[Wins]]+View_Table[[#This Row],[Losses]]+View_Table[[#This Row],[Draws]]</f>
        <v>6</v>
      </c>
      <c r="K6" s="7">
        <f>IFERROR(
    GETPIVOTDATA(
        "Result",
        'Pivot Table Previous'!$A$3,
        "Player",View_Table[[#This Row],[Player]],
        "Result","Win"
    ),
    0
)</f>
        <v>3</v>
      </c>
      <c r="L6" s="5">
        <f>IFERROR(
    GETPIVOTDATA(
        "Result",
        'Pivot Table Previous'!$A$3,
        "Player",View_Table[[#This Row],[Player]],
        "Result","Loss"
    ),
    0
)</f>
        <v>2</v>
      </c>
      <c r="M6" s="5">
        <f>IFERROR(
    GETPIVOTDATA(
        "Result",
        'Pivot Table Previous'!$A$3,
        "Player",View_Table[[#This Row],[Player]],
        "Result","Draw"
    ),
    0
)</f>
        <v>1</v>
      </c>
      <c r="N6" s="5">
        <f>View_Table[[#This Row],[Wins Previous]]+View_Table[[#This Row],[Losses Previous]]+View_Table[[#This Row],[Draws Previous]]</f>
        <v>6</v>
      </c>
      <c r="O6" s="9">
        <f>_xlfn.LET(_xlpm.g,View_Table[[#This Row],[Games Previous]], _xlpm.w,(View_Table[[#This Row],[Wins Previous]] + View_Table[[#This Row],[Draws Previous]] * 0.25), _xlpm.fake, MAX(0,25-_xlpm.g), IF(_xlpm.g=0,0,(_xlpm.w + _xlpm.fake*0.25)/(_xlpm.g + _xlpm.fake)))</f>
        <v>0.32</v>
      </c>
      <c r="P6" s="7">
        <f>_xlfn.RANK.EQ(View_Table[[#This Row],[Weighted Win% Previous]], View_Table[Weighted Win% Previous], 0)</f>
        <v>2</v>
      </c>
    </row>
    <row r="7" spans="2:16" hidden="1" x14ac:dyDescent="0.25">
      <c r="B7" s="3" t="s">
        <v>434</v>
      </c>
      <c r="C7" s="6">
        <f>View_Table[[#This Row],[Rank Previous]]-View_Table[[#This Row],[Rank]]</f>
        <v>0</v>
      </c>
      <c r="D7" s="7">
        <f>_xlfn.RANK.EQ(View_Table[[#This Row],[Weighted Win%]], View_Table[Weighted Win%], 0)</f>
        <v>29</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29</v>
      </c>
    </row>
    <row r="8" spans="2:16" x14ac:dyDescent="0.25">
      <c r="B8" s="3" t="s">
        <v>19</v>
      </c>
      <c r="C8" s="6">
        <f>View_Table[[#This Row],[Rank Previous]]-View_Table[[#This Row],[Rank]]</f>
        <v>-1</v>
      </c>
      <c r="D8" s="7">
        <f>_xlfn.RANK.EQ(View_Table[[#This Row],[Weighted Win%]], View_Table[Weighted Win%], 0)</f>
        <v>3</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0.4375</v>
      </c>
      <c r="G8" s="5">
        <f>IFERROR(
    GETPIVOTDATA(
        "Result",
        'Pivot Table'!$A$3,
        "Player",View_Table[[#This Row],[Player]],
        "Result","Win"
    ),
    0
)</f>
        <v>3</v>
      </c>
      <c r="H8" s="5">
        <f>IFERROR(
    GETPIVOTDATA(
        "Result",
        'Pivot Table'!$A$3,
        "Player",View_Table[[#This Row],[Player]],
        "Result","Loss"
    ),
    0
)</f>
        <v>3</v>
      </c>
      <c r="I8" s="5">
        <f>IFERROR(
    GETPIVOTDATA(
        "Result",
        'Pivot Table'!$A$3,
        "Player",View_Table[[#This Row],[Player]],
        "Result","Draw"
    ),
    0
)</f>
        <v>2</v>
      </c>
      <c r="J8" s="5">
        <f>View_Table[[#This Row],[Wins]]+View_Table[[#This Row],[Losses]]+View_Table[[#This Row],[Draws]]</f>
        <v>8</v>
      </c>
      <c r="K8" s="5">
        <f>IFERROR(
    GETPIVOTDATA(
        "Result",
        'Pivot Table Previous'!$A$3,
        "Player",View_Table[[#This Row],[Player]],
        "Result","Win"
    ),
    0
)</f>
        <v>3</v>
      </c>
      <c r="L8" s="5">
        <f>IFERROR(
    GETPIVOTDATA(
        "Result",
        'Pivot Table Previous'!$A$3,
        "Player",View_Table[[#This Row],[Player]],
        "Result","Loss"
    ),
    0
)</f>
        <v>2</v>
      </c>
      <c r="M8" s="5">
        <f>IFERROR(
    GETPIVOTDATA(
        "Result",
        'Pivot Table Previous'!$A$3,
        "Player",View_Table[[#This Row],[Player]],
        "Result","Draw"
    ),
    0
)</f>
        <v>1</v>
      </c>
      <c r="N8" s="5">
        <f>View_Table[[#This Row],[Wins Previous]]+View_Table[[#This Row],[Losses Previous]]+View_Table[[#This Row],[Draws Previous]]</f>
        <v>6</v>
      </c>
      <c r="O8" s="9">
        <f>_xlfn.LET(_xlpm.g,View_Table[[#This Row],[Games Previous]], _xlpm.w,(View_Table[[#This Row],[Wins Previous]] + View_Table[[#This Row],[Draws Previous]] * 0.25), _xlpm.fake, MAX(0,25-_xlpm.g), IF(_xlpm.g=0,0,(_xlpm.w + _xlpm.fake*0.25)/(_xlpm.g + _xlpm.fake)))</f>
        <v>0.32</v>
      </c>
      <c r="P8" s="7">
        <f>IF(View_Table[[#This Row],[Games Previous]]=0,
    View_Table[[#This Row],[Rank]],
    _xlfn.RANK.EQ(View_Table[[#This Row],[Weighted Win% Previous]], View_Table[Weighted Win% Previous], 0)
)</f>
        <v>2</v>
      </c>
    </row>
    <row r="9" spans="2:16" x14ac:dyDescent="0.25">
      <c r="B9" s="3" t="s">
        <v>352</v>
      </c>
      <c r="C9" s="6">
        <f>View_Table[[#This Row],[Rank Previous]]-View_Table[[#This Row],[Rank]]</f>
        <v>1</v>
      </c>
      <c r="D9" s="7">
        <f>_xlfn.RANK.EQ(View_Table[[#This Row],[Weighted Win%]], View_Table[Weighted Win%], 0)</f>
        <v>3</v>
      </c>
      <c r="E9" s="9">
        <f>_xlfn.LET(_xlpm.g,View_Table[[#This Row],[Games]], _xlpm.w,(View_Table[[#This Row],[Wins]] + View_Table[[#This Row],[Draws]] * 0.25), _xlpm.fake, MAX(0,25-_xlpm.g), IF(_xlpm.g=0,0,(_xlpm.w + _xlpm.fake*0.25)/(_xlpm.g + _xlpm.fake)))</f>
        <v>0.31</v>
      </c>
      <c r="F9" s="8">
        <f>IF(View_Table[[#This Row],[Games]]=0,0,(View_Table[[#This Row],[Wins]] + (View_Table[[#This Row],[Draws]] * 0.25))/View_Table[[#This Row],[Games]])</f>
        <v>0.4375</v>
      </c>
      <c r="G9" s="5">
        <f>IFERROR(
    GETPIVOTDATA(
        "Result",
        'Pivot Table'!$A$3,
        "Player",View_Table[[#This Row],[Player]],
        "Result","Win"
    ),
    0
)</f>
        <v>3</v>
      </c>
      <c r="H9" s="5">
        <f>IFERROR(
    GETPIVOTDATA(
        "Result",
        'Pivot Table'!$A$3,
        "Player",View_Table[[#This Row],[Player]],
        "Result","Loss"
    ),
    0
)</f>
        <v>3</v>
      </c>
      <c r="I9" s="5">
        <f>IFERROR(
    GETPIVOTDATA(
        "Result",
        'Pivot Table'!$A$3,
        "Player",View_Table[[#This Row],[Player]],
        "Result","Draw"
    ),
    0
)</f>
        <v>2</v>
      </c>
      <c r="J9" s="5">
        <f>View_Table[[#This Row],[Wins]]+View_Table[[#This Row],[Losses]]+View_Table[[#This Row],[Draws]]</f>
        <v>8</v>
      </c>
      <c r="K9" s="7">
        <f>IFERROR(
    GETPIVOTDATA(
        "Result",
        'Pivot Table Previous'!$A$3,
        "Player",View_Table[[#This Row],[Player]],
        "Result","Win"
    ),
    0
)</f>
        <v>3</v>
      </c>
      <c r="L9" s="5">
        <f>IFERROR(
    GETPIVOTDATA(
        "Result",
        'Pivot Table Previous'!$A$3,
        "Player",View_Table[[#This Row],[Player]],
        "Result","Loss"
    ),
    0
)</f>
        <v>3</v>
      </c>
      <c r="M9" s="5">
        <f>IFERROR(
    GETPIVOTDATA(
        "Result",
        'Pivot Table Previous'!$A$3,
        "Player",View_Table[[#This Row],[Player]],
        "Result","Draw"
    ),
    0
)</f>
        <v>0</v>
      </c>
      <c r="N9" s="5">
        <f>View_Table[[#This Row],[Wins Previous]]+View_Table[[#This Row],[Losses Previous]]+View_Table[[#This Row],[Draws Previous]]</f>
        <v>6</v>
      </c>
      <c r="O9" s="9">
        <f>_xlfn.LET(_xlpm.g,View_Table[[#This Row],[Games Previous]], _xlpm.w,(View_Table[[#This Row],[Wins Previous]] + View_Table[[#This Row],[Draws Previous]] * 0.25), _xlpm.fake, MAX(0,25-_xlpm.g), IF(_xlpm.g=0,0,(_xlpm.w + _xlpm.fake*0.25)/(_xlpm.g + _xlpm.fake)))</f>
        <v>0.31</v>
      </c>
      <c r="P9" s="7">
        <f>_xlfn.RANK.EQ(View_Table[[#This Row],[Weighted Win% Previous]], View_Table[Weighted Win% Previous], 0)</f>
        <v>4</v>
      </c>
    </row>
    <row r="10" spans="2:16" x14ac:dyDescent="0.25">
      <c r="B10" s="3" t="s">
        <v>405</v>
      </c>
      <c r="C10" s="6">
        <f>View_Table[[#This Row],[Rank Previous]]-View_Table[[#This Row],[Rank]]</f>
        <v>4</v>
      </c>
      <c r="D10" s="7">
        <f>_xlfn.RANK.EQ(View_Table[[#This Row],[Weighted Win%]], View_Table[Weighted Win%], 0)</f>
        <v>5</v>
      </c>
      <c r="E10" s="9">
        <f>_xlfn.LET(_xlpm.g,View_Table[[#This Row],[Games]], _xlpm.w,(View_Table[[#This Row],[Wins]] + View_Table[[#This Row],[Draws]] * 0.25), _xlpm.fake, MAX(0,25-_xlpm.g), IF(_xlpm.g=0,0,(_xlpm.w + _xlpm.fake*0.25)/(_xlpm.g + _xlpm.fake)))</f>
        <v>0.28999999999999998</v>
      </c>
      <c r="F10" s="8">
        <f>IF(View_Table[[#This Row],[Games]]=0,0,(View_Table[[#This Row],[Wins]] + (View_Table[[#This Row],[Draws]] * 0.25))/View_Table[[#This Row],[Games]])</f>
        <v>0.41666666666666669</v>
      </c>
      <c r="G10" s="5">
        <f>IFERROR(
    GETPIVOTDATA(
        "Result",
        'Pivot Table'!$A$3,
        "Player",View_Table[[#This Row],[Player]],
        "Result","Win"
    ),
    0
)</f>
        <v>2</v>
      </c>
      <c r="H10" s="5">
        <f>IFERROR(
    GETPIVOTDATA(
        "Result",
        'Pivot Table'!$A$3,
        "Player",View_Table[[#This Row],[Player]],
        "Result","Loss"
    ),
    0
)</f>
        <v>2</v>
      </c>
      <c r="I10" s="5">
        <f>IFERROR(
    GETPIVOTDATA(
        "Result",
        'Pivot Table'!$A$3,
        "Player",View_Table[[#This Row],[Player]],
        "Result","Draw"
    ),
    0
)</f>
        <v>2</v>
      </c>
      <c r="J10" s="5">
        <f>View_Table[[#This Row],[Wins]]+View_Table[[#This Row],[Losses]]+View_Table[[#This Row],[Draws]]</f>
        <v>6</v>
      </c>
      <c r="K10" s="7">
        <f>IFERROR(
    GETPIVOTDATA(
        "Result",
        'Pivot Table Previous'!$A$3,
        "Player",View_Table[[#This Row],[Player]],
        "Result","Win"
    ),
    0
)</f>
        <v>1</v>
      </c>
      <c r="L10" s="5">
        <f>IFERROR(
    GETPIVOTDATA(
        "Result",
        'Pivot Table Previous'!$A$3,
        "Player",View_Table[[#This Row],[Player]],
        "Result","Loss"
    ),
    0
)</f>
        <v>2</v>
      </c>
      <c r="M10" s="5">
        <f>IFERROR(
    GETPIVOTDATA(
        "Result",
        'Pivot Table Previous'!$A$3,
        "Player",View_Table[[#This Row],[Player]],
        "Result","Draw"
    ),
    0
)</f>
        <v>1</v>
      </c>
      <c r="N10" s="5">
        <f>View_Table[[#This Row],[Wins Previous]]+View_Table[[#This Row],[Losses Previous]]+View_Table[[#This Row],[Draws Previous]]</f>
        <v>4</v>
      </c>
      <c r="O10" s="9">
        <f>_xlfn.LET(_xlpm.g,View_Table[[#This Row],[Games Previous]], _xlpm.w,(View_Table[[#This Row],[Wins Previous]] + View_Table[[#This Row],[Draws Previous]] * 0.25), _xlpm.fake, MAX(0,25-_xlpm.g), IF(_xlpm.g=0,0,(_xlpm.w + _xlpm.fake*0.25)/(_xlpm.g + _xlpm.fake)))</f>
        <v>0.26</v>
      </c>
      <c r="P10" s="7">
        <f>_xlfn.RANK.EQ(View_Table[[#This Row],[Weighted Win% Previous]], View_Table[Weighted Win% Previous], 0)</f>
        <v>9</v>
      </c>
    </row>
    <row r="11" spans="2:16" hidden="1" x14ac:dyDescent="0.25">
      <c r="B11" s="3" t="s">
        <v>322</v>
      </c>
      <c r="C11" s="6">
        <f>View_Table[[#This Row],[Rank Previous]]-View_Table[[#This Row],[Rank]]</f>
        <v>0</v>
      </c>
      <c r="D11" s="7">
        <f>_xlfn.RANK.EQ(View_Table[[#This Row],[Weighted Win%]], View_Table[Weighted Win%], 0)</f>
        <v>29</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29</v>
      </c>
    </row>
    <row r="12" spans="2:16" x14ac:dyDescent="0.25">
      <c r="B12" s="3" t="s">
        <v>17</v>
      </c>
      <c r="C12" s="6">
        <f>View_Table[[#This Row],[Rank Previous]]-View_Table[[#This Row],[Rank]]</f>
        <v>-1</v>
      </c>
      <c r="D12" s="7">
        <f>_xlfn.RANK.EQ(View_Table[[#This Row],[Weighted Win%]], View_Table[Weighted Win%], 0)</f>
        <v>6</v>
      </c>
      <c r="E12" s="9">
        <f>_xlfn.LET(_xlpm.g,View_Table[[#This Row],[Games]], _xlpm.w,(View_Table[[#This Row],[Wins]] + View_Table[[#This Row],[Draws]] * 0.25), _xlpm.fake, MAX(0,25-_xlpm.g), IF(_xlpm.g=0,0,(_xlpm.w + _xlpm.fake*0.25)/(_xlpm.g + _xlpm.fake)))</f>
        <v>0.28000000000000003</v>
      </c>
      <c r="F12" s="8">
        <f>IF(View_Table[[#This Row],[Games]]=0,0,(View_Table[[#This Row],[Wins]] + (View_Table[[#This Row],[Draws]] * 0.25))/View_Table[[#This Row],[Games]])</f>
        <v>0.34375</v>
      </c>
      <c r="G12" s="5">
        <f>IFERROR(
    GETPIVOTDATA(
        "Result",
        'Pivot Table'!$A$3,
        "Player",View_Table[[#This Row],[Player]],
        "Result","Win"
    ),
    0
)</f>
        <v>2</v>
      </c>
      <c r="H12" s="5">
        <f>IFERROR(
    GETPIVOTDATA(
        "Result",
        'Pivot Table'!$A$3,
        "Player",View_Table[[#This Row],[Player]],
        "Result","Loss"
    ),
    0
)</f>
        <v>3</v>
      </c>
      <c r="I12" s="5">
        <f>IFERROR(
    GETPIVOTDATA(
        "Result",
        'Pivot Table'!$A$3,
        "Player",View_Table[[#This Row],[Player]],
        "Result","Draw"
    ),
    0
)</f>
        <v>3</v>
      </c>
      <c r="J12" s="5">
        <f>View_Table[[#This Row],[Wins]]+View_Table[[#This Row],[Losses]]+View_Table[[#This Row],[Draws]]</f>
        <v>8</v>
      </c>
      <c r="K12" s="5">
        <f>IFERROR(
    GETPIVOTDATA(
        "Result",
        'Pivot Table Previous'!$A$3,
        "Player",View_Table[[#This Row],[Player]],
        "Result","Win"
    ),
    0
)</f>
        <v>2</v>
      </c>
      <c r="L12" s="5">
        <f>IFERROR(
    GETPIVOTDATA(
        "Result",
        'Pivot Table Previous'!$A$3,
        "Player",View_Table[[#This Row],[Player]],
        "Result","Loss"
    ),
    0
)</f>
        <v>3</v>
      </c>
      <c r="M12" s="5">
        <f>IFERROR(
    GETPIVOTDATA(
        "Result",
        'Pivot Table Previous'!$A$3,
        "Player",View_Table[[#This Row],[Player]],
        "Result","Draw"
    ),
    0
)</f>
        <v>1</v>
      </c>
      <c r="N12" s="5">
        <f>View_Table[[#This Row],[Wins Previous]]+View_Table[[#This Row],[Losses Previous]]+View_Table[[#This Row],[Draws Previous]]</f>
        <v>6</v>
      </c>
      <c r="O12" s="9">
        <f>_xlfn.LET(_xlpm.g,View_Table[[#This Row],[Games Previous]], _xlpm.w,(View_Table[[#This Row],[Wins Previous]] + View_Table[[#This Row],[Draws Previous]] * 0.25), _xlpm.fake, MAX(0,25-_xlpm.g), IF(_xlpm.g=0,0,(_xlpm.w + _xlpm.fake*0.25)/(_xlpm.g + _xlpm.fake)))</f>
        <v>0.28000000000000003</v>
      </c>
      <c r="P12" s="7">
        <f>IF(View_Table[[#This Row],[Games Previous]]=0,
    View_Table[[#This Row],[Rank]],
    _xlfn.RANK.EQ(View_Table[[#This Row],[Weighted Win% Previous]], View_Table[Weighted Win% Previous], 0)
)</f>
        <v>5</v>
      </c>
    </row>
    <row r="13" spans="2:16" x14ac:dyDescent="0.25">
      <c r="B13" s="3" t="s">
        <v>11</v>
      </c>
      <c r="C13" s="6">
        <f>View_Table[[#This Row],[Rank Previous]]-View_Table[[#This Row],[Rank]]</f>
        <v>-1</v>
      </c>
      <c r="D13" s="7">
        <f>_xlfn.RANK.EQ(View_Table[[#This Row],[Weighted Win%]], View_Table[Weighted Win%], 0)</f>
        <v>7</v>
      </c>
      <c r="E13" s="9">
        <f>_xlfn.LET(_xlpm.g,View_Table[[#This Row],[Games]], _xlpm.w,(View_Table[[#This Row],[Wins]] + View_Table[[#This Row],[Draws]] * 0.25), _xlpm.fake, MAX(0,25-_xlpm.g), IF(_xlpm.g=0,0,(_xlpm.w + _xlpm.fake*0.25)/(_xlpm.g + _xlpm.fake)))</f>
        <v>0.27</v>
      </c>
      <c r="F13" s="8">
        <f>IF(View_Table[[#This Row],[Games]]=0,0,(View_Table[[#This Row],[Wins]] + (View_Table[[#This Row],[Draws]] * 0.25))/View_Table[[#This Row],[Games]])</f>
        <v>0.5</v>
      </c>
      <c r="G13" s="5">
        <f>IFERROR(
    GETPIVOTDATA(
        "Result",
        'Pivot Table'!$A$3,
        "Player",View_Table[[#This Row],[Player]],
        "Result","Win"
    ),
    0
)</f>
        <v>1</v>
      </c>
      <c r="H13" s="5">
        <f>IFERROR(
    GETPIVOTDATA(
        "Result",
        'Pivot Table'!$A$3,
        "Player",View_Table[[#This Row],[Player]],
        "Result","Loss"
    ),
    0
)</f>
        <v>1</v>
      </c>
      <c r="I13" s="5">
        <f>IFERROR(
    GETPIVOTDATA(
        "Result",
        'Pivot Table'!$A$3,
        "Player",View_Table[[#This Row],[Player]],
        "Result","Draw"
    ),
    0
)</f>
        <v>0</v>
      </c>
      <c r="J13" s="5">
        <f>View_Table[[#This Row],[Wins]]+View_Table[[#This Row],[Losses]]+View_Table[[#This Row],[Draws]]</f>
        <v>2</v>
      </c>
      <c r="K13" s="7">
        <f>IFERROR(
    GETPIVOTDATA(
        "Result",
        'Pivot Table Previous'!$A$3,
        "Player",View_Table[[#This Row],[Player]],
        "Result","Win"
    ),
    0
)</f>
        <v>1</v>
      </c>
      <c r="L13" s="5">
        <f>IFERROR(
    GETPIVOTDATA(
        "Result",
        'Pivot Table Previous'!$A$3,
        "Player",View_Table[[#This Row],[Player]],
        "Result","Loss"
    ),
    0
)</f>
        <v>1</v>
      </c>
      <c r="M13" s="5">
        <f>IFERROR(
    GETPIVOTDATA(
        "Result",
        'Pivot Table Previous'!$A$3,
        "Player",View_Table[[#This Row],[Player]],
        "Result","Draw"
    ),
    0
)</f>
        <v>0</v>
      </c>
      <c r="N13" s="5">
        <f>View_Table[[#This Row],[Wins Previous]]+View_Table[[#This Row],[Losses Previous]]+View_Table[[#This Row],[Draws Previous]]</f>
        <v>2</v>
      </c>
      <c r="O13" s="9">
        <f>_xlfn.LET(_xlpm.g,View_Table[[#This Row],[Games Previous]], _xlpm.w,(View_Table[[#This Row],[Wins Previous]] + View_Table[[#This Row],[Draws Previous]] * 0.25), _xlpm.fake, MAX(0,25-_xlpm.g), IF(_xlpm.g=0,0,(_xlpm.w + _xlpm.fake*0.25)/(_xlpm.g + _xlpm.fake)))</f>
        <v>0.27</v>
      </c>
      <c r="P13" s="7">
        <f>_xlfn.RANK.EQ(View_Table[[#This Row],[Weighted Win% Previous]], View_Table[Weighted Win% Previous], 0)</f>
        <v>6</v>
      </c>
    </row>
    <row r="14" spans="2:16" x14ac:dyDescent="0.25">
      <c r="B14" s="3" t="s">
        <v>326</v>
      </c>
      <c r="C14" s="6">
        <f>View_Table[[#This Row],[Rank Previous]]-View_Table[[#This Row],[Rank]]</f>
        <v>-2</v>
      </c>
      <c r="D14" s="7">
        <f>_xlfn.RANK.EQ(View_Table[[#This Row],[Weighted Win%]], View_Table[Weighted Win%], 0)</f>
        <v>8</v>
      </c>
      <c r="E14" s="9">
        <f>_xlfn.LET(_xlpm.g,View_Table[[#This Row],[Games]], _xlpm.w,(View_Table[[#This Row],[Wins]] + View_Table[[#This Row],[Draws]] * 0.25), _xlpm.fake, MAX(0,25-_xlpm.g), IF(_xlpm.g=0,0,(_xlpm.w + _xlpm.fake*0.25)/(_xlpm.g + _xlpm.fake)))</f>
        <v>0.26</v>
      </c>
      <c r="F14" s="8">
        <f>IF(View_Table[[#This Row],[Games]]=0,0,(View_Table[[#This Row],[Wins]] + (View_Table[[#This Row],[Draws]] * 0.25))/View_Table[[#This Row],[Games]])</f>
        <v>0.3125</v>
      </c>
      <c r="G14" s="5">
        <f>IFERROR(
    GETPIVOTDATA(
        "Result",
        'Pivot Table'!$A$3,
        "Player",View_Table[[#This Row],[Player]],
        "Result","Win"
    ),
    0
)</f>
        <v>1</v>
      </c>
      <c r="H14" s="5">
        <f>IFERROR(
    GETPIVOTDATA(
        "Result",
        'Pivot Table'!$A$3,
        "Player",View_Table[[#This Row],[Player]],
        "Result","Loss"
    ),
    0
)</f>
        <v>2</v>
      </c>
      <c r="I14" s="5">
        <f>IFERROR(
    GETPIVOTDATA(
        "Result",
        'Pivot Table'!$A$3,
        "Player",View_Table[[#This Row],[Player]],
        "Result","Draw"
    ),
    0
)</f>
        <v>1</v>
      </c>
      <c r="J14" s="5">
        <f>View_Table[[#This Row],[Wins]]+View_Table[[#This Row],[Losses]]+View_Table[[#This Row],[Draws]]</f>
        <v>4</v>
      </c>
      <c r="K14" s="7">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6</v>
      </c>
    </row>
    <row r="15" spans="2:16" hidden="1" x14ac:dyDescent="0.25">
      <c r="B15" s="3" t="s">
        <v>421</v>
      </c>
      <c r="C15" s="6">
        <f>View_Table[[#This Row],[Rank Previous]]-View_Table[[#This Row],[Rank]]</f>
        <v>0</v>
      </c>
      <c r="D15" s="7">
        <f>_xlfn.RANK.EQ(View_Table[[#This Row],[Weighted Win%]], View_Table[Weighted Win%], 0)</f>
        <v>29</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29</v>
      </c>
    </row>
    <row r="16" spans="2:16" x14ac:dyDescent="0.25">
      <c r="B16" s="3" t="s">
        <v>9</v>
      </c>
      <c r="C16" s="6">
        <f>View_Table[[#This Row],[Rank Previous]]-View_Table[[#This Row],[Rank]]</f>
        <v>1</v>
      </c>
      <c r="D16" s="7">
        <f>_xlfn.RANK.EQ(View_Table[[#This Row],[Weighted Win%]], View_Table[Weighted Win%], 0)</f>
        <v>8</v>
      </c>
      <c r="E16" s="9">
        <f>_xlfn.LET(_xlpm.g,View_Table[[#This Row],[Games]], _xlpm.w,(View_Table[[#This Row],[Wins]] + View_Table[[#This Row],[Draws]] * 0.25), _xlpm.fake, MAX(0,25-_xlpm.g), IF(_xlpm.g=0,0,(_xlpm.w + _xlpm.fake*0.25)/(_xlpm.g + _xlpm.fake)))</f>
        <v>0.26</v>
      </c>
      <c r="F16" s="8">
        <f>IF(View_Table[[#This Row],[Games]]=0,0,(View_Table[[#This Row],[Wins]] + (View_Table[[#This Row],[Draws]] * 0.25))/View_Table[[#This Row],[Games]])</f>
        <v>0.29166666666666669</v>
      </c>
      <c r="G16" s="5">
        <f>IFERROR(
    GETPIVOTDATA(
        "Result",
        'Pivot Table'!$A$3,
        "Player",View_Table[[#This Row],[Player]],
        "Result","Win"
    ),
    0
)</f>
        <v>1</v>
      </c>
      <c r="H16" s="5">
        <f>IFERROR(
    GETPIVOTDATA(
        "Result",
        'Pivot Table'!$A$3,
        "Player",View_Table[[#This Row],[Player]],
        "Result","Loss"
    ),
    0
)</f>
        <v>2</v>
      </c>
      <c r="I16" s="5">
        <f>IFERROR(
    GETPIVOTDATA(
        "Result",
        'Pivot Table'!$A$3,
        "Player",View_Table[[#This Row],[Player]],
        "Result","Draw"
    ),
    0
)</f>
        <v>3</v>
      </c>
      <c r="J16" s="5">
        <f>View_Table[[#This Row],[Wins]]+View_Table[[#This Row],[Losses]]+View_Table[[#This Row],[Draws]]</f>
        <v>6</v>
      </c>
      <c r="K16" s="7">
        <f>IFERROR(
    GETPIVOTDATA(
        "Result",
        'Pivot Table Previous'!$A$3,
        "Player",View_Table[[#This Row],[Player]],
        "Result","Win"
    ),
    0
)</f>
        <v>1</v>
      </c>
      <c r="L16" s="5">
        <f>IFERROR(
    GETPIVOTDATA(
        "Result",
        'Pivot Table Previous'!$A$3,
        "Player",View_Table[[#This Row],[Player]],
        "Result","Loss"
    ),
    0
)</f>
        <v>2</v>
      </c>
      <c r="M16" s="5">
        <f>IFERROR(
    GETPIVOTDATA(
        "Result",
        'Pivot Table Previous'!$A$3,
        "Player",View_Table[[#This Row],[Player]],
        "Result","Draw"
    ),
    0
)</f>
        <v>3</v>
      </c>
      <c r="N16" s="5">
        <f>View_Table[[#This Row],[Wins Previous]]+View_Table[[#This Row],[Losses Previous]]+View_Table[[#This Row],[Draws Previous]]</f>
        <v>6</v>
      </c>
      <c r="O16" s="9">
        <f>_xlfn.LET(_xlpm.g,View_Table[[#This Row],[Games Previous]], _xlpm.w,(View_Table[[#This Row],[Wins Previous]] + View_Table[[#This Row],[Draws Previous]] * 0.25), _xlpm.fake, MAX(0,25-_xlpm.g), IF(_xlpm.g=0,0,(_xlpm.w + _xlpm.fake*0.25)/(_xlpm.g + _xlpm.fake)))</f>
        <v>0.26</v>
      </c>
      <c r="P16" s="7">
        <f>_xlfn.RANK.EQ(View_Table[[#This Row],[Weighted Win% Previous]], View_Table[Weighted Win% Previous], 0)</f>
        <v>9</v>
      </c>
    </row>
    <row r="17" spans="2:16" hidden="1" x14ac:dyDescent="0.25">
      <c r="B17" s="3" t="s">
        <v>402</v>
      </c>
      <c r="C17" s="6">
        <f>View_Table[[#This Row],[Rank Previous]]-View_Table[[#This Row],[Rank]]</f>
        <v>0</v>
      </c>
      <c r="D17" s="7">
        <f>_xlfn.RANK.EQ(View_Table[[#This Row],[Weighted Win%]], View_Table[Weighted Win%], 0)</f>
        <v>29</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29</v>
      </c>
    </row>
    <row r="18" spans="2:16" x14ac:dyDescent="0.25">
      <c r="B18" s="3" t="s">
        <v>351</v>
      </c>
      <c r="C18" s="6">
        <f>View_Table[[#This Row],[Rank Previous]]-View_Table[[#This Row],[Rank]]</f>
        <v>9</v>
      </c>
      <c r="D18" s="7">
        <f>_xlfn.RANK.EQ(View_Table[[#This Row],[Weighted Win%]], View_Table[Weighted Win%], 0)</f>
        <v>8</v>
      </c>
      <c r="E18" s="9">
        <f>_xlfn.LET(_xlpm.g,View_Table[[#This Row],[Games]], _xlpm.w,(View_Table[[#This Row],[Wins]] + View_Table[[#This Row],[Draws]] * 0.25), _xlpm.fake, MAX(0,25-_xlpm.g), IF(_xlpm.g=0,0,(_xlpm.w + _xlpm.fake*0.25)/(_xlpm.g + _xlpm.fake)))</f>
        <v>0.26</v>
      </c>
      <c r="F18" s="8">
        <f>IF(View_Table[[#This Row],[Games]]=0,0,(View_Table[[#This Row],[Wins]] + (View_Table[[#This Row],[Draws]] * 0.25))/View_Table[[#This Row],[Games]])</f>
        <v>0.3125</v>
      </c>
      <c r="G18" s="5">
        <f>IFERROR(
    GETPIVOTDATA(
        "Result",
        'Pivot Table'!$A$3,
        "Player",View_Table[[#This Row],[Player]],
        "Result","Win"
    ),
    0
)</f>
        <v>1</v>
      </c>
      <c r="H18" s="5">
        <f>IFERROR(
    GETPIVOTDATA(
        "Result",
        'Pivot Table'!$A$3,
        "Player",View_Table[[#This Row],[Player]],
        "Result","Loss"
    ),
    0
)</f>
        <v>2</v>
      </c>
      <c r="I18" s="5">
        <f>IFERROR(
    GETPIVOTDATA(
        "Result",
        'Pivot Table'!$A$3,
        "Player",View_Table[[#This Row],[Player]],
        "Result","Draw"
    ),
    0
)</f>
        <v>1</v>
      </c>
      <c r="J18" s="5">
        <f>View_Table[[#This Row],[Wins]]+View_Table[[#This Row],[Losses]]+View_Table[[#This Row],[Draws]]</f>
        <v>4</v>
      </c>
      <c r="K18" s="7">
        <f>IFERROR(
    GETPIVOTDATA(
        "Result",
        'Pivot Table Previous'!$A$3,
        "Player",View_Table[[#This Row],[Player]],
        "Result","Win"
    ),
    0
)</f>
        <v>0</v>
      </c>
      <c r="L18" s="5">
        <f>IFERROR(
    GETPIVOTDATA(
        "Result",
        'Pivot Table Previous'!$A$3,
        "Player",View_Table[[#This Row],[Player]],
        "Result","Loss"
    ),
    0
)</f>
        <v>2</v>
      </c>
      <c r="M18" s="5">
        <f>IFERROR(
    GETPIVOTDATA(
        "Result",
        'Pivot Table Previous'!$A$3,
        "Player",View_Table[[#This Row],[Player]],
        "Result","Draw"
    ),
    0
)</f>
        <v>0</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0.23</v>
      </c>
      <c r="P18" s="7">
        <f>_xlfn.RANK.EQ(View_Table[[#This Row],[Weighted Win% Previous]], View_Table[Weighted Win% Previous], 0)</f>
        <v>17</v>
      </c>
    </row>
    <row r="19" spans="2:16" hidden="1" x14ac:dyDescent="0.25">
      <c r="B19" s="3" t="s">
        <v>296</v>
      </c>
      <c r="C19" s="6">
        <f>View_Table[[#This Row],[Rank Previous]]-View_Table[[#This Row],[Rank]]</f>
        <v>0</v>
      </c>
      <c r="D19" s="7">
        <f>_xlfn.RANK.EQ(View_Table[[#This Row],[Weighted Win%]], View_Table[Weighted Win%], 0)</f>
        <v>29</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29</v>
      </c>
    </row>
    <row r="20" spans="2:16" hidden="1" x14ac:dyDescent="0.25">
      <c r="B20" s="3" t="s">
        <v>607</v>
      </c>
      <c r="C20" s="6">
        <f>View_Table[[#This Row],[Rank Previous]]-View_Table[[#This Row],[Rank]]</f>
        <v>0</v>
      </c>
      <c r="D20" s="7">
        <f>_xlfn.RANK.EQ(View_Table[[#This Row],[Weighted Win%]], View_Table[Weighted Win%], 0)</f>
        <v>29</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29</v>
      </c>
    </row>
    <row r="21" spans="2:16" hidden="1" x14ac:dyDescent="0.25">
      <c r="B21" s="3" t="s">
        <v>22</v>
      </c>
      <c r="C21" s="6">
        <f>View_Table[[#This Row],[Rank Previous]]-View_Table[[#This Row],[Rank]]</f>
        <v>0</v>
      </c>
      <c r="D21" s="7">
        <f>_xlfn.RANK.EQ(View_Table[[#This Row],[Weighted Win%]], View_Table[Weighted Win%], 0)</f>
        <v>29</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29</v>
      </c>
    </row>
    <row r="22" spans="2:16" hidden="1" x14ac:dyDescent="0.25">
      <c r="B22" s="3" t="s">
        <v>364</v>
      </c>
      <c r="C22" s="6">
        <f>View_Table[[#This Row],[Rank Previous]]-View_Table[[#This Row],[Rank]]</f>
        <v>0</v>
      </c>
      <c r="D22" s="7">
        <f>_xlfn.RANK.EQ(View_Table[[#This Row],[Weighted Win%]], View_Table[Weighted Win%], 0)</f>
        <v>29</v>
      </c>
      <c r="E22" s="9">
        <f>_xlfn.LET(_xlpm.g,View_Table[[#This Row],[Games]], _xlpm.w,(View_Table[[#This Row],[Wins]] + View_Table[[#This Row],[Draws]] * 0.25), _xlpm.fake, MAX(0,25-_xlpm.g), IF(_xlpm.g=0,0,(_xlpm.w + _xlpm.fake*0.25)/(_xlpm.g + _xlpm.fake)))</f>
        <v>0</v>
      </c>
      <c r="F22" s="8">
        <f>IF(View_Table[[#This Row],[Games]]=0,0,(View_Table[[#This Row],[Wins]] + (View_Table[[#This Row],[Draws]] * 0.25))/View_Table[[#This Row],[Games]])</f>
        <v>0</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0</v>
      </c>
      <c r="J22" s="5">
        <f>View_Table[[#This Row],[Wins]]+View_Table[[#This Row],[Losses]]+View_Table[[#This Row],[Draws]]</f>
        <v>0</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29</v>
      </c>
    </row>
    <row r="23" spans="2:16" hidden="1" x14ac:dyDescent="0.25">
      <c r="B23" s="3" t="s">
        <v>432</v>
      </c>
      <c r="C23" s="6">
        <f>View_Table[[#This Row],[Rank Previous]]-View_Table[[#This Row],[Rank]]</f>
        <v>0</v>
      </c>
      <c r="D23" s="7">
        <f>_xlfn.RANK.EQ(View_Table[[#This Row],[Weighted Win%]], View_Table[Weighted Win%], 0)</f>
        <v>29</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29</v>
      </c>
    </row>
    <row r="24" spans="2:16" hidden="1" x14ac:dyDescent="0.25">
      <c r="B24" s="3" t="s">
        <v>400</v>
      </c>
      <c r="C24" s="6">
        <f>View_Table[[#This Row],[Rank Previous]]-View_Table[[#This Row],[Rank]]</f>
        <v>0</v>
      </c>
      <c r="D24" s="7">
        <f>_xlfn.RANK.EQ(View_Table[[#This Row],[Weighted Win%]], View_Table[Weighted Win%], 0)</f>
        <v>29</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29</v>
      </c>
    </row>
    <row r="25" spans="2:16" hidden="1" x14ac:dyDescent="0.25">
      <c r="B25" s="3" t="s">
        <v>406</v>
      </c>
      <c r="C25" s="6">
        <f>View_Table[[#This Row],[Rank Previous]]-View_Table[[#This Row],[Rank]]</f>
        <v>0</v>
      </c>
      <c r="D25" s="7">
        <f>_xlfn.RANK.EQ(View_Table[[#This Row],[Weighted Win%]], View_Table[Weighted Win%], 0)</f>
        <v>29</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29</v>
      </c>
    </row>
    <row r="26" spans="2:16" hidden="1" x14ac:dyDescent="0.25">
      <c r="B26" s="3" t="s">
        <v>386</v>
      </c>
      <c r="C26" s="6">
        <f>View_Table[[#This Row],[Rank Previous]]-View_Table[[#This Row],[Rank]]</f>
        <v>0</v>
      </c>
      <c r="D26" s="7">
        <f>_xlfn.RANK.EQ(View_Table[[#This Row],[Weighted Win%]], View_Table[Weighted Win%], 0)</f>
        <v>29</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29</v>
      </c>
    </row>
    <row r="27" spans="2:16" hidden="1" x14ac:dyDescent="0.25">
      <c r="B27" s="3" t="s">
        <v>43</v>
      </c>
      <c r="C27" s="6">
        <f>View_Table[[#This Row],[Rank Previous]]-View_Table[[#This Row],[Rank]]</f>
        <v>0</v>
      </c>
      <c r="D27" s="7">
        <f>_xlfn.RANK.EQ(View_Table[[#This Row],[Weighted Win%]], View_Table[Weighted Win%], 0)</f>
        <v>29</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29</v>
      </c>
    </row>
    <row r="28" spans="2:16" hidden="1" x14ac:dyDescent="0.25">
      <c r="B28" s="3" t="s">
        <v>323</v>
      </c>
      <c r="C28" s="6">
        <f>View_Table[[#This Row],[Rank Previous]]-View_Table[[#This Row],[Rank]]</f>
        <v>0</v>
      </c>
      <c r="D28" s="7">
        <f>_xlfn.RANK.EQ(View_Table[[#This Row],[Weighted Win%]], View_Table[Weighted Win%], 0)</f>
        <v>29</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29</v>
      </c>
    </row>
    <row r="29" spans="2:16" hidden="1" x14ac:dyDescent="0.25">
      <c r="B29" s="3" t="s">
        <v>324</v>
      </c>
      <c r="C29" s="6">
        <f>View_Table[[#This Row],[Rank Previous]]-View_Table[[#This Row],[Rank]]</f>
        <v>0</v>
      </c>
      <c r="D29" s="7">
        <f>_xlfn.RANK.EQ(View_Table[[#This Row],[Weighted Win%]], View_Table[Weighted Win%], 0)</f>
        <v>29</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29</v>
      </c>
    </row>
    <row r="30" spans="2:16" x14ac:dyDescent="0.25">
      <c r="B30" s="3" t="s">
        <v>7</v>
      </c>
      <c r="C30" s="6">
        <f>View_Table[[#This Row],[Rank Previous]]-View_Table[[#This Row],[Rank]]</f>
        <v>-5</v>
      </c>
      <c r="D30" s="7">
        <f>_xlfn.RANK.EQ(View_Table[[#This Row],[Weighted Win%]], View_Table[Weighted Win%], 0)</f>
        <v>11</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0</v>
      </c>
      <c r="J30" s="5">
        <f>View_Table[[#This Row],[Wins]]+View_Table[[#This Row],[Losses]]+View_Table[[#This Row],[Draws]]</f>
        <v>8</v>
      </c>
      <c r="K30" s="5">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0</v>
      </c>
      <c r="N30" s="5">
        <f>View_Table[[#This Row],[Wins Previous]]+View_Table[[#This Row],[Losses Previous]]+View_Table[[#This Row],[Draws Previous]]</f>
        <v>6</v>
      </c>
      <c r="O30" s="9">
        <f>_xlfn.LET(_xlpm.g,View_Table[[#This Row],[Games Previous]], _xlpm.w,(View_Table[[#This Row],[Wins Previous]] + View_Table[[#This Row],[Draws Previous]] * 0.25), _xlpm.fake, MAX(0,25-_xlpm.g), IF(_xlpm.g=0,0,(_xlpm.w + _xlpm.fake*0.25)/(_xlpm.g + _xlpm.fake)))</f>
        <v>0.27</v>
      </c>
      <c r="P30" s="7">
        <f>IF(View_Table[[#This Row],[Games Previous]]=0,
    View_Table[[#This Row],[Rank]],
    _xlfn.RANK.EQ(View_Table[[#This Row],[Weighted Win% Previous]], View_Table[Weighted Win% Previous], 0)
)</f>
        <v>6</v>
      </c>
    </row>
    <row r="31" spans="2:16" hidden="1" x14ac:dyDescent="0.25">
      <c r="B31" s="3" t="s">
        <v>478</v>
      </c>
      <c r="C31" s="6">
        <f>View_Table[[#This Row],[Rank Previous]]-View_Table[[#This Row],[Rank]]</f>
        <v>0</v>
      </c>
      <c r="D31" s="7">
        <f>_xlfn.RANK.EQ(View_Table[[#This Row],[Weighted Win%]], View_Table[Weighted Win%], 0)</f>
        <v>29</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29</v>
      </c>
    </row>
    <row r="32" spans="2:16" hidden="1" x14ac:dyDescent="0.25">
      <c r="B32" s="3" t="s">
        <v>401</v>
      </c>
      <c r="C32" s="6">
        <f>View_Table[[#This Row],[Rank Previous]]-View_Table[[#This Row],[Rank]]</f>
        <v>0</v>
      </c>
      <c r="D32" s="7">
        <f>_xlfn.RANK.EQ(View_Table[[#This Row],[Weighted Win%]], View_Table[Weighted Win%], 0)</f>
        <v>29</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29</v>
      </c>
    </row>
    <row r="33" spans="2:16" hidden="1" x14ac:dyDescent="0.25">
      <c r="B33" s="3" t="s">
        <v>403</v>
      </c>
      <c r="C33" s="6">
        <f>View_Table[[#This Row],[Rank Previous]]-View_Table[[#This Row],[Rank]]</f>
        <v>0</v>
      </c>
      <c r="D33" s="7">
        <f>_xlfn.RANK.EQ(View_Table[[#This Row],[Weighted Win%]], View_Table[Weighted Win%], 0)</f>
        <v>29</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29</v>
      </c>
    </row>
    <row r="34" spans="2:16" hidden="1" x14ac:dyDescent="0.25">
      <c r="B34" s="3" t="s">
        <v>404</v>
      </c>
      <c r="C34" s="6">
        <f>View_Table[[#This Row],[Rank Previous]]-View_Table[[#This Row],[Rank]]</f>
        <v>0</v>
      </c>
      <c r="D34" s="7">
        <f>_xlfn.RANK.EQ(View_Table[[#This Row],[Weighted Win%]], View_Table[Weighted Win%], 0)</f>
        <v>29</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29</v>
      </c>
    </row>
    <row r="35" spans="2:16" x14ac:dyDescent="0.25">
      <c r="B35" s="3" t="s">
        <v>13</v>
      </c>
      <c r="C35" s="6">
        <f>View_Table[[#This Row],[Rank Previous]]-View_Table[[#This Row],[Rank]]</f>
        <v>0</v>
      </c>
      <c r="D35" s="7">
        <f>_xlfn.RANK.EQ(View_Table[[#This Row],[Weighted Win%]], View_Table[Weighted Win%], 0)</f>
        <v>11</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1</v>
      </c>
      <c r="H35" s="5">
        <f>IFERROR(
    GETPIVOTDATA(
        "Result",
        'Pivot Table'!$A$3,
        "Player",View_Table[[#This Row],[Player]],
        "Result","Loss"
    ),
    0
)</f>
        <v>3</v>
      </c>
      <c r="I35" s="5">
        <f>IFERROR(
    GETPIVOTDATA(
        "Result",
        'Pivot Table'!$A$3,
        "Player",View_Table[[#This Row],[Player]],
        "Result","Draw"
    ),
    0
)</f>
        <v>4</v>
      </c>
      <c r="J35" s="5">
        <f>View_Table[[#This Row],[Wins]]+View_Table[[#This Row],[Losses]]+View_Table[[#This Row],[Draws]]</f>
        <v>8</v>
      </c>
      <c r="K35" s="5">
        <f>IFERROR(
    GETPIVOTDATA(
        "Result",
        'Pivot Table Previous'!$A$3,
        "Player",View_Table[[#This Row],[Player]],
        "Result","Win"
    ),
    0
)</f>
        <v>1</v>
      </c>
      <c r="L35" s="5">
        <f>IFERROR(
    GETPIVOTDATA(
        "Result",
        'Pivot Table Previous'!$A$3,
        "Player",View_Table[[#This Row],[Player]],
        "Result","Loss"
    ),
    0
)</f>
        <v>3</v>
      </c>
      <c r="M35" s="5">
        <f>IFERROR(
    GETPIVOTDATA(
        "Result",
        'Pivot Table Previous'!$A$3,
        "Player",View_Table[[#This Row],[Player]],
        "Result","Draw"
    ),
    0
)</f>
        <v>2</v>
      </c>
      <c r="N35" s="5">
        <f>View_Table[[#This Row],[Wins Previous]]+View_Table[[#This Row],[Losses Previous]]+View_Table[[#This Row],[Draws Previous]]</f>
        <v>6</v>
      </c>
      <c r="O35" s="9">
        <f>_xlfn.LET(_xlpm.g,View_Table[[#This Row],[Games Previous]], _xlpm.w,(View_Table[[#This Row],[Wins Previous]] + View_Table[[#This Row],[Draws Previous]] * 0.25), _xlpm.fake, MAX(0,25-_xlpm.g), IF(_xlpm.g=0,0,(_xlpm.w + _xlpm.fake*0.25)/(_xlpm.g + _xlpm.fake)))</f>
        <v>0.25</v>
      </c>
      <c r="P35" s="7">
        <f>IF(View_Table[[#This Row],[Games Previous]]=0,
    View_Table[[#This Row],[Rank]],
    _xlfn.RANK.EQ(View_Table[[#This Row],[Weighted Win% Previous]], View_Table[Weighted Win% Previous], 0)
)</f>
        <v>11</v>
      </c>
    </row>
    <row r="36" spans="2:16" hidden="1" x14ac:dyDescent="0.25">
      <c r="B36" s="3" t="s">
        <v>59</v>
      </c>
      <c r="C36" s="6">
        <f>View_Table[[#This Row],[Rank Previous]]-View_Table[[#This Row],[Rank]]</f>
        <v>0</v>
      </c>
      <c r="D36" s="7">
        <f>_xlfn.RANK.EQ(View_Table[[#This Row],[Weighted Win%]], View_Table[Weighted Win%], 0)</f>
        <v>29</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29</v>
      </c>
    </row>
    <row r="37" spans="2:16" hidden="1" x14ac:dyDescent="0.25">
      <c r="B37" s="3" t="s">
        <v>437</v>
      </c>
      <c r="C37" s="6">
        <f>View_Table[[#This Row],[Rank Previous]]-View_Table[[#This Row],[Rank]]</f>
        <v>0</v>
      </c>
      <c r="D37" s="7">
        <f>_xlfn.RANK.EQ(View_Table[[#This Row],[Weighted Win%]], View_Table[Weighted Win%], 0)</f>
        <v>29</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29</v>
      </c>
    </row>
    <row r="38" spans="2:16" hidden="1" x14ac:dyDescent="0.25">
      <c r="B38" s="3" t="s">
        <v>438</v>
      </c>
      <c r="C38" s="6">
        <f>View_Table[[#This Row],[Rank Previous]]-View_Table[[#This Row],[Rank]]</f>
        <v>0</v>
      </c>
      <c r="D38" s="7">
        <f>_xlfn.RANK.EQ(View_Table[[#This Row],[Weighted Win%]], View_Table[Weighted Win%], 0)</f>
        <v>29</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29</v>
      </c>
    </row>
    <row r="39" spans="2:16" hidden="1" x14ac:dyDescent="0.25">
      <c r="B39" s="3" t="s">
        <v>365</v>
      </c>
      <c r="C39" s="6">
        <f>View_Table[[#This Row],[Rank Previous]]-View_Table[[#This Row],[Rank]]</f>
        <v>0</v>
      </c>
      <c r="D39" s="7">
        <f>_xlfn.RANK.EQ(View_Table[[#This Row],[Weighted Win%]], View_Table[Weighted Win%], 0)</f>
        <v>29</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29</v>
      </c>
    </row>
    <row r="40" spans="2:16" hidden="1" x14ac:dyDescent="0.25">
      <c r="B40" s="3" t="s">
        <v>463</v>
      </c>
      <c r="C40" s="6">
        <f>View_Table[[#This Row],[Rank Previous]]-View_Table[[#This Row],[Rank]]</f>
        <v>0</v>
      </c>
      <c r="D40" s="7">
        <f>_xlfn.RANK.EQ(View_Table[[#This Row],[Weighted Win%]], View_Table[Weighted Win%], 0)</f>
        <v>29</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29</v>
      </c>
    </row>
    <row r="41" spans="2:16" hidden="1" x14ac:dyDescent="0.25">
      <c r="B41" s="3" t="s">
        <v>42</v>
      </c>
      <c r="C41" s="6">
        <f>View_Table[[#This Row],[Rank Previous]]-View_Table[[#This Row],[Rank]]</f>
        <v>0</v>
      </c>
      <c r="D41" s="7">
        <f>_xlfn.RANK.EQ(View_Table[[#This Row],[Weighted Win%]], View_Table[Weighted Win%], 0)</f>
        <v>29</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29</v>
      </c>
    </row>
    <row r="42" spans="2:16" hidden="1" x14ac:dyDescent="0.25">
      <c r="B42" s="3" t="s">
        <v>464</v>
      </c>
      <c r="C42" s="6">
        <f>View_Table[[#This Row],[Rank Previous]]-View_Table[[#This Row],[Rank]]</f>
        <v>0</v>
      </c>
      <c r="D42" s="7">
        <f>_xlfn.RANK.EQ(View_Table[[#This Row],[Weighted Win%]], View_Table[Weighted Win%], 0)</f>
        <v>29</v>
      </c>
      <c r="E42" s="9">
        <f>_xlfn.LET(_xlpm.g,View_Table[[#This Row],[Games]], _xlpm.w,(View_Table[[#This Row],[Wins]] + View_Table[[#This Row],[Draws]] * 0.25), _xlpm.fake, MAX(0,25-_xlpm.g), IF(_xlpm.g=0,0,(_xlpm.w + _xlpm.fake*0.25)/(_xlpm.g + _xlpm.fake)))</f>
        <v>0</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0</v>
      </c>
      <c r="J42" s="5">
        <f>View_Table[[#This Row],[Wins]]+View_Table[[#This Row],[Losses]]+View_Table[[#This Row],[Draws]]</f>
        <v>0</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29</v>
      </c>
    </row>
    <row r="43" spans="2:16" x14ac:dyDescent="0.25">
      <c r="B43" s="3" t="s">
        <v>20</v>
      </c>
      <c r="C43" s="6">
        <f>View_Table[[#This Row],[Rank Previous]]-View_Table[[#This Row],[Rank]]</f>
        <v>0</v>
      </c>
      <c r="D43" s="7">
        <f>_xlfn.RANK.EQ(View_Table[[#This Row],[Weighted Win%]], View_Table[Weighted Win%], 0)</f>
        <v>11</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0</v>
      </c>
      <c r="J43" s="5">
        <f>View_Table[[#This Row],[Wins]]+View_Table[[#This Row],[Losses]]+View_Table[[#This Row],[Draws]]</f>
        <v>4</v>
      </c>
      <c r="K43" s="7">
        <f>IFERROR(
    GETPIVOTDATA(
        "Result",
        'Pivot Table Previous'!$A$3,
        "Player",View_Table[[#This Row],[Player]],
        "Result","Win"
    ),
    0
)</f>
        <v>1</v>
      </c>
      <c r="L43" s="5">
        <f>IFERROR(
    GETPIVOTDATA(
        "Result",
        'Pivot Table Previous'!$A$3,
        "Player",View_Table[[#This Row],[Player]],
        "Result","Loss"
    ),
    0
)</f>
        <v>3</v>
      </c>
      <c r="M43" s="5">
        <f>IFERROR(
    GETPIVOTDATA(
        "Result",
        'Pivot Table Previous'!$A$3,
        "Player",View_Table[[#This Row],[Player]],
        "Result","Draw"
    ),
    0
)</f>
        <v>0</v>
      </c>
      <c r="N43" s="5">
        <f>View_Table[[#This Row],[Wins Previous]]+View_Table[[#This Row],[Losses Previous]]+View_Table[[#This Row],[Draws Previous]]</f>
        <v>4</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11</v>
      </c>
    </row>
    <row r="44" spans="2:16" x14ac:dyDescent="0.25">
      <c r="B44" s="3" t="s">
        <v>622</v>
      </c>
      <c r="C44" s="6">
        <f>View_Table[[#This Row],[Rank Previous]]-View_Table[[#This Row],[Rank]]</f>
        <v>0</v>
      </c>
      <c r="D44" s="7">
        <f>_xlfn.RANK.EQ(View_Table[[#This Row],[Weighted Win%]], View_Table[Weighted Win%], 0)</f>
        <v>11</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1</v>
      </c>
      <c r="H44" s="5">
        <f>IFERROR(
    GETPIVOTDATA(
        "Result",
        'Pivot Table'!$A$3,
        "Player",View_Table[[#This Row],[Player]],
        "Result","Loss"
    ),
    0
)</f>
        <v>3</v>
      </c>
      <c r="I44" s="5">
        <f>IFERROR(
    GETPIVOTDATA(
        "Result",
        'Pivot Table'!$A$3,
        "Player",View_Table[[#This Row],[Player]],
        "Result","Draw"
    ),
    0
)</f>
        <v>0</v>
      </c>
      <c r="J44" s="5">
        <f>View_Table[[#This Row],[Wins]]+View_Table[[#This Row],[Losses]]+View_Table[[#This Row],[Draws]]</f>
        <v>4</v>
      </c>
      <c r="K44" s="7">
        <f>IFERROR(
    GETPIVOTDATA(
        "Result",
        'Pivot Table Previous'!$A$3,
        "Player",View_Table[[#This Row],[Player]],
        "Result","Win"
    ),
    0
)</f>
        <v>1</v>
      </c>
      <c r="L44" s="5">
        <f>IFERROR(
    GETPIVOTDATA(
        "Result",
        'Pivot Table Previous'!$A$3,
        "Player",View_Table[[#This Row],[Player]],
        "Result","Loss"
    ),
    0
)</f>
        <v>3</v>
      </c>
      <c r="M44" s="5">
        <f>IFERROR(
    GETPIVOTDATA(
        "Result",
        'Pivot Table Previous'!$A$3,
        "Player",View_Table[[#This Row],[Player]],
        "Result","Draw"
    ),
    0
)</f>
        <v>0</v>
      </c>
      <c r="N44" s="5">
        <f>View_Table[[#This Row],[Wins Previous]]+View_Table[[#This Row],[Losses Previous]]+View_Table[[#This Row],[Draws Previous]]</f>
        <v>4</v>
      </c>
      <c r="O44" s="9">
        <f>_xlfn.LET(_xlpm.g,View_Table[[#This Row],[Games Previous]], _xlpm.w,(View_Table[[#This Row],[Wins Previous]] + View_Table[[#This Row],[Draws Previous]] * 0.25), _xlpm.fake, MAX(0,25-_xlpm.g), IF(_xlpm.g=0,0,(_xlpm.w + _xlpm.fake*0.25)/(_xlpm.g + _xlpm.fake)))</f>
        <v>0.25</v>
      </c>
      <c r="P44" s="7">
        <f>_xlfn.RANK.EQ(View_Table[[#This Row],[Weighted Win% Previous]], View_Table[Weighted Win% Previous], 0)</f>
        <v>11</v>
      </c>
    </row>
    <row r="45" spans="2:16" x14ac:dyDescent="0.25">
      <c r="B45" s="3" t="s">
        <v>519</v>
      </c>
      <c r="C45" s="6">
        <f>View_Table[[#This Row],[Rank Previous]]-View_Table[[#This Row],[Rank]]</f>
        <v>10</v>
      </c>
      <c r="D45" s="7">
        <f>_xlfn.RANK.EQ(View_Table[[#This Row],[Weighted Win%]], View_Table[Weighted Win%], 0)</f>
        <v>15</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0.20833333333333334</v>
      </c>
      <c r="G45" s="5">
        <f>IFERROR(
    GETPIVOTDATA(
        "Result",
        'Pivot Table'!$A$3,
        "Player",View_Table[[#This Row],[Player]],
        "Result","Win"
    ),
    0
)</f>
        <v>1</v>
      </c>
      <c r="H45" s="5">
        <f>IFERROR(
    GETPIVOTDATA(
        "Result",
        'Pivot Table'!$A$3,
        "Player",View_Table[[#This Row],[Player]],
        "Result","Loss"
    ),
    0
)</f>
        <v>4</v>
      </c>
      <c r="I45" s="5">
        <f>IFERROR(
    GETPIVOTDATA(
        "Result",
        'Pivot Table'!$A$3,
        "Player",View_Table[[#This Row],[Player]],
        "Result","Draw"
    ),
    0
)</f>
        <v>1</v>
      </c>
      <c r="J45" s="5">
        <f>View_Table[[#This Row],[Wins]]+View_Table[[#This Row],[Losses]]+View_Table[[#This Row],[Draws]]</f>
        <v>6</v>
      </c>
      <c r="K45" s="7">
        <f>IFERROR(
    GETPIVOTDATA(
        "Result",
        'Pivot Table Previous'!$A$3,
        "Player",View_Table[[#This Row],[Player]],
        "Result","Win"
    ),
    0
)</f>
        <v>0</v>
      </c>
      <c r="L45" s="5">
        <f>IFERROR(
    GETPIVOTDATA(
        "Result",
        'Pivot Table Previous'!$A$3,
        "Player",View_Table[[#This Row],[Player]],
        "Result","Loss"
    ),
    0
)</f>
        <v>4</v>
      </c>
      <c r="M45" s="5">
        <f>IFERROR(
    GETPIVOTDATA(
        "Result",
        'Pivot Table Previous'!$A$3,
        "Player",View_Table[[#This Row],[Player]],
        "Result","Draw"
    ),
    0
)</f>
        <v>0</v>
      </c>
      <c r="N45" s="5">
        <f>View_Table[[#This Row],[Wins Previous]]+View_Table[[#This Row],[Losses Previous]]+View_Table[[#This Row],[Draws Previous]]</f>
        <v>4</v>
      </c>
      <c r="O45" s="9">
        <f>_xlfn.LET(_xlpm.g,View_Table[[#This Row],[Games Previous]], _xlpm.w,(View_Table[[#This Row],[Wins Previous]] + View_Table[[#This Row],[Draws Previous]] * 0.25), _xlpm.fake, MAX(0,25-_xlpm.g), IF(_xlpm.g=0,0,(_xlpm.w + _xlpm.fake*0.25)/(_xlpm.g + _xlpm.fake)))</f>
        <v>0.21</v>
      </c>
      <c r="P45" s="7">
        <f>_xlfn.RANK.EQ(View_Table[[#This Row],[Weighted Win% Previous]], View_Table[Weighted Win% Previous], 0)</f>
        <v>25</v>
      </c>
    </row>
    <row r="46" spans="2:16" hidden="1" x14ac:dyDescent="0.25">
      <c r="B46" s="3" t="s">
        <v>30</v>
      </c>
      <c r="C46" s="6">
        <f>View_Table[[#This Row],[Rank Previous]]-View_Table[[#This Row],[Rank]]</f>
        <v>0</v>
      </c>
      <c r="D46" s="7">
        <f>_xlfn.RANK.EQ(View_Table[[#This Row],[Weighted Win%]], View_Table[Weighted Win%], 0)</f>
        <v>29</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29</v>
      </c>
    </row>
    <row r="47" spans="2:16" hidden="1" x14ac:dyDescent="0.25">
      <c r="B47" s="3" t="s">
        <v>541</v>
      </c>
      <c r="C47" s="6">
        <f>View_Table[[#This Row],[Rank Previous]]-View_Table[[#This Row],[Rank]]</f>
        <v>0</v>
      </c>
      <c r="D47" s="7">
        <f>_xlfn.RANK.EQ(View_Table[[#This Row],[Weighted Win%]], View_Table[Weighted Win%], 0)</f>
        <v>29</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29</v>
      </c>
    </row>
    <row r="48" spans="2:16" hidden="1" x14ac:dyDescent="0.25">
      <c r="B48" s="3" t="s">
        <v>46</v>
      </c>
      <c r="C48" s="6">
        <f>View_Table[[#This Row],[Rank Previous]]-View_Table[[#This Row],[Rank]]</f>
        <v>0</v>
      </c>
      <c r="D48" s="7">
        <f>_xlfn.RANK.EQ(View_Table[[#This Row],[Weighted Win%]], View_Table[Weighted Win%], 0)</f>
        <v>29</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29</v>
      </c>
    </row>
    <row r="49" spans="2:16" hidden="1" x14ac:dyDescent="0.25">
      <c r="B49" s="3" t="s">
        <v>542</v>
      </c>
      <c r="C49" s="6">
        <f>View_Table[[#This Row],[Rank Previous]]-View_Table[[#This Row],[Rank]]</f>
        <v>0</v>
      </c>
      <c r="D49" s="7">
        <f>_xlfn.RANK.EQ(View_Table[[#This Row],[Weighted Win%]], View_Table[Weighted Win%], 0)</f>
        <v>29</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29</v>
      </c>
    </row>
    <row r="50" spans="2:16" hidden="1" x14ac:dyDescent="0.25">
      <c r="B50" s="3" t="s">
        <v>57</v>
      </c>
      <c r="C50" s="6">
        <f>View_Table[[#This Row],[Rank Previous]]-View_Table[[#This Row],[Rank]]</f>
        <v>0</v>
      </c>
      <c r="D50" s="7">
        <f>_xlfn.RANK.EQ(View_Table[[#This Row],[Weighted Win%]], View_Table[Weighted Win%], 0)</f>
        <v>29</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29</v>
      </c>
    </row>
    <row r="51" spans="2:16" hidden="1" x14ac:dyDescent="0.25">
      <c r="B51" s="3" t="s">
        <v>591</v>
      </c>
      <c r="C51" s="6">
        <f>View_Table[[#This Row],[Rank Previous]]-View_Table[[#This Row],[Rank]]</f>
        <v>0</v>
      </c>
      <c r="D51" s="7">
        <f>_xlfn.RANK.EQ(View_Table[[#This Row],[Weighted Win%]], View_Table[Weighted Win%], 0)</f>
        <v>29</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29</v>
      </c>
    </row>
    <row r="52" spans="2:16" hidden="1" x14ac:dyDescent="0.25">
      <c r="B52" s="3" t="s">
        <v>61</v>
      </c>
      <c r="C52" s="6">
        <f>View_Table[[#This Row],[Rank Previous]]-View_Table[[#This Row],[Rank]]</f>
        <v>0</v>
      </c>
      <c r="D52" s="7">
        <f>_xlfn.RANK.EQ(View_Table[[#This Row],[Weighted Win%]], View_Table[Weighted Win%], 0)</f>
        <v>29</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29</v>
      </c>
    </row>
    <row r="53" spans="2:16" hidden="1" x14ac:dyDescent="0.25">
      <c r="B53" s="3" t="s">
        <v>321</v>
      </c>
      <c r="C53" s="6">
        <f>View_Table[[#This Row],[Rank Previous]]-View_Table[[#This Row],[Rank]]</f>
        <v>0</v>
      </c>
      <c r="D53" s="7">
        <f>_xlfn.RANK.EQ(View_Table[[#This Row],[Weighted Win%]], View_Table[Weighted Win%], 0)</f>
        <v>29</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29</v>
      </c>
    </row>
    <row r="54" spans="2:16" hidden="1" x14ac:dyDescent="0.25">
      <c r="B54" s="3" t="s">
        <v>38</v>
      </c>
      <c r="C54" s="6">
        <f>View_Table[[#This Row],[Rank Previous]]-View_Table[[#This Row],[Rank]]</f>
        <v>0</v>
      </c>
      <c r="D54" s="7">
        <f>_xlfn.RANK.EQ(View_Table[[#This Row],[Weighted Win%]], View_Table[Weighted Win%], 0)</f>
        <v>29</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29</v>
      </c>
    </row>
    <row r="55" spans="2:16" hidden="1" x14ac:dyDescent="0.25">
      <c r="B55" s="3" t="s">
        <v>48</v>
      </c>
      <c r="C55" s="6">
        <f>View_Table[[#This Row],[Rank Previous]]-View_Table[[#This Row],[Rank]]</f>
        <v>0</v>
      </c>
      <c r="D55" s="7">
        <f>_xlfn.RANK.EQ(View_Table[[#This Row],[Weighted Win%]], View_Table[Weighted Win%], 0)</f>
        <v>29</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29</v>
      </c>
    </row>
    <row r="56" spans="2:16" hidden="1" x14ac:dyDescent="0.25">
      <c r="B56" s="3" t="s">
        <v>608</v>
      </c>
      <c r="C56" s="6">
        <f>View_Table[[#This Row],[Rank Previous]]-View_Table[[#This Row],[Rank]]</f>
        <v>0</v>
      </c>
      <c r="D56" s="7">
        <f>_xlfn.RANK.EQ(View_Table[[#This Row],[Weighted Win%]], View_Table[Weighted Win%], 0)</f>
        <v>29</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29</v>
      </c>
    </row>
    <row r="57" spans="2:16" hidden="1" x14ac:dyDescent="0.25">
      <c r="B57" s="3" t="s">
        <v>62</v>
      </c>
      <c r="C57" s="6">
        <f>View_Table[[#This Row],[Rank Previous]]-View_Table[[#This Row],[Rank]]</f>
        <v>0</v>
      </c>
      <c r="D57" s="7">
        <f>_xlfn.RANK.EQ(View_Table[[#This Row],[Weighted Win%]], View_Table[Weighted Win%], 0)</f>
        <v>29</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29</v>
      </c>
    </row>
    <row r="58" spans="2:16" hidden="1" x14ac:dyDescent="0.25">
      <c r="B58" s="3" t="s">
        <v>54</v>
      </c>
      <c r="C58" s="6">
        <f>View_Table[[#This Row],[Rank Previous]]-View_Table[[#This Row],[Rank]]</f>
        <v>0</v>
      </c>
      <c r="D58" s="7">
        <f>_xlfn.RANK.EQ(View_Table[[#This Row],[Weighted Win%]], View_Table[Weighted Win%], 0)</f>
        <v>29</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29</v>
      </c>
    </row>
    <row r="59" spans="2:16" hidden="1" x14ac:dyDescent="0.25">
      <c r="B59" s="3" t="s">
        <v>60</v>
      </c>
      <c r="C59" s="6">
        <f>View_Table[[#This Row],[Rank Previous]]-View_Table[[#This Row],[Rank]]</f>
        <v>0</v>
      </c>
      <c r="D59" s="7">
        <f>_xlfn.RANK.EQ(View_Table[[#This Row],[Weighted Win%]], View_Table[Weighted Win%], 0)</f>
        <v>29</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29</v>
      </c>
    </row>
    <row r="60" spans="2:16" hidden="1" x14ac:dyDescent="0.25">
      <c r="B60" s="3" t="s">
        <v>85</v>
      </c>
      <c r="C60" s="6">
        <f>View_Table[[#This Row],[Rank Previous]]-View_Table[[#This Row],[Rank]]</f>
        <v>0</v>
      </c>
      <c r="D60" s="7">
        <f>_xlfn.RANK.EQ(View_Table[[#This Row],[Weighted Win%]], View_Table[Weighted Win%], 0)</f>
        <v>29</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29</v>
      </c>
    </row>
    <row r="61" spans="2:16" hidden="1" x14ac:dyDescent="0.25">
      <c r="B61" s="3" t="s">
        <v>47</v>
      </c>
      <c r="C61" s="6">
        <f>View_Table[[#This Row],[Rank Previous]]-View_Table[[#This Row],[Rank]]</f>
        <v>0</v>
      </c>
      <c r="D61" s="7">
        <f>_xlfn.RANK.EQ(View_Table[[#This Row],[Weighted Win%]], View_Table[Weighted Win%], 0)</f>
        <v>29</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29</v>
      </c>
    </row>
    <row r="62" spans="2:16" hidden="1" x14ac:dyDescent="0.25">
      <c r="B62" s="3" t="s">
        <v>50</v>
      </c>
      <c r="C62" s="6">
        <f>View_Table[[#This Row],[Rank Previous]]-View_Table[[#This Row],[Rank]]</f>
        <v>0</v>
      </c>
      <c r="D62" s="7">
        <f>_xlfn.RANK.EQ(View_Table[[#This Row],[Weighted Win%]], View_Table[Weighted Win%], 0)</f>
        <v>29</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29</v>
      </c>
    </row>
    <row r="63" spans="2:16" hidden="1" x14ac:dyDescent="0.25">
      <c r="B63" s="3" t="s">
        <v>53</v>
      </c>
      <c r="C63" s="6">
        <f>View_Table[[#This Row],[Rank Previous]]-View_Table[[#This Row],[Rank]]</f>
        <v>0</v>
      </c>
      <c r="D63" s="7">
        <f>_xlfn.RANK.EQ(View_Table[[#This Row],[Weighted Win%]], View_Table[Weighted Win%], 0)</f>
        <v>29</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29</v>
      </c>
    </row>
    <row r="64" spans="2:16" hidden="1" x14ac:dyDescent="0.25">
      <c r="B64" s="3" t="s">
        <v>56</v>
      </c>
      <c r="C64" s="6">
        <f>View_Table[[#This Row],[Rank Previous]]-View_Table[[#This Row],[Rank]]</f>
        <v>0</v>
      </c>
      <c r="D64" s="7">
        <f>_xlfn.RANK.EQ(View_Table[[#This Row],[Weighted Win%]], View_Table[Weighted Win%], 0)</f>
        <v>29</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29</v>
      </c>
    </row>
    <row r="65" spans="2:16" hidden="1" x14ac:dyDescent="0.25">
      <c r="B65" s="3" t="s">
        <v>58</v>
      </c>
      <c r="C65" s="6">
        <f>View_Table[[#This Row],[Rank Previous]]-View_Table[[#This Row],[Rank]]</f>
        <v>0</v>
      </c>
      <c r="D65" s="7">
        <f>_xlfn.RANK.EQ(View_Table[[#This Row],[Weighted Win%]], View_Table[Weighted Win%], 0)</f>
        <v>29</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29</v>
      </c>
    </row>
    <row r="66" spans="2:16" x14ac:dyDescent="0.25">
      <c r="B66" s="3" t="s">
        <v>41</v>
      </c>
      <c r="C66" s="6">
        <f>View_Table[[#This Row],[Rank Previous]]-View_Table[[#This Row],[Rank]]</f>
        <v>-5</v>
      </c>
      <c r="D66" s="7">
        <f>_xlfn.RANK.EQ(View_Table[[#This Row],[Weighted Win%]], View_Table[Weighted Win%], 0)</f>
        <v>16</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0.16666666666666666</v>
      </c>
      <c r="G66" s="5">
        <f>IFERROR(
    GETPIVOTDATA(
        "Result",
        'Pivot Table'!$A$3,
        "Player",View_Table[[#This Row],[Player]],
        "Result","Win"
    ),
    0
)</f>
        <v>1</v>
      </c>
      <c r="H66" s="5">
        <f>IFERROR(
    GETPIVOTDATA(
        "Result",
        'Pivot Table'!$A$3,
        "Player",View_Table[[#This Row],[Player]],
        "Result","Loss"
    ),
    0
)</f>
        <v>5</v>
      </c>
      <c r="I66" s="5">
        <f>IFERROR(
    GETPIVOTDATA(
        "Result",
        'Pivot Table'!$A$3,
        "Player",View_Table[[#This Row],[Player]],
        "Result","Draw"
    ),
    0
)</f>
        <v>0</v>
      </c>
      <c r="J66" s="5">
        <f>View_Table[[#This Row],[Wins]]+View_Table[[#This Row],[Losses]]+View_Table[[#This Row],[Draws]]</f>
        <v>6</v>
      </c>
      <c r="K66" s="5">
        <f>IFERROR(
    GETPIVOTDATA(
        "Result",
        'Pivot Table Previous'!$A$3,
        "Player",View_Table[[#This Row],[Player]],
        "Result","Win"
    ),
    0
)</f>
        <v>1</v>
      </c>
      <c r="L66" s="5">
        <f>IFERROR(
    GETPIVOTDATA(
        "Result",
        'Pivot Table Previous'!$A$3,
        "Player",View_Table[[#This Row],[Player]],
        "Result","Loss"
    ),
    0
)</f>
        <v>3</v>
      </c>
      <c r="M66" s="5">
        <f>IFERROR(
    GETPIVOTDATA(
        "Result",
        'Pivot Table Previous'!$A$3,
        "Player",View_Table[[#This Row],[Player]],
        "Result","Draw"
    ),
    0
)</f>
        <v>0</v>
      </c>
      <c r="N66" s="5">
        <f>View_Table[[#This Row],[Wins Previous]]+View_Table[[#This Row],[Losses Previous]]+View_Table[[#This Row],[Draws Previous]]</f>
        <v>4</v>
      </c>
      <c r="O66" s="9">
        <f>_xlfn.LET(_xlpm.g,View_Table[[#This Row],[Games Previous]], _xlpm.w,(View_Table[[#This Row],[Wins Previous]] + View_Table[[#This Row],[Draws Previous]] * 0.25), _xlpm.fake, MAX(0,25-_xlpm.g), IF(_xlpm.g=0,0,(_xlpm.w + _xlpm.fake*0.25)/(_xlpm.g + _xlpm.fake)))</f>
        <v>0.25</v>
      </c>
      <c r="P66" s="7">
        <f>IF(View_Table[[#This Row],[Games Previous]]=0,
    View_Table[[#This Row],[Rank]],
    _xlfn.RANK.EQ(View_Table[[#This Row],[Weighted Win% Previous]], View_Table[Weighted Win% Previous], 0)
)</f>
        <v>11</v>
      </c>
    </row>
    <row r="67" spans="2:16" hidden="1" x14ac:dyDescent="0.25">
      <c r="B67" s="3" t="s">
        <v>45</v>
      </c>
      <c r="C67" s="6">
        <f>View_Table[[#This Row],[Rank Previous]]-View_Table[[#This Row],[Rank]]</f>
        <v>0</v>
      </c>
      <c r="D67" s="7">
        <f>_xlfn.RANK.EQ(View_Table[[#This Row],[Weighted Win%]], View_Table[Weighted Win%], 0)</f>
        <v>29</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29</v>
      </c>
    </row>
    <row r="68" spans="2:16" hidden="1" x14ac:dyDescent="0.25">
      <c r="B68" s="3" t="s">
        <v>40</v>
      </c>
      <c r="C68" s="6">
        <f>View_Table[[#This Row],[Rank Previous]]-View_Table[[#This Row],[Rank]]</f>
        <v>0</v>
      </c>
      <c r="D68" s="7">
        <f>_xlfn.RANK.EQ(View_Table[[#This Row],[Weighted Win%]], View_Table[Weighted Win%], 0)</f>
        <v>29</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29</v>
      </c>
    </row>
    <row r="69" spans="2:16" hidden="1" x14ac:dyDescent="0.25">
      <c r="B69" s="3" t="s">
        <v>55</v>
      </c>
      <c r="C69" s="6">
        <f>View_Table[[#This Row],[Rank Previous]]-View_Table[[#This Row],[Rank]]</f>
        <v>0</v>
      </c>
      <c r="D69" s="7">
        <f>_xlfn.RANK.EQ(View_Table[[#This Row],[Weighted Win%]], View_Table[Weighted Win%], 0)</f>
        <v>29</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29</v>
      </c>
    </row>
    <row r="70" spans="2:16" hidden="1" x14ac:dyDescent="0.25">
      <c r="B70" s="3" t="s">
        <v>16</v>
      </c>
      <c r="C70" s="6">
        <f>View_Table[[#This Row],[Rank Previous]]-View_Table[[#This Row],[Rank]]</f>
        <v>0</v>
      </c>
      <c r="D70" s="7">
        <f>_xlfn.RANK.EQ(View_Table[[#This Row],[Weighted Win%]], View_Table[Weighted Win%], 0)</f>
        <v>29</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29</v>
      </c>
    </row>
    <row r="71" spans="2:16" hidden="1" x14ac:dyDescent="0.25">
      <c r="B71" s="3" t="s">
        <v>21</v>
      </c>
      <c r="C71" s="6">
        <f>View_Table[[#This Row],[Rank Previous]]-View_Table[[#This Row],[Rank]]</f>
        <v>0</v>
      </c>
      <c r="D71" s="7">
        <f>_xlfn.RANK.EQ(View_Table[[#This Row],[Weighted Win%]], View_Table[Weighted Win%], 0)</f>
        <v>29</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29</v>
      </c>
    </row>
    <row r="72" spans="2:16" hidden="1" x14ac:dyDescent="0.25">
      <c r="B72" s="3" t="s">
        <v>49</v>
      </c>
      <c r="C72" s="6">
        <f>View_Table[[#This Row],[Rank Previous]]-View_Table[[#This Row],[Rank]]</f>
        <v>0</v>
      </c>
      <c r="D72" s="7">
        <f>_xlfn.RANK.EQ(View_Table[[#This Row],[Weighted Win%]], View_Table[Weighted Win%], 0)</f>
        <v>29</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29</v>
      </c>
    </row>
    <row r="73" spans="2:16" hidden="1" x14ac:dyDescent="0.25">
      <c r="B73" s="3" t="s">
        <v>12</v>
      </c>
      <c r="C73" s="6">
        <f>View_Table[[#This Row],[Rank Previous]]-View_Table[[#This Row],[Rank]]</f>
        <v>0</v>
      </c>
      <c r="D73" s="7">
        <f>_xlfn.RANK.EQ(View_Table[[#This Row],[Weighted Win%]], View_Table[Weighted Win%], 0)</f>
        <v>29</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29</v>
      </c>
    </row>
    <row r="74" spans="2:16" hidden="1" x14ac:dyDescent="0.25">
      <c r="B74" s="3" t="s">
        <v>44</v>
      </c>
      <c r="C74" s="6">
        <f>View_Table[[#This Row],[Rank Previous]]-View_Table[[#This Row],[Rank]]</f>
        <v>0</v>
      </c>
      <c r="D74" s="7">
        <f>_xlfn.RANK.EQ(View_Table[[#This Row],[Weighted Win%]], View_Table[Weighted Win%], 0)</f>
        <v>29</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29</v>
      </c>
    </row>
    <row r="75" spans="2:16" hidden="1" x14ac:dyDescent="0.25">
      <c r="B75" s="3" t="s">
        <v>29</v>
      </c>
      <c r="C75" s="6">
        <f>View_Table[[#This Row],[Rank Previous]]-View_Table[[#This Row],[Rank]]</f>
        <v>0</v>
      </c>
      <c r="D75" s="7">
        <f>_xlfn.RANK.EQ(View_Table[[#This Row],[Weighted Win%]], View_Table[Weighted Win%], 0)</f>
        <v>29</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29</v>
      </c>
    </row>
    <row r="76" spans="2:16" hidden="1" x14ac:dyDescent="0.25">
      <c r="B76" s="3" t="s">
        <v>65</v>
      </c>
      <c r="C76" s="6">
        <f>View_Table[[#This Row],[Rank Previous]]-View_Table[[#This Row],[Rank]]</f>
        <v>0</v>
      </c>
      <c r="D76" s="7">
        <f>_xlfn.RANK.EQ(View_Table[[#This Row],[Weighted Win%]], View_Table[Weighted Win%], 0)</f>
        <v>29</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29</v>
      </c>
    </row>
    <row r="77" spans="2:16" hidden="1" x14ac:dyDescent="0.25">
      <c r="B77" s="3" t="s">
        <v>76</v>
      </c>
      <c r="C77" s="6">
        <f>View_Table[[#This Row],[Rank Previous]]-View_Table[[#This Row],[Rank]]</f>
        <v>0</v>
      </c>
      <c r="D77" s="7">
        <f>_xlfn.RANK.EQ(View_Table[[#This Row],[Weighted Win%]], View_Table[Weighted Win%], 0)</f>
        <v>29</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29</v>
      </c>
    </row>
    <row r="78" spans="2:16" hidden="1" x14ac:dyDescent="0.25">
      <c r="B78" s="3" t="s">
        <v>39</v>
      </c>
      <c r="C78" s="6">
        <f>View_Table[[#This Row],[Rank Previous]]-View_Table[[#This Row],[Rank]]</f>
        <v>0</v>
      </c>
      <c r="D78" s="7">
        <f>_xlfn.RANK.EQ(View_Table[[#This Row],[Weighted Win%]], View_Table[Weighted Win%], 0)</f>
        <v>29</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29</v>
      </c>
    </row>
    <row r="79" spans="2:16" hidden="1" x14ac:dyDescent="0.25">
      <c r="B79" s="3" t="s">
        <v>18</v>
      </c>
      <c r="C79" s="6">
        <f>View_Table[[#This Row],[Rank Previous]]-View_Table[[#This Row],[Rank]]</f>
        <v>0</v>
      </c>
      <c r="D79" s="7">
        <f>_xlfn.RANK.EQ(View_Table[[#This Row],[Weighted Win%]], View_Table[Weighted Win%], 0)</f>
        <v>29</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29</v>
      </c>
    </row>
    <row r="80" spans="2:16" hidden="1" x14ac:dyDescent="0.25">
      <c r="B80" s="3" t="s">
        <v>592</v>
      </c>
      <c r="C80" s="6">
        <f>View_Table[[#This Row],[Rank Previous]]-View_Table[[#This Row],[Rank]]</f>
        <v>0</v>
      </c>
      <c r="D80" s="7">
        <f>_xlfn.RANK.EQ(View_Table[[#This Row],[Weighted Win%]], View_Table[Weighted Win%], 0)</f>
        <v>29</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29</v>
      </c>
    </row>
    <row r="81" spans="2:16" hidden="1" x14ac:dyDescent="0.25">
      <c r="B81" s="3" t="s">
        <v>539</v>
      </c>
      <c r="C81" s="6">
        <f>View_Table[[#This Row],[Rank Previous]]-View_Table[[#This Row],[Rank]]</f>
        <v>0</v>
      </c>
      <c r="D81" s="7">
        <f>_xlfn.RANK.EQ(View_Table[[#This Row],[Weighted Win%]], View_Table[Weighted Win%], 0)</f>
        <v>29</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29</v>
      </c>
    </row>
    <row r="82" spans="2:16" x14ac:dyDescent="0.25">
      <c r="B82" s="3" t="s">
        <v>609</v>
      </c>
      <c r="C82" s="6">
        <f>View_Table[[#This Row],[Rank Previous]]-View_Table[[#This Row],[Rank]]</f>
        <v>-1</v>
      </c>
      <c r="D82" s="7">
        <f>_xlfn.RANK.EQ(View_Table[[#This Row],[Weighted Win%]], View_Table[Weighted Win%], 0)</f>
        <v>16</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0.125</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2</v>
      </c>
      <c r="J82" s="5">
        <f>View_Table[[#This Row],[Wins]]+View_Table[[#This Row],[Losses]]+View_Table[[#This Row],[Draws]]</f>
        <v>4</v>
      </c>
      <c r="K82" s="7">
        <f>IFERROR(
    GETPIVOTDATA(
        "Result",
        'Pivot Table Previous'!$A$3,
        "Player",View_Table[[#This Row],[Player]],
        "Result","Win"
    ),
    0
)</f>
        <v>0</v>
      </c>
      <c r="L82" s="5">
        <f>IFERROR(
    GETPIVOTDATA(
        "Result",
        'Pivot Table Previous'!$A$3,
        "Player",View_Table[[#This Row],[Player]],
        "Result","Loss"
    ),
    0
)</f>
        <v>1</v>
      </c>
      <c r="M82" s="5">
        <f>IFERROR(
    GETPIVOTDATA(
        "Result",
        'Pivot Table Previous'!$A$3,
        "Player",View_Table[[#This Row],[Player]],
        "Result","Draw"
    ),
    0
)</f>
        <v>1</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0.24</v>
      </c>
      <c r="P82" s="7">
        <f>_xlfn.RANK.EQ(View_Table[[#This Row],[Weighted Win% Previous]], View_Table[Weighted Win% Previous], 0)</f>
        <v>15</v>
      </c>
    </row>
    <row r="83" spans="2:16" x14ac:dyDescent="0.25">
      <c r="B83" s="3" t="s">
        <v>435</v>
      </c>
      <c r="C83" s="6">
        <f>View_Table[[#This Row],[Rank Previous]]-View_Table[[#This Row],[Rank]]</f>
        <v>1</v>
      </c>
      <c r="D83" s="7">
        <f>_xlfn.RANK.EQ(View_Table[[#This Row],[Weighted Win%]], View_Table[Weighted Win%], 0)</f>
        <v>16</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2</v>
      </c>
      <c r="I83" s="5">
        <f>IFERROR(
    GETPIVOTDATA(
        "Result",
        'Pivot Table'!$A$3,
        "Player",View_Table[[#This Row],[Player]],
        "Result","Draw"
    ),
    0
)</f>
        <v>0</v>
      </c>
      <c r="J83" s="5">
        <f>View_Table[[#This Row],[Wins]]+View_Table[[#This Row],[Losses]]+View_Table[[#This Row],[Draws]]</f>
        <v>2</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17</v>
      </c>
    </row>
    <row r="84" spans="2:16" hidden="1" x14ac:dyDescent="0.25">
      <c r="B84" s="3" t="s">
        <v>579</v>
      </c>
      <c r="C84" s="6">
        <f>View_Table[[#This Row],[Rank Previous]]-View_Table[[#This Row],[Rank]]</f>
        <v>0</v>
      </c>
      <c r="D84" s="7">
        <f>_xlfn.RANK.EQ(View_Table[[#This Row],[Weighted Win%]], View_Table[Weighted Win%], 0)</f>
        <v>29</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29</v>
      </c>
    </row>
    <row r="85" spans="2:16" hidden="1" x14ac:dyDescent="0.25">
      <c r="B85" s="3" t="s">
        <v>590</v>
      </c>
      <c r="C85" s="6">
        <f>View_Table[[#This Row],[Rank Previous]]-View_Table[[#This Row],[Rank]]</f>
        <v>0</v>
      </c>
      <c r="D85" s="7">
        <f>_xlfn.RANK.EQ(View_Table[[#This Row],[Weighted Win%]], View_Table[Weighted Win%], 0)</f>
        <v>29</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29</v>
      </c>
    </row>
    <row r="86" spans="2:16" hidden="1" x14ac:dyDescent="0.25">
      <c r="B86" s="3" t="s">
        <v>551</v>
      </c>
      <c r="C86" s="6">
        <f>View_Table[[#This Row],[Rank Previous]]-View_Table[[#This Row],[Rank]]</f>
        <v>0</v>
      </c>
      <c r="D86" s="7">
        <f>_xlfn.RANK.EQ(View_Table[[#This Row],[Weighted Win%]], View_Table[Weighted Win%], 0)</f>
        <v>29</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29</v>
      </c>
    </row>
    <row r="87" spans="2:16" hidden="1" x14ac:dyDescent="0.25">
      <c r="B87" s="3" t="s">
        <v>552</v>
      </c>
      <c r="C87" s="6">
        <f>View_Table[[#This Row],[Rank Previous]]-View_Table[[#This Row],[Rank]]</f>
        <v>0</v>
      </c>
      <c r="D87" s="7">
        <f>_xlfn.RANK.EQ(View_Table[[#This Row],[Weighted Win%]], View_Table[Weighted Win%], 0)</f>
        <v>29</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29</v>
      </c>
    </row>
    <row r="88" spans="2:16" hidden="1" x14ac:dyDescent="0.25">
      <c r="B88" s="3" t="s">
        <v>553</v>
      </c>
      <c r="C88" s="6">
        <f>View_Table[[#This Row],[Rank Previous]]-View_Table[[#This Row],[Rank]]</f>
        <v>0</v>
      </c>
      <c r="D88" s="7">
        <f>_xlfn.RANK.EQ(View_Table[[#This Row],[Weighted Win%]], View_Table[Weighted Win%], 0)</f>
        <v>29</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29</v>
      </c>
    </row>
    <row r="89" spans="2:16" hidden="1" x14ac:dyDescent="0.25">
      <c r="B89" s="3" t="s">
        <v>554</v>
      </c>
      <c r="C89" s="6">
        <f>View_Table[[#This Row],[Rank Previous]]-View_Table[[#This Row],[Rank]]</f>
        <v>0</v>
      </c>
      <c r="D89" s="7">
        <f>_xlfn.RANK.EQ(View_Table[[#This Row],[Weighted Win%]], View_Table[Weighted Win%], 0)</f>
        <v>29</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29</v>
      </c>
    </row>
    <row r="90" spans="2:16" x14ac:dyDescent="0.25">
      <c r="B90" s="3" t="s">
        <v>567</v>
      </c>
      <c r="C90" s="6">
        <f>View_Table[[#This Row],[Rank Previous]]-View_Table[[#This Row],[Rank]]</f>
        <v>1</v>
      </c>
      <c r="D90" s="7">
        <f>_xlfn.RANK.EQ(View_Table[[#This Row],[Weighted Win%]], View_Table[Weighted Win%], 0)</f>
        <v>16</v>
      </c>
      <c r="E90" s="9">
        <f>_xlfn.LET(_xlpm.g,View_Table[[#This Row],[Games]], _xlpm.w,(View_Table[[#This Row],[Wins]] + View_Table[[#This Row],[Draws]] * 0.25), _xlpm.fake, MAX(0,25-_xlpm.g), IF(_xlpm.g=0,0,(_xlpm.w + _xlpm.fake*0.25)/(_xlpm.g + _xlpm.fake)))</f>
        <v>0.23</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2</v>
      </c>
      <c r="I90" s="5">
        <f>IFERROR(
    GETPIVOTDATA(
        "Result",
        'Pivot Table'!$A$3,
        "Player",View_Table[[#This Row],[Player]],
        "Result","Draw"
    ),
    0
)</f>
        <v>0</v>
      </c>
      <c r="J90" s="5">
        <f>View_Table[[#This Row],[Wins]]+View_Table[[#This Row],[Losses]]+View_Table[[#This Row],[Draws]]</f>
        <v>2</v>
      </c>
      <c r="K90" s="7">
        <f>IFERROR(
    GETPIVOTDATA(
        "Result",
        'Pivot Table Previous'!$A$3,
        "Player",View_Table[[#This Row],[Player]],
        "Result","Win"
    ),
    0
)</f>
        <v>0</v>
      </c>
      <c r="L90" s="5">
        <f>IFERROR(
    GETPIVOTDATA(
        "Result",
        'Pivot Table Previous'!$A$3,
        "Player",View_Table[[#This Row],[Player]],
        "Result","Loss"
    ),
    0
)</f>
        <v>2</v>
      </c>
      <c r="M90" s="5">
        <f>IFERROR(
    GETPIVOTDATA(
        "Result",
        'Pivot Table Previous'!$A$3,
        "Player",View_Table[[#This Row],[Player]],
        "Result","Draw"
    ),
    0
)</f>
        <v>0</v>
      </c>
      <c r="N90" s="5">
        <f>View_Table[[#This Row],[Wins Previous]]+View_Table[[#This Row],[Losses Previous]]+View_Table[[#This Row],[Draws Previous]]</f>
        <v>2</v>
      </c>
      <c r="O90" s="9">
        <f>_xlfn.LET(_xlpm.g,View_Table[[#This Row],[Games Previous]], _xlpm.w,(View_Table[[#This Row],[Wins Previous]] + View_Table[[#This Row],[Draws Previous]] * 0.25), _xlpm.fake, MAX(0,25-_xlpm.g), IF(_xlpm.g=0,0,(_xlpm.w + _xlpm.fake*0.25)/(_xlpm.g + _xlpm.fake)))</f>
        <v>0.23</v>
      </c>
      <c r="P90" s="7">
        <f>_xlfn.RANK.EQ(View_Table[[#This Row],[Weighted Win% Previous]], View_Table[Weighted Win% Previous], 0)</f>
        <v>17</v>
      </c>
    </row>
    <row r="91" spans="2:16" x14ac:dyDescent="0.25">
      <c r="B91" s="3" t="s">
        <v>605</v>
      </c>
      <c r="C91" s="6">
        <f>View_Table[[#This Row],[Rank Previous]]-View_Table[[#This Row],[Rank]]</f>
        <v>1</v>
      </c>
      <c r="D91" s="7">
        <f>_xlfn.RANK.EQ(View_Table[[#This Row],[Weighted Win%]], View_Table[Weighted Win%], 0)</f>
        <v>16</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17</v>
      </c>
    </row>
    <row r="92" spans="2:16" x14ac:dyDescent="0.25">
      <c r="B92" s="3" t="s">
        <v>433</v>
      </c>
      <c r="C92" s="6">
        <f>View_Table[[#This Row],[Rank Previous]]-View_Table[[#This Row],[Rank]]</f>
        <v>1</v>
      </c>
      <c r="D92" s="7">
        <f>_xlfn.RANK.EQ(View_Table[[#This Row],[Weighted Win%]], View_Table[Weighted Win%], 0)</f>
        <v>16</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17</v>
      </c>
    </row>
    <row r="93" spans="2:16" x14ac:dyDescent="0.25">
      <c r="B93" s="3" t="s">
        <v>540</v>
      </c>
      <c r="C93" s="6">
        <f>View_Table[[#This Row],[Rank Previous]]-View_Table[[#This Row],[Rank]]</f>
        <v>-7</v>
      </c>
      <c r="D93" s="7">
        <f>_xlfn.RANK.EQ(View_Table[[#This Row],[Weighted Win%]], View_Table[Weighted Win%], 0)</f>
        <v>22</v>
      </c>
      <c r="E93" s="9">
        <f>_xlfn.LET(_xlpm.g,View_Table[[#This Row],[Games]], _xlpm.w,(View_Table[[#This Row],[Wins]] + View_Table[[#This Row],[Draws]] * 0.25), _xlpm.fake, MAX(0,25-_xlpm.g), IF(_xlpm.g=0,0,(_xlpm.w + _xlpm.fake*0.25)/(_xlpm.g + _xlpm.fake)))</f>
        <v>0.22</v>
      </c>
      <c r="F93" s="8">
        <f>IF(View_Table[[#This Row],[Games]]=0,0,(View_Table[[#This Row],[Wins]] + (View_Table[[#This Row],[Draws]] * 0.25))/View_Table[[#This Row],[Games]])</f>
        <v>6.25E-2</v>
      </c>
      <c r="G93" s="5">
        <f>IFERROR(
    GETPIVOTDATA(
        "Result",
        'Pivot Table'!$A$3,
        "Player",View_Table[[#This Row],[Player]],
        "Result","Win"
    ),
    0
)</f>
        <v>0</v>
      </c>
      <c r="H93" s="5">
        <f>IFERROR(
    GETPIVOTDATA(
        "Result",
        'Pivot Table'!$A$3,
        "Player",View_Table[[#This Row],[Player]],
        "Result","Loss"
    ),
    0
)</f>
        <v>3</v>
      </c>
      <c r="I93" s="5">
        <f>IFERROR(
    GETPIVOTDATA(
        "Result",
        'Pivot Table'!$A$3,
        "Player",View_Table[[#This Row],[Player]],
        "Result","Draw"
    ),
    0
)</f>
        <v>1</v>
      </c>
      <c r="J93" s="5">
        <f>View_Table[[#This Row],[Wins]]+View_Table[[#This Row],[Losses]]+View_Table[[#This Row],[Draws]]</f>
        <v>4</v>
      </c>
      <c r="K93" s="7">
        <f>IFERROR(
    GETPIVOTDATA(
        "Result",
        'Pivot Table Previous'!$A$3,
        "Player",View_Table[[#This Row],[Player]],
        "Result","Win"
    ),
    0
)</f>
        <v>0</v>
      </c>
      <c r="L93" s="5">
        <f>IFERROR(
    GETPIVOTDATA(
        "Result",
        'Pivot Table Previous'!$A$3,
        "Player",View_Table[[#This Row],[Player]],
        "Result","Loss"
    ),
    0
)</f>
        <v>1</v>
      </c>
      <c r="M93" s="5">
        <f>IFERROR(
    GETPIVOTDATA(
        "Result",
        'Pivot Table Previous'!$A$3,
        "Player",View_Table[[#This Row],[Player]],
        "Result","Draw"
    ),
    0
)</f>
        <v>1</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0.24</v>
      </c>
      <c r="P93" s="7">
        <f>_xlfn.RANK.EQ(View_Table[[#This Row],[Weighted Win% Previous]], View_Table[Weighted Win% Previous], 0)</f>
        <v>15</v>
      </c>
    </row>
    <row r="94" spans="2:16" hidden="1" x14ac:dyDescent="0.25">
      <c r="B94" s="3" t="s">
        <v>606</v>
      </c>
      <c r="C94" s="6">
        <f>View_Table[[#This Row],[Rank Previous]]-View_Table[[#This Row],[Rank]]</f>
        <v>0</v>
      </c>
      <c r="D94" s="7">
        <f>_xlfn.RANK.EQ(View_Table[[#This Row],[Weighted Win%]], View_Table[Weighted Win%], 0)</f>
        <v>29</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29</v>
      </c>
    </row>
    <row r="95" spans="2:16" x14ac:dyDescent="0.25">
      <c r="B95" s="3" t="s">
        <v>27</v>
      </c>
      <c r="C95" s="6">
        <f>View_Table[[#This Row],[Rank Previous]]-View_Table[[#This Row],[Rank]]</f>
        <v>-5</v>
      </c>
      <c r="D95" s="7">
        <f>_xlfn.RANK.EQ(View_Table[[#This Row],[Weighted Win%]], View_Table[Weighted Win%], 0)</f>
        <v>22</v>
      </c>
      <c r="E95" s="9">
        <f>_xlfn.LET(_xlpm.g,View_Table[[#This Row],[Games]], _xlpm.w,(View_Table[[#This Row],[Wins]] + View_Table[[#This Row],[Draws]] * 0.25), _xlpm.fake, MAX(0,25-_xlpm.g), IF(_xlpm.g=0,0,(_xlpm.w + _xlpm.fake*0.25)/(_xlpm.g + _xlpm.fake)))</f>
        <v>0.22</v>
      </c>
      <c r="F95" s="8">
        <f>IF(View_Table[[#This Row],[Games]]=0,0,(View_Table[[#This Row],[Wins]] + (View_Table[[#This Row],[Draws]] * 0.25))/View_Table[[#This Row],[Games]])</f>
        <v>0.15625</v>
      </c>
      <c r="G95" s="5">
        <f>IFERROR(
    GETPIVOTDATA(
        "Result",
        'Pivot Table'!$A$3,
        "Player",View_Table[[#This Row],[Player]],
        "Result","Win"
    ),
    0
)</f>
        <v>1</v>
      </c>
      <c r="H95" s="5">
        <f>IFERROR(
    GETPIVOTDATA(
        "Result",
        'Pivot Table'!$A$3,
        "Player",View_Table[[#This Row],[Player]],
        "Result","Loss"
    ),
    0
)</f>
        <v>6</v>
      </c>
      <c r="I95" s="5">
        <f>IFERROR(
    GETPIVOTDATA(
        "Result",
        'Pivot Table'!$A$3,
        "Player",View_Table[[#This Row],[Player]],
        "Result","Draw"
    ),
    0
)</f>
        <v>1</v>
      </c>
      <c r="J95" s="5">
        <f>View_Table[[#This Row],[Wins]]+View_Table[[#This Row],[Losses]]+View_Table[[#This Row],[Draws]]</f>
        <v>8</v>
      </c>
      <c r="K95" s="7">
        <f>IFERROR(
    GETPIVOTDATA(
        "Result",
        'Pivot Table Previous'!$A$3,
        "Player",View_Table[[#This Row],[Player]],
        "Result","Win"
    ),
    0
)</f>
        <v>1</v>
      </c>
      <c r="L95" s="5">
        <f>IFERROR(
    GETPIVOTDATA(
        "Result",
        'Pivot Table Previous'!$A$3,
        "Player",View_Table[[#This Row],[Player]],
        "Result","Loss"
    ),
    0
)</f>
        <v>5</v>
      </c>
      <c r="M95" s="5">
        <f>IFERROR(
    GETPIVOTDATA(
        "Result",
        'Pivot Table Previous'!$A$3,
        "Player",View_Table[[#This Row],[Player]],
        "Result","Draw"
    ),
    0
)</f>
        <v>0</v>
      </c>
      <c r="N95" s="5">
        <f>View_Table[[#This Row],[Wins Previous]]+View_Table[[#This Row],[Losses Previous]]+View_Table[[#This Row],[Draws Previous]]</f>
        <v>6</v>
      </c>
      <c r="O95" s="9">
        <f>_xlfn.LET(_xlpm.g,View_Table[[#This Row],[Games Previous]], _xlpm.w,(View_Table[[#This Row],[Wins Previous]] + View_Table[[#This Row],[Draws Previous]] * 0.25), _xlpm.fake, MAX(0,25-_xlpm.g), IF(_xlpm.g=0,0,(_xlpm.w + _xlpm.fake*0.25)/(_xlpm.g + _xlpm.fake)))</f>
        <v>0.23</v>
      </c>
      <c r="P95" s="7">
        <f>_xlfn.RANK.EQ(View_Table[[#This Row],[Weighted Win% Previous]], View_Table[Weighted Win% Previous], 0)</f>
        <v>17</v>
      </c>
    </row>
    <row r="96" spans="2:16" x14ac:dyDescent="0.25">
      <c r="B96" s="3" t="s">
        <v>14</v>
      </c>
      <c r="C96" s="6">
        <f>View_Table[[#This Row],[Rank Previous]]-View_Table[[#This Row],[Rank]]</f>
        <v>-5</v>
      </c>
      <c r="D96" s="7">
        <f>_xlfn.RANK.EQ(View_Table[[#This Row],[Weighted Win%]], View_Table[Weighted Win%], 0)</f>
        <v>22</v>
      </c>
      <c r="E96" s="9">
        <f>_xlfn.LET(_xlpm.g,View_Table[[#This Row],[Games]], _xlpm.w,(View_Table[[#This Row],[Wins]] + View_Table[[#This Row],[Draws]] * 0.25), _xlpm.fake, MAX(0,25-_xlpm.g), IF(_xlpm.g=0,0,(_xlpm.w + _xlpm.fake*0.25)/(_xlpm.g + _xlpm.fake)))</f>
        <v>0.22</v>
      </c>
      <c r="F96" s="8">
        <f>IF(View_Table[[#This Row],[Games]]=0,0,(View_Table[[#This Row],[Wins]] + (View_Table[[#This Row],[Draws]] * 0.25))/View_Table[[#This Row],[Games]])</f>
        <v>0.15625</v>
      </c>
      <c r="G96" s="5">
        <f>IFERROR(
    GETPIVOTDATA(
        "Result",
        'Pivot Table'!$A$3,
        "Player",View_Table[[#This Row],[Player]],
        "Result","Win"
    ),
    0
)</f>
        <v>1</v>
      </c>
      <c r="H96" s="5">
        <f>IFERROR(
    GETPIVOTDATA(
        "Result",
        'Pivot Table'!$A$3,
        "Player",View_Table[[#This Row],[Player]],
        "Result","Loss"
    ),
    0
)</f>
        <v>6</v>
      </c>
      <c r="I96" s="5">
        <f>IFERROR(
    GETPIVOTDATA(
        "Result",
        'Pivot Table'!$A$3,
        "Player",View_Table[[#This Row],[Player]],
        "Result","Draw"
    ),
    0
)</f>
        <v>1</v>
      </c>
      <c r="J96" s="5">
        <f>View_Table[[#This Row],[Wins]]+View_Table[[#This Row],[Losses]]+View_Table[[#This Row],[Draws]]</f>
        <v>8</v>
      </c>
      <c r="K96" s="5">
        <f>IFERROR(
    GETPIVOTDATA(
        "Result",
        'Pivot Table Previous'!$A$3,
        "Player",View_Table[[#This Row],[Player]],
        "Result","Win"
    ),
    0
)</f>
        <v>1</v>
      </c>
      <c r="L96" s="5">
        <f>IFERROR(
    GETPIVOTDATA(
        "Result",
        'Pivot Table Previous'!$A$3,
        "Player",View_Table[[#This Row],[Player]],
        "Result","Loss"
    ),
    0
)</f>
        <v>5</v>
      </c>
      <c r="M96" s="5">
        <f>IFERROR(
    GETPIVOTDATA(
        "Result",
        'Pivot Table Previous'!$A$3,
        "Player",View_Table[[#This Row],[Player]],
        "Result","Draw"
    ),
    0
)</f>
        <v>0</v>
      </c>
      <c r="N96" s="5">
        <f>View_Table[[#This Row],[Wins Previous]]+View_Table[[#This Row],[Losses Previous]]+View_Table[[#This Row],[Draws Previous]]</f>
        <v>6</v>
      </c>
      <c r="O96" s="9">
        <f>_xlfn.LET(_xlpm.g,View_Table[[#This Row],[Games Previous]], _xlpm.w,(View_Table[[#This Row],[Wins Previous]] + View_Table[[#This Row],[Draws Previous]] * 0.25), _xlpm.fake, MAX(0,25-_xlpm.g), IF(_xlpm.g=0,0,(_xlpm.w + _xlpm.fake*0.25)/(_xlpm.g + _xlpm.fake)))</f>
        <v>0.23</v>
      </c>
      <c r="P96" s="7">
        <f>IF(View_Table[[#This Row],[Games Previous]]=0,
    View_Table[[#This Row],[Rank]],
    _xlfn.RANK.EQ(View_Table[[#This Row],[Weighted Win% Previous]], View_Table[Weighted Win% Previous], 0)
)</f>
        <v>17</v>
      </c>
    </row>
    <row r="97" spans="2:16" x14ac:dyDescent="0.25">
      <c r="B97" s="3" t="s">
        <v>578</v>
      </c>
      <c r="C97" s="6">
        <f>View_Table[[#This Row],[Rank Previous]]-View_Table[[#This Row],[Rank]]</f>
        <v>-5</v>
      </c>
      <c r="D97" s="7">
        <f>_xlfn.RANK.EQ(View_Table[[#This Row],[Weighted Win%]], View_Table[Weighted Win%], 0)</f>
        <v>22</v>
      </c>
      <c r="E97" s="9">
        <f>_xlfn.LET(_xlpm.g,View_Table[[#This Row],[Games]], _xlpm.w,(View_Table[[#This Row],[Wins]] + View_Table[[#This Row],[Draws]] * 0.25), _xlpm.fake, MAX(0,25-_xlpm.g), IF(_xlpm.g=0,0,(_xlpm.w + _xlpm.fake*0.25)/(_xlpm.g + _xlpm.fake)))</f>
        <v>0.22</v>
      </c>
      <c r="F97" s="8">
        <f>IF(View_Table[[#This Row],[Games]]=0,0,(View_Table[[#This Row],[Wins]] + (View_Table[[#This Row],[Draws]] * 0.25))/View_Table[[#This Row],[Games]])</f>
        <v>0.15625</v>
      </c>
      <c r="G97" s="5">
        <f>IFERROR(
    GETPIVOTDATA(
        "Result",
        'Pivot Table'!$A$3,
        "Player",View_Table[[#This Row],[Player]],
        "Result","Win"
    ),
    0
)</f>
        <v>1</v>
      </c>
      <c r="H97" s="5">
        <f>IFERROR(
    GETPIVOTDATA(
        "Result",
        'Pivot Table'!$A$3,
        "Player",View_Table[[#This Row],[Player]],
        "Result","Loss"
    ),
    0
)</f>
        <v>6</v>
      </c>
      <c r="I97" s="5">
        <f>IFERROR(
    GETPIVOTDATA(
        "Result",
        'Pivot Table'!$A$3,
        "Player",View_Table[[#This Row],[Player]],
        "Result","Draw"
    ),
    0
)</f>
        <v>1</v>
      </c>
      <c r="J97" s="5">
        <f>View_Table[[#This Row],[Wins]]+View_Table[[#This Row],[Losses]]+View_Table[[#This Row],[Draws]]</f>
        <v>8</v>
      </c>
      <c r="K97" s="7">
        <f>IFERROR(
    GETPIVOTDATA(
        "Result",
        'Pivot Table Previous'!$A$3,
        "Player",View_Table[[#This Row],[Player]],
        "Result","Win"
    ),
    0
)</f>
        <v>1</v>
      </c>
      <c r="L97" s="5">
        <f>IFERROR(
    GETPIVOTDATA(
        "Result",
        'Pivot Table Previous'!$A$3,
        "Player",View_Table[[#This Row],[Player]],
        "Result","Loss"
    ),
    0
)</f>
        <v>5</v>
      </c>
      <c r="M97" s="5">
        <f>IFERROR(
    GETPIVOTDATA(
        "Result",
        'Pivot Table Previous'!$A$3,
        "Player",View_Table[[#This Row],[Player]],
        "Result","Draw"
    ),
    0
)</f>
        <v>0</v>
      </c>
      <c r="N97" s="5">
        <f>View_Table[[#This Row],[Wins Previous]]+View_Table[[#This Row],[Losses Previous]]+View_Table[[#This Row],[Draws Previous]]</f>
        <v>6</v>
      </c>
      <c r="O97" s="9">
        <f>_xlfn.LET(_xlpm.g,View_Table[[#This Row],[Games Previous]], _xlpm.w,(View_Table[[#This Row],[Wins Previous]] + View_Table[[#This Row],[Draws Previous]] * 0.25), _xlpm.fake, MAX(0,25-_xlpm.g), IF(_xlpm.g=0,0,(_xlpm.w + _xlpm.fake*0.25)/(_xlpm.g + _xlpm.fake)))</f>
        <v>0.23</v>
      </c>
      <c r="P97" s="7">
        <f>_xlfn.RANK.EQ(View_Table[[#This Row],[Weighted Win% Previous]], View_Table[Weighted Win% Previous], 0)</f>
        <v>17</v>
      </c>
    </row>
    <row r="98" spans="2:16" x14ac:dyDescent="0.25">
      <c r="B98" s="3" t="s">
        <v>10</v>
      </c>
      <c r="C98" s="6">
        <f>View_Table[[#This Row],[Rank Previous]]-View_Table[[#This Row],[Rank]]</f>
        <v>-1</v>
      </c>
      <c r="D98" s="7">
        <f>_xlfn.RANK.EQ(View_Table[[#This Row],[Weighted Win%]], View_Table[Weighted Win%], 0)</f>
        <v>26</v>
      </c>
      <c r="E98" s="9">
        <f>_xlfn.LET(_xlpm.g,View_Table[[#This Row],[Games]], _xlpm.w,(View_Table[[#This Row],[Wins]] + View_Table[[#This Row],[Draws]] * 0.25), _xlpm.fake, MAX(0,25-_xlpm.g), IF(_xlpm.g=0,0,(_xlpm.w + _xlpm.fake*0.25)/(_xlpm.g + _xlpm.fake)))</f>
        <v>0.21</v>
      </c>
      <c r="F98" s="8">
        <f>IF(View_Table[[#This Row],[Games]]=0,0,(View_Table[[#This Row],[Wins]] + (View_Table[[#This Row],[Draws]] * 0.25))/View_Table[[#This Row],[Games]])</f>
        <v>0</v>
      </c>
      <c r="G98" s="5">
        <f>IFERROR(
    GETPIVOTDATA(
        "Result",
        'Pivot Table'!$A$3,
        "Player",View_Table[[#This Row],[Player]],
        "Result","Win"
    ),
    0
)</f>
        <v>0</v>
      </c>
      <c r="H98" s="5">
        <f>IFERROR(
    GETPIVOTDATA(
        "Result",
        'Pivot Table'!$A$3,
        "Player",View_Table[[#This Row],[Player]],
        "Result","Loss"
    ),
    0
)</f>
        <v>4</v>
      </c>
      <c r="I98" s="5">
        <f>IFERROR(
    GETPIVOTDATA(
        "Result",
        'Pivot Table'!$A$3,
        "Player",View_Table[[#This Row],[Player]],
        "Result","Draw"
    ),
    0
)</f>
        <v>0</v>
      </c>
      <c r="J98" s="5">
        <f>View_Table[[#This Row],[Wins]]+View_Table[[#This Row],[Losses]]+View_Table[[#This Row],[Draws]]</f>
        <v>4</v>
      </c>
      <c r="K98" s="7">
        <f>IFERROR(
    GETPIVOTDATA(
        "Result",
        'Pivot Table Previous'!$A$3,
        "Player",View_Table[[#This Row],[Player]],
        "Result","Win"
    ),
    0
)</f>
        <v>0</v>
      </c>
      <c r="L98" s="5">
        <f>IFERROR(
    GETPIVOTDATA(
        "Result",
        'Pivot Table Previous'!$A$3,
        "Player",View_Table[[#This Row],[Player]],
        "Result","Loss"
    ),
    0
)</f>
        <v>4</v>
      </c>
      <c r="M98" s="5">
        <f>IFERROR(
    GETPIVOTDATA(
        "Result",
        'Pivot Table Previous'!$A$3,
        "Player",View_Table[[#This Row],[Player]],
        "Result","Draw"
    ),
    0
)</f>
        <v>0</v>
      </c>
      <c r="N98" s="5">
        <f>View_Table[[#This Row],[Wins Previous]]+View_Table[[#This Row],[Losses Previous]]+View_Table[[#This Row],[Draws Previous]]</f>
        <v>4</v>
      </c>
      <c r="O98" s="9">
        <f>_xlfn.LET(_xlpm.g,View_Table[[#This Row],[Games Previous]], _xlpm.w,(View_Table[[#This Row],[Wins Previous]] + View_Table[[#This Row],[Draws Previous]] * 0.25), _xlpm.fake, MAX(0,25-_xlpm.g), IF(_xlpm.g=0,0,(_xlpm.w + _xlpm.fake*0.25)/(_xlpm.g + _xlpm.fake)))</f>
        <v>0.21</v>
      </c>
      <c r="P98" s="7">
        <f>_xlfn.RANK.EQ(View_Table[[#This Row],[Weighted Win% Previous]], View_Table[Weighted Win% Previous], 0)</f>
        <v>25</v>
      </c>
    </row>
    <row r="99" spans="2:16" x14ac:dyDescent="0.25">
      <c r="B99" s="3" t="s">
        <v>325</v>
      </c>
      <c r="C99" s="6">
        <f>View_Table[[#This Row],[Rank Previous]]-View_Table[[#This Row],[Rank]]</f>
        <v>2</v>
      </c>
      <c r="D99" s="7">
        <f>_xlfn.RANK.EQ(View_Table[[#This Row],[Weighted Win%]], View_Table[Weighted Win%], 0)</f>
        <v>26</v>
      </c>
      <c r="E99" s="9">
        <f>_xlfn.LET(_xlpm.g,View_Table[[#This Row],[Games]], _xlpm.w,(View_Table[[#This Row],[Wins]] + View_Table[[#This Row],[Draws]] * 0.25), _xlpm.fake, MAX(0,25-_xlpm.g), IF(_xlpm.g=0,0,(_xlpm.w + _xlpm.fake*0.25)/(_xlpm.g + _xlpm.fake)))</f>
        <v>0.21</v>
      </c>
      <c r="F99" s="8">
        <f>IF(View_Table[[#This Row],[Games]]=0,0,(View_Table[[#This Row],[Wins]] + (View_Table[[#This Row],[Draws]] * 0.25))/View_Table[[#This Row],[Games]])</f>
        <v>0.125</v>
      </c>
      <c r="G99" s="5">
        <f>IFERROR(
    GETPIVOTDATA(
        "Result",
        'Pivot Table'!$A$3,
        "Player",View_Table[[#This Row],[Player]],
        "Result","Win"
    ),
    0
)</f>
        <v>1</v>
      </c>
      <c r="H99" s="5">
        <f>IFERROR(
    GETPIVOTDATA(
        "Result",
        'Pivot Table'!$A$3,
        "Player",View_Table[[#This Row],[Player]],
        "Result","Loss"
    ),
    0
)</f>
        <v>7</v>
      </c>
      <c r="I99" s="5">
        <f>IFERROR(
    GETPIVOTDATA(
        "Result",
        'Pivot Table'!$A$3,
        "Player",View_Table[[#This Row],[Player]],
        "Result","Draw"
    ),
    0
)</f>
        <v>0</v>
      </c>
      <c r="J99" s="5">
        <f>View_Table[[#This Row],[Wins]]+View_Table[[#This Row],[Losses]]+View_Table[[#This Row],[Draws]]</f>
        <v>8</v>
      </c>
      <c r="K99" s="7">
        <f>IFERROR(
    GETPIVOTDATA(
        "Result",
        'Pivot Table Previous'!$A$3,
        "Player",View_Table[[#This Row],[Player]],
        "Result","Win"
    ),
    0
)</f>
        <v>0</v>
      </c>
      <c r="L99" s="5">
        <f>IFERROR(
    GETPIVOTDATA(
        "Result",
        'Pivot Table Previous'!$A$3,
        "Player",View_Table[[#This Row],[Player]],
        "Result","Loss"
    ),
    0
)</f>
        <v>6</v>
      </c>
      <c r="M99" s="5">
        <f>IFERROR(
    GETPIVOTDATA(
        "Result",
        'Pivot Table Previous'!$A$3,
        "Player",View_Table[[#This Row],[Player]],
        "Result","Draw"
    ),
    0
)</f>
        <v>0</v>
      </c>
      <c r="N99" s="5">
        <f>View_Table[[#This Row],[Wins Previous]]+View_Table[[#This Row],[Losses Previous]]+View_Table[[#This Row],[Draws Previous]]</f>
        <v>6</v>
      </c>
      <c r="O99" s="9">
        <f>_xlfn.LET(_xlpm.g,View_Table[[#This Row],[Games Previous]], _xlpm.w,(View_Table[[#This Row],[Wins Previous]] + View_Table[[#This Row],[Draws Previous]] * 0.25), _xlpm.fake, MAX(0,25-_xlpm.g), IF(_xlpm.g=0,0,(_xlpm.w + _xlpm.fake*0.25)/(_xlpm.g + _xlpm.fake)))</f>
        <v>0.19</v>
      </c>
      <c r="P99" s="7">
        <f>_xlfn.RANK.EQ(View_Table[[#This Row],[Weighted Win% Previous]], View_Table[Weighted Win% Previous], 0)</f>
        <v>28</v>
      </c>
    </row>
    <row r="100" spans="2:16" hidden="1" x14ac:dyDescent="0.25">
      <c r="B100" s="3" t="s">
        <v>436</v>
      </c>
      <c r="C100" s="6">
        <f>View_Table[[#This Row],[Rank Previous]]-View_Table[[#This Row],[Rank]]</f>
        <v>0</v>
      </c>
      <c r="D100" s="7">
        <f>_xlfn.RANK.EQ(View_Table[[#This Row],[Weighted Win%]], View_Table[Weighted Win%], 0)</f>
        <v>29</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29</v>
      </c>
    </row>
    <row r="101" spans="2:16" hidden="1" x14ac:dyDescent="0.25">
      <c r="B101" s="3" t="s">
        <v>363</v>
      </c>
      <c r="C101" s="6">
        <f>View_Table[[#This Row],[Rank Previous]]-View_Table[[#This Row],[Rank]]</f>
        <v>0</v>
      </c>
      <c r="D101" s="7">
        <f>_xlfn.RANK.EQ(View_Table[[#This Row],[Weighted Win%]], View_Table[Weighted Win%], 0)</f>
        <v>29</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29</v>
      </c>
    </row>
    <row r="102" spans="2:16" hidden="1" x14ac:dyDescent="0.25">
      <c r="B102" s="3" t="s">
        <v>52</v>
      </c>
      <c r="C102" s="6">
        <f>View_Table[[#This Row],[Rank Previous]]-View_Table[[#This Row],[Rank]]</f>
        <v>0</v>
      </c>
      <c r="D102" s="7">
        <f>_xlfn.RANK.EQ(View_Table[[#This Row],[Weighted Win%]], View_Table[Weighted Win%], 0)</f>
        <v>29</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29</v>
      </c>
    </row>
    <row r="103" spans="2:16" x14ac:dyDescent="0.25">
      <c r="B103" s="3" t="s">
        <v>51</v>
      </c>
      <c r="C103" s="6">
        <f>View_Table[[#This Row],[Rank Previous]]-View_Table[[#This Row],[Rank]]</f>
        <v>-3</v>
      </c>
      <c r="D103" s="7">
        <f>_xlfn.RANK.EQ(View_Table[[#This Row],[Weighted Win%]], View_Table[Weighted Win%], 0)</f>
        <v>28</v>
      </c>
      <c r="E103" s="9">
        <f>_xlfn.LET(_xlpm.g,View_Table[[#This Row],[Games]], _xlpm.w,(View_Table[[#This Row],[Wins]] + View_Table[[#This Row],[Draws]] * 0.25), _xlpm.fake, MAX(0,25-_xlpm.g), IF(_xlpm.g=0,0,(_xlpm.w + _xlpm.fake*0.25)/(_xlpm.g + _xlpm.fake)))</f>
        <v>0.2</v>
      </c>
      <c r="F103" s="8">
        <f>IF(View_Table[[#This Row],[Games]]=0,0,(View_Table[[#This Row],[Wins]] + (View_Table[[#This Row],[Draws]] * 0.25))/View_Table[[#This Row],[Games]])</f>
        <v>4.1666666666666664E-2</v>
      </c>
      <c r="G103" s="5">
        <f>IFERROR(
    GETPIVOTDATA(
        "Result",
        'Pivot Table'!$A$3,
        "Player",View_Table[[#This Row],[Player]],
        "Result","Win"
    ),
    0
)</f>
        <v>0</v>
      </c>
      <c r="H103" s="5">
        <f>IFERROR(
    GETPIVOTDATA(
        "Result",
        'Pivot Table'!$A$3,
        "Player",View_Table[[#This Row],[Player]],
        "Result","Loss"
    ),
    0
)</f>
        <v>5</v>
      </c>
      <c r="I103" s="5">
        <f>IFERROR(
    GETPIVOTDATA(
        "Result",
        'Pivot Table'!$A$3,
        "Player",View_Table[[#This Row],[Player]],
        "Result","Draw"
    ),
    0
)</f>
        <v>1</v>
      </c>
      <c r="J103" s="5">
        <f>View_Table[[#This Row],[Wins]]+View_Table[[#This Row],[Losses]]+View_Table[[#This Row],[Draws]]</f>
        <v>6</v>
      </c>
      <c r="K103" s="7">
        <f>IFERROR(
    GETPIVOTDATA(
        "Result",
        'Pivot Table Previous'!$A$3,
        "Player",View_Table[[#This Row],[Player]],
        "Result","Win"
    ),
    0
)</f>
        <v>0</v>
      </c>
      <c r="L103" s="5">
        <f>IFERROR(
    GETPIVOTDATA(
        "Result",
        'Pivot Table Previous'!$A$3,
        "Player",View_Table[[#This Row],[Player]],
        "Result","Loss"
    ),
    0
)</f>
        <v>4</v>
      </c>
      <c r="M103" s="5">
        <f>IFERROR(
    GETPIVOTDATA(
        "Result",
        'Pivot Table Previous'!$A$3,
        "Player",View_Table[[#This Row],[Player]],
        "Result","Draw"
    ),
    0
)</f>
        <v>0</v>
      </c>
      <c r="N103" s="5">
        <f>View_Table[[#This Row],[Wins Previous]]+View_Table[[#This Row],[Losses Previous]]+View_Table[[#This Row],[Draws Previous]]</f>
        <v>4</v>
      </c>
      <c r="O103" s="9">
        <f>_xlfn.LET(_xlpm.g,View_Table[[#This Row],[Games Previous]], _xlpm.w,(View_Table[[#This Row],[Wins Previous]] + View_Table[[#This Row],[Draws Previous]] * 0.25), _xlpm.fake, MAX(0,25-_xlpm.g), IF(_xlpm.g=0,0,(_xlpm.w + _xlpm.fake*0.25)/(_xlpm.g + _xlpm.fake)))</f>
        <v>0.21</v>
      </c>
      <c r="P103" s="7">
        <f>_xlfn.RANK.EQ(View_Table[[#This Row],[Weighted Win% Previous]], View_Table[Weighted Win% Previous], 0)</f>
        <v>25</v>
      </c>
    </row>
    <row r="104" spans="2:16" hidden="1" x14ac:dyDescent="0.25">
      <c r="B104" s="3" t="s">
        <v>465</v>
      </c>
      <c r="C104" s="6">
        <f>View_Table[[#This Row],[Rank Previous]]-View_Table[[#This Row],[Rank]]</f>
        <v>0</v>
      </c>
      <c r="D104" s="7">
        <f>_xlfn.RANK.EQ(View_Table[[#This Row],[Weighted Win%]], View_Table[Weighted Win%], 0)</f>
        <v>29</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29</v>
      </c>
    </row>
  </sheetData>
  <phoneticPr fontId="4" type="noConversion"/>
  <conditionalFormatting sqref="J5:J104">
    <cfRule type="colorScale" priority="1854">
      <colorScale>
        <cfvo type="min"/>
        <cfvo type="percentile" val="50"/>
        <cfvo type="num" val="25"/>
        <color rgb="FFF8696B"/>
        <color rgb="FFFFEB84"/>
        <color rgb="FF63BE7B"/>
      </colorScale>
    </cfRule>
  </conditionalFormatting>
  <conditionalFormatting sqref="D5:D104">
    <cfRule type="top10" dxfId="11" priority="1856" bottom="1" rank="5"/>
    <cfRule type="cellIs" dxfId="10" priority="1857" operator="between">
      <formula>1</formula>
      <formula>16</formula>
    </cfRule>
    <cfRule type="top10" dxfId="9" priority="1858" bottom="1" rank="1"/>
  </conditionalFormatting>
  <conditionalFormatting sqref="G5:G104">
    <cfRule type="colorScale" priority="1862">
      <colorScale>
        <cfvo type="min"/>
        <cfvo type="percentile" val="70"/>
        <cfvo type="max"/>
        <color rgb="FFFF6600"/>
        <color theme="9" tint="0.59999389629810485"/>
        <color theme="9" tint="0.39997558519241921"/>
      </colorScale>
    </cfRule>
  </conditionalFormatting>
  <conditionalFormatting sqref="H5:H104">
    <cfRule type="colorScale" priority="1864">
      <colorScale>
        <cfvo type="min"/>
        <cfvo type="percentile" val="90"/>
        <cfvo type="max"/>
        <color theme="9" tint="0.59999389629810485"/>
        <color theme="9" tint="0.79998168889431442"/>
        <color rgb="FFFF6600"/>
      </colorScale>
    </cfRule>
  </conditionalFormatting>
  <conditionalFormatting sqref="F5:F104">
    <cfRule type="colorScale" priority="1866">
      <colorScale>
        <cfvo type="min"/>
        <cfvo type="num" val="0.25"/>
        <cfvo type="max"/>
        <color rgb="FFF8696B"/>
        <color theme="9" tint="0.59999389629810485"/>
        <color rgb="FF00B050"/>
      </colorScale>
    </cfRule>
  </conditionalFormatting>
  <conditionalFormatting sqref="I5:I104">
    <cfRule type="colorScale" priority="1868">
      <colorScale>
        <cfvo type="min"/>
        <cfvo type="max"/>
        <color theme="9" tint="0.79998168889431442"/>
        <color rgb="FFBF95DF"/>
      </colorScale>
    </cfRule>
  </conditionalFormatting>
  <conditionalFormatting sqref="N5:N104">
    <cfRule type="colorScale" priority="1870">
      <colorScale>
        <cfvo type="min"/>
        <cfvo type="percentile" val="50"/>
        <cfvo type="num" val="25"/>
        <color rgb="FFF8696B"/>
        <color rgb="FFFFEB84"/>
        <color rgb="FF63BE7B"/>
      </colorScale>
    </cfRule>
  </conditionalFormatting>
  <conditionalFormatting sqref="L5:L104">
    <cfRule type="colorScale" priority="1872">
      <colorScale>
        <cfvo type="min"/>
        <cfvo type="percentile" val="90"/>
        <cfvo type="max"/>
        <color theme="9" tint="0.59999389629810485"/>
        <color theme="9" tint="0.79998168889431442"/>
        <color rgb="FFFF6600"/>
      </colorScale>
    </cfRule>
  </conditionalFormatting>
  <conditionalFormatting sqref="M5:M104">
    <cfRule type="colorScale" priority="1874">
      <colorScale>
        <cfvo type="min"/>
        <cfvo type="max"/>
        <color theme="9" tint="0.79998168889431442"/>
        <color rgb="FFBF95DF"/>
      </colorScale>
    </cfRule>
  </conditionalFormatting>
  <conditionalFormatting sqref="K5:K104">
    <cfRule type="colorScale" priority="1876">
      <colorScale>
        <cfvo type="min"/>
        <cfvo type="percentile" val="70"/>
        <cfvo type="max"/>
        <color rgb="FFFF6600"/>
        <color theme="9" tint="0.59999389629810485"/>
        <color theme="9" tint="0.39997558519241921"/>
      </colorScale>
    </cfRule>
  </conditionalFormatting>
  <conditionalFormatting sqref="P5:P104">
    <cfRule type="top10" dxfId="8" priority="1878" bottom="1" rank="5"/>
    <cfRule type="top10" dxfId="7" priority="1879"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882"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884"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886"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55</v>
      </c>
      <c r="C6" s="19">
        <v>85</v>
      </c>
      <c r="D6" s="19">
        <v>5</v>
      </c>
      <c r="E6" s="19">
        <v>145</v>
      </c>
    </row>
    <row r="7" spans="1:5" x14ac:dyDescent="0.25">
      <c r="A7" s="3">
        <v>2</v>
      </c>
      <c r="B7" s="19">
        <v>34</v>
      </c>
      <c r="C7" s="19">
        <v>83</v>
      </c>
      <c r="D7" s="19">
        <v>6</v>
      </c>
      <c r="E7" s="19">
        <v>123</v>
      </c>
    </row>
    <row r="8" spans="1:5" x14ac:dyDescent="0.25">
      <c r="A8" s="3">
        <v>3</v>
      </c>
      <c r="B8" s="19">
        <v>32</v>
      </c>
      <c r="C8" s="19">
        <v>59</v>
      </c>
      <c r="D8" s="19">
        <v>6</v>
      </c>
      <c r="E8" s="19">
        <v>97</v>
      </c>
    </row>
    <row r="9" spans="1:5" x14ac:dyDescent="0.25">
      <c r="A9" s="3">
        <v>4</v>
      </c>
      <c r="B9" s="19"/>
      <c r="C9" s="19">
        <v>53</v>
      </c>
      <c r="D9" s="19">
        <v>6</v>
      </c>
      <c r="E9" s="19">
        <v>59</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121</v>
      </c>
      <c r="C12" s="19">
        <v>286</v>
      </c>
      <c r="D12" s="19">
        <v>29</v>
      </c>
      <c r="E12" s="19">
        <v>436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0.26735887096774197</v>
      </c>
    </row>
    <row r="4" spans="2:7" x14ac:dyDescent="0.25">
      <c r="B4" t="s">
        <v>2</v>
      </c>
      <c r="C4" t="s">
        <v>75</v>
      </c>
      <c r="D4" t="s">
        <v>70</v>
      </c>
      <c r="F4" t="s">
        <v>77</v>
      </c>
      <c r="G4" t="s">
        <v>34</v>
      </c>
    </row>
    <row r="5" spans="2:7" x14ac:dyDescent="0.25">
      <c r="B5">
        <v>1</v>
      </c>
      <c r="C5">
        <f>GETPIVOTDATA("Result",Seat_Order_Pivot!$A$3,"Seat",Table3[[#This Row],[Seat]],"Result","Win")</f>
        <v>145</v>
      </c>
      <c r="D5" s="4">
        <f>Table3[[#This Row],[Count Result]]/C13</f>
        <v>0.29233870967741937</v>
      </c>
      <c r="F5">
        <v>1</v>
      </c>
      <c r="G5" s="4">
        <f>GETPIVOTDATA("Result",pivot_seat_New!$A$5,"Seat",Table411[[#This Row],[3 pods]],"Pod Size",3)/C14</f>
        <v>0.43307086614173229</v>
      </c>
    </row>
    <row r="6" spans="2:7" x14ac:dyDescent="0.25">
      <c r="B6">
        <v>2</v>
      </c>
      <c r="C6">
        <f>GETPIVOTDATA("Result",Seat_Order_Pivot!$A$3,"Seat",Table3[[#This Row],[Seat]],"Result","Win")</f>
        <v>123</v>
      </c>
      <c r="D6" s="4">
        <f>Table3[[#This Row],[Count Result]]/C13</f>
        <v>0.24798387096774194</v>
      </c>
      <c r="F6">
        <v>2</v>
      </c>
      <c r="G6" s="4">
        <f>GETPIVOTDATA("Result",pivot_seat_New!$A$5,"Seat",Table411[[#This Row],[3 pods]],"Pod Size",3)/C14</f>
        <v>0.26771653543307089</v>
      </c>
    </row>
    <row r="7" spans="2:7" x14ac:dyDescent="0.25">
      <c r="B7">
        <v>3</v>
      </c>
      <c r="C7">
        <f>GETPIVOTDATA("Result",Seat_Order_Pivot!$A$3,"Seat",Table3[[#This Row],[Seat]],"Result","Win")</f>
        <v>97</v>
      </c>
      <c r="D7" s="4">
        <f>Table3[[#This Row],[Count Result]]/C13</f>
        <v>0.19556451612903225</v>
      </c>
      <c r="F7">
        <v>3</v>
      </c>
      <c r="G7" s="4">
        <f>GETPIVOTDATA("Result",pivot_seat_New!$A$5,"Seat",Table411[[#This Row],[3 pods]],"Pod Size",3)/C14</f>
        <v>0.25196850393700787</v>
      </c>
    </row>
    <row r="8" spans="2:7" x14ac:dyDescent="0.25">
      <c r="B8">
        <v>4</v>
      </c>
      <c r="C8">
        <f>GETPIVOTDATA("Result",Seat_Order_Pivot!$A$3,"Seat",Table3[[#This Row],[Seat]],"Result","Win")</f>
        <v>59</v>
      </c>
      <c r="D8" s="4">
        <f>Table3[[#This Row],[Count Result]]/(C15+C16)</f>
        <v>0.15989159891598917</v>
      </c>
      <c r="F8" t="s">
        <v>63</v>
      </c>
      <c r="G8" s="4">
        <f>1-G5-G6-G7</f>
        <v>4.7244094488188948E-2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66</v>
      </c>
      <c r="D10" s="4">
        <f>Table3[[#This Row],[Count Result]]/C13</f>
        <v>0.13306451612903225</v>
      </c>
      <c r="F10">
        <v>1</v>
      </c>
      <c r="G10" s="4">
        <f>GETPIVOTDATA("Result",pivot_seat_New!$A$5,"Seat",Table41112[[#This Row],[4 pods]],"Pod Size",4)/C15</f>
        <v>0.25147928994082841</v>
      </c>
    </row>
    <row r="11" spans="2:7" x14ac:dyDescent="0.25">
      <c r="F11">
        <v>2</v>
      </c>
      <c r="G11" s="4">
        <f>GETPIVOTDATA("Result",pivot_seat_New!$A$5,"Seat",Table41112[[#This Row],[4 pods]],"Pod Size",4)/C15</f>
        <v>0.2455621301775148</v>
      </c>
    </row>
    <row r="12" spans="2:7" x14ac:dyDescent="0.25">
      <c r="B12" t="s">
        <v>71</v>
      </c>
      <c r="C12" t="s">
        <v>69</v>
      </c>
      <c r="F12">
        <v>3</v>
      </c>
      <c r="G12" s="4">
        <f>GETPIVOTDATA("Result",pivot_seat_New!$A$5,"Seat",Table41112[[#This Row],[4 pods]],"Pod Size",4)/C15</f>
        <v>0.17455621301775148</v>
      </c>
    </row>
    <row r="13" spans="2:7" x14ac:dyDescent="0.25">
      <c r="B13" t="s">
        <v>68</v>
      </c>
      <c r="C13">
        <f>SUM(Table3[Count Result])</f>
        <v>496</v>
      </c>
      <c r="F13">
        <v>4</v>
      </c>
      <c r="G13" s="4">
        <f>GETPIVOTDATA("Result",pivot_seat_New!$A$5,"Seat",Table41112[[#This Row],[4 pods]],"Pod Size",4)/C15</f>
        <v>0.15680473372781065</v>
      </c>
    </row>
    <row r="14" spans="2:7" x14ac:dyDescent="0.25">
      <c r="B14" t="s">
        <v>72</v>
      </c>
      <c r="C14">
        <f>(C13)-((GETPIVOTDATA("Result",Seat_Order_Pivot!$A$3,"Seat",4,"Result","Win")) + (GETPIVOTDATA("Result",Seat_Order_Pivot!$A$3,"Seat",4,"Result","Loss")) + (GETPIVOTDATA("Result",Seat_Order_Pivot!$A$3,"Seat",4,"Result","Draw")))</f>
        <v>127</v>
      </c>
      <c r="F14" t="s">
        <v>63</v>
      </c>
      <c r="G14" s="4">
        <f>1-G11-G12-G13-G10</f>
        <v>0.17159763313609461</v>
      </c>
    </row>
    <row r="15" spans="2:7" x14ac:dyDescent="0.25">
      <c r="B15" t="s">
        <v>73</v>
      </c>
      <c r="C15">
        <f>C13-C14-C16</f>
        <v>338</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66</v>
      </c>
      <c r="C3" s="19">
        <v>285</v>
      </c>
      <c r="D3" s="19">
        <v>145</v>
      </c>
      <c r="E3" s="19">
        <v>496</v>
      </c>
    </row>
    <row r="4" spans="1:5" x14ac:dyDescent="0.25">
      <c r="A4" s="3">
        <v>2</v>
      </c>
      <c r="B4" s="19">
        <v>65</v>
      </c>
      <c r="C4" s="19">
        <v>307</v>
      </c>
      <c r="D4" s="19">
        <v>123</v>
      </c>
      <c r="E4" s="19">
        <v>495</v>
      </c>
    </row>
    <row r="5" spans="1:5" x14ac:dyDescent="0.25">
      <c r="A5" s="3">
        <v>3</v>
      </c>
      <c r="B5" s="19">
        <v>66</v>
      </c>
      <c r="C5" s="19">
        <v>333</v>
      </c>
      <c r="D5" s="19">
        <v>97</v>
      </c>
      <c r="E5" s="19">
        <v>496</v>
      </c>
    </row>
    <row r="6" spans="1:5" x14ac:dyDescent="0.25">
      <c r="A6" s="3">
        <v>4</v>
      </c>
      <c r="B6" s="19">
        <v>60</v>
      </c>
      <c r="C6" s="19">
        <v>250</v>
      </c>
      <c r="D6" s="19">
        <v>59</v>
      </c>
      <c r="E6" s="19">
        <v>369</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259</v>
      </c>
      <c r="C9" s="19">
        <v>1216</v>
      </c>
      <c r="D9" s="19">
        <v>436</v>
      </c>
      <c r="E9" s="19">
        <v>1911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5"/>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5</v>
      </c>
      <c r="C7" s="19">
        <v>1</v>
      </c>
      <c r="D7" s="19"/>
    </row>
    <row r="8" spans="1:4" x14ac:dyDescent="0.25">
      <c r="A8" s="3" t="s">
        <v>19</v>
      </c>
      <c r="B8" s="19">
        <v>2</v>
      </c>
      <c r="C8" s="19">
        <v>3</v>
      </c>
      <c r="D8" s="19">
        <v>1</v>
      </c>
    </row>
    <row r="9" spans="1:4" x14ac:dyDescent="0.25">
      <c r="A9" s="3" t="s">
        <v>13</v>
      </c>
      <c r="B9" s="19">
        <v>3</v>
      </c>
      <c r="C9" s="19">
        <v>1</v>
      </c>
      <c r="D9" s="19">
        <v>2</v>
      </c>
    </row>
    <row r="10" spans="1:4" x14ac:dyDescent="0.25">
      <c r="A10" s="3" t="s">
        <v>10</v>
      </c>
      <c r="B10" s="19">
        <v>4</v>
      </c>
      <c r="C10" s="19"/>
      <c r="D10" s="19"/>
    </row>
    <row r="11" spans="1:4" x14ac:dyDescent="0.25">
      <c r="A11" s="3" t="s">
        <v>7</v>
      </c>
      <c r="B11" s="19">
        <v>4</v>
      </c>
      <c r="C11" s="19">
        <v>2</v>
      </c>
      <c r="D11" s="19"/>
    </row>
    <row r="12" spans="1:4" x14ac:dyDescent="0.25">
      <c r="A12" s="3" t="s">
        <v>20</v>
      </c>
      <c r="B12" s="19">
        <v>3</v>
      </c>
      <c r="C12" s="19">
        <v>1</v>
      </c>
      <c r="D12" s="19"/>
    </row>
    <row r="13" spans="1:4" x14ac:dyDescent="0.25">
      <c r="A13" s="3" t="s">
        <v>15</v>
      </c>
      <c r="B13" s="19">
        <v>2</v>
      </c>
      <c r="C13" s="19">
        <v>3</v>
      </c>
      <c r="D13" s="19">
        <v>1</v>
      </c>
    </row>
    <row r="14" spans="1:4" x14ac:dyDescent="0.25">
      <c r="A14" s="3" t="s">
        <v>11</v>
      </c>
      <c r="B14" s="19">
        <v>1</v>
      </c>
      <c r="C14" s="19">
        <v>1</v>
      </c>
      <c r="D14" s="19"/>
    </row>
    <row r="15" spans="1:4" x14ac:dyDescent="0.25">
      <c r="A15" s="3" t="s">
        <v>9</v>
      </c>
      <c r="B15" s="19">
        <v>2</v>
      </c>
      <c r="C15" s="19">
        <v>1</v>
      </c>
      <c r="D15" s="19">
        <v>3</v>
      </c>
    </row>
    <row r="16" spans="1:4" x14ac:dyDescent="0.25">
      <c r="A16" s="3" t="s">
        <v>17</v>
      </c>
      <c r="B16" s="19">
        <v>3</v>
      </c>
      <c r="C16" s="19">
        <v>2</v>
      </c>
      <c r="D16" s="19">
        <v>1</v>
      </c>
    </row>
    <row r="17" spans="1:4" x14ac:dyDescent="0.25">
      <c r="A17" s="3" t="s">
        <v>28</v>
      </c>
      <c r="B17" s="19"/>
      <c r="C17" s="19">
        <v>3</v>
      </c>
      <c r="D17" s="19">
        <v>1</v>
      </c>
    </row>
    <row r="18" spans="1:4" x14ac:dyDescent="0.25">
      <c r="A18" s="3" t="s">
        <v>27</v>
      </c>
      <c r="B18" s="19">
        <v>5</v>
      </c>
      <c r="C18" s="19">
        <v>1</v>
      </c>
      <c r="D18" s="19"/>
    </row>
    <row r="19" spans="1:4" x14ac:dyDescent="0.25">
      <c r="A19" s="3" t="s">
        <v>41</v>
      </c>
      <c r="B19" s="19">
        <v>3</v>
      </c>
      <c r="C19" s="19">
        <v>1</v>
      </c>
      <c r="D19" s="19"/>
    </row>
    <row r="20" spans="1:4" x14ac:dyDescent="0.25">
      <c r="A20" s="3" t="s">
        <v>51</v>
      </c>
      <c r="B20" s="19">
        <v>4</v>
      </c>
      <c r="C20" s="19"/>
      <c r="D20" s="19"/>
    </row>
    <row r="21" spans="1:4" x14ac:dyDescent="0.25">
      <c r="A21" s="3" t="s">
        <v>352</v>
      </c>
      <c r="B21" s="19">
        <v>3</v>
      </c>
      <c r="C21" s="19">
        <v>3</v>
      </c>
      <c r="D21" s="19"/>
    </row>
    <row r="22" spans="1:4" x14ac:dyDescent="0.25">
      <c r="A22" s="3" t="s">
        <v>325</v>
      </c>
      <c r="B22" s="19">
        <v>6</v>
      </c>
      <c r="C22" s="19"/>
      <c r="D22" s="19"/>
    </row>
    <row r="23" spans="1:4" x14ac:dyDescent="0.25">
      <c r="A23" s="3" t="s">
        <v>326</v>
      </c>
      <c r="B23" s="19">
        <v>1</v>
      </c>
      <c r="C23" s="19">
        <v>1</v>
      </c>
      <c r="D23" s="19"/>
    </row>
    <row r="24" spans="1:4" x14ac:dyDescent="0.25">
      <c r="A24" s="3" t="s">
        <v>351</v>
      </c>
      <c r="B24" s="19">
        <v>2</v>
      </c>
      <c r="C24" s="19"/>
      <c r="D24" s="19"/>
    </row>
    <row r="25" spans="1:4" x14ac:dyDescent="0.25">
      <c r="A25" s="3" t="s">
        <v>405</v>
      </c>
      <c r="B25" s="19">
        <v>2</v>
      </c>
      <c r="C25" s="19">
        <v>1</v>
      </c>
      <c r="D25" s="19">
        <v>1</v>
      </c>
    </row>
    <row r="26" spans="1:4" x14ac:dyDescent="0.25">
      <c r="A26" s="3" t="s">
        <v>435</v>
      </c>
      <c r="B26" s="19">
        <v>2</v>
      </c>
      <c r="C26" s="19"/>
      <c r="D26" s="19"/>
    </row>
    <row r="27" spans="1:4" x14ac:dyDescent="0.25">
      <c r="A27" s="3" t="s">
        <v>433</v>
      </c>
      <c r="B27" s="19">
        <v>2</v>
      </c>
      <c r="C27" s="19"/>
      <c r="D27" s="19"/>
    </row>
    <row r="28" spans="1:4" x14ac:dyDescent="0.25">
      <c r="A28" s="3" t="s">
        <v>519</v>
      </c>
      <c r="B28" s="19">
        <v>4</v>
      </c>
      <c r="C28" s="19"/>
      <c r="D28" s="19"/>
    </row>
    <row r="29" spans="1:4" x14ac:dyDescent="0.25">
      <c r="A29" s="3" t="s">
        <v>540</v>
      </c>
      <c r="B29" s="19">
        <v>1</v>
      </c>
      <c r="C29" s="19"/>
      <c r="D29" s="19">
        <v>1</v>
      </c>
    </row>
    <row r="30" spans="1:4" x14ac:dyDescent="0.25">
      <c r="A30" s="3" t="s">
        <v>567</v>
      </c>
      <c r="B30" s="19">
        <v>2</v>
      </c>
      <c r="C30" s="19"/>
      <c r="D30" s="19"/>
    </row>
    <row r="31" spans="1:4" x14ac:dyDescent="0.25">
      <c r="A31" s="3" t="s">
        <v>578</v>
      </c>
      <c r="B31" s="19">
        <v>5</v>
      </c>
      <c r="C31" s="19">
        <v>1</v>
      </c>
      <c r="D31" s="19"/>
    </row>
    <row r="32" spans="1:4" x14ac:dyDescent="0.25">
      <c r="A32" s="3" t="s">
        <v>605</v>
      </c>
      <c r="B32" s="19">
        <v>2</v>
      </c>
      <c r="C32" s="19"/>
      <c r="D32" s="19"/>
    </row>
    <row r="33" spans="1:4" x14ac:dyDescent="0.25">
      <c r="A33" s="3" t="s">
        <v>609</v>
      </c>
      <c r="B33" s="19">
        <v>1</v>
      </c>
      <c r="C33" s="19"/>
      <c r="D33" s="19">
        <v>1</v>
      </c>
    </row>
    <row r="34" spans="1:4" x14ac:dyDescent="0.25">
      <c r="A34" s="3" t="s">
        <v>622</v>
      </c>
      <c r="B34" s="19">
        <v>3</v>
      </c>
      <c r="C34" s="19">
        <v>1</v>
      </c>
      <c r="D34" s="19"/>
    </row>
    <row r="35" spans="1:4" x14ac:dyDescent="0.25">
      <c r="A35" s="3" t="s">
        <v>24</v>
      </c>
      <c r="B35" s="19">
        <v>77</v>
      </c>
      <c r="C35" s="19">
        <v>27</v>
      </c>
      <c r="D35" s="19">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2"/>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20</v>
      </c>
      <c r="C4" s="19">
        <v>9</v>
      </c>
      <c r="D4" s="19">
        <v>2</v>
      </c>
      <c r="E4" s="4">
        <f t="shared" ref="E4:E41" si="0">IFERROR(C4/B4, "")</f>
        <v>0.45</v>
      </c>
      <c r="F4" s="4">
        <f t="shared" ref="F4:F41" si="1">IFERROR(D4/B4, "")</f>
        <v>0.1</v>
      </c>
      <c r="G4" s="4">
        <f>IFERROR(1-Table5[[#This Row],[Loss % Against]]-Table5[[#This Row],[Win% Against]],"")</f>
        <v>0.45</v>
      </c>
      <c r="H4" s="16">
        <f>IFERROR(IF(B4=0,"",
 IF(Table5[[#This Row],[Win% Against]] &gt; Table5[[#This Row],[Loss % Against]], 1,
 IF(Table5[[#This Row],[Win% Against]] &lt; Table5[[#This Row],[Loss % Against]], -1, 0))), "")</f>
        <v>1</v>
      </c>
    </row>
    <row r="5" spans="1:8" x14ac:dyDescent="0.2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25">
      <c r="A6" s="3" t="s">
        <v>14</v>
      </c>
      <c r="B6" s="19">
        <v>15</v>
      </c>
      <c r="C6" s="19">
        <v>7</v>
      </c>
      <c r="D6" s="19">
        <v>3</v>
      </c>
      <c r="E6" s="4">
        <f t="shared" si="0"/>
        <v>0.46666666666666667</v>
      </c>
      <c r="F6" s="4">
        <f t="shared" si="1"/>
        <v>0.2</v>
      </c>
      <c r="G6" s="4">
        <f>IFERROR(1-Table5[[#This Row],[Loss % Against]]-Table5[[#This Row],[Win% Against]],"")</f>
        <v>0.33333333333333337</v>
      </c>
      <c r="H6" s="16">
        <f>IFERROR(IF(B6=0,"",
 IF(Table5[[#This Row],[Win% Against]] &gt; Table5[[#This Row],[Loss % Against]], 1,
 IF(Table5[[#This Row],[Win% Against]] &lt; Table5[[#This Row],[Loss % Against]], -1, 0))), "")</f>
        <v>1</v>
      </c>
    </row>
    <row r="7" spans="1:8" x14ac:dyDescent="0.25">
      <c r="A7" s="3" t="s">
        <v>28</v>
      </c>
      <c r="B7" s="19">
        <v>14</v>
      </c>
      <c r="C7" s="19">
        <v>6</v>
      </c>
      <c r="D7" s="19">
        <v>2</v>
      </c>
      <c r="E7" s="4">
        <f t="shared" si="0"/>
        <v>0.42857142857142855</v>
      </c>
      <c r="F7" s="4">
        <f t="shared" si="1"/>
        <v>0.14285714285714285</v>
      </c>
      <c r="G7" s="4">
        <f>IFERROR(1-Table5[[#This Row],[Loss % Against]]-Table5[[#This Row],[Win% Against]],"")</f>
        <v>0.42857142857142866</v>
      </c>
      <c r="H7" s="16">
        <f>IFERROR(IF(B7=0,"",
 IF(Table5[[#This Row],[Win% Against]] &gt; Table5[[#This Row],[Loss % Against]], 1,
 IF(Table5[[#This Row],[Win% Against]] &lt; Table5[[#This Row],[Loss % Against]], -1, 0))), "")</f>
        <v>1</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15</v>
      </c>
      <c r="B9" s="19">
        <v>13</v>
      </c>
      <c r="C9" s="19">
        <v>6</v>
      </c>
      <c r="D9" s="19">
        <v>2</v>
      </c>
      <c r="E9" s="4">
        <f t="shared" si="0"/>
        <v>0.46153846153846156</v>
      </c>
      <c r="F9" s="4">
        <f t="shared" si="1"/>
        <v>0.15384615384615385</v>
      </c>
      <c r="G9" s="4">
        <f>IFERROR(1-Table5[[#This Row],[Loss % Against]]-Table5[[#This Row],[Win% Against]],"")</f>
        <v>0.38461538461538458</v>
      </c>
      <c r="H9" s="16">
        <f>IFERROR(IF(B9=0,"",
 IF(Table5[[#This Row],[Win% Against]] &gt; Table5[[#This Row],[Loss % Against]], 1,
 IF(Table5[[#This Row],[Win% Against]] &lt; Table5[[#This Row],[Loss % Against]], -1, 0))), "")</f>
        <v>1</v>
      </c>
    </row>
    <row r="10" spans="1:8" x14ac:dyDescent="0.25">
      <c r="A10" s="3" t="s">
        <v>19</v>
      </c>
      <c r="B10" s="19">
        <v>12</v>
      </c>
      <c r="C10" s="19">
        <v>4</v>
      </c>
      <c r="D10" s="19">
        <v>3</v>
      </c>
      <c r="E10" s="4">
        <f t="shared" si="0"/>
        <v>0.33333333333333331</v>
      </c>
      <c r="F10" s="4">
        <f t="shared" si="1"/>
        <v>0.25</v>
      </c>
      <c r="G10" s="4">
        <f>IFERROR(1-Table5[[#This Row],[Loss % Against]]-Table5[[#This Row],[Win% Against]],"")</f>
        <v>0.41666666666666669</v>
      </c>
      <c r="H10" s="16">
        <f>IFERROR(IF(B10=0,"",
 IF(Table5[[#This Row],[Win% Against]] &gt; Table5[[#This Row],[Loss % Against]], 1,
 IF(Table5[[#This Row],[Win% Against]] &lt; Table5[[#This Row],[Loss % Against]], -1, 0))), "")</f>
        <v>1</v>
      </c>
    </row>
    <row r="11" spans="1:8" x14ac:dyDescent="0.25">
      <c r="A11" s="3" t="s">
        <v>41</v>
      </c>
      <c r="B11" s="19">
        <v>12</v>
      </c>
      <c r="C11" s="19">
        <v>8</v>
      </c>
      <c r="D11" s="19">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17</v>
      </c>
      <c r="B12" s="19">
        <v>12</v>
      </c>
      <c r="C12" s="19">
        <v>5</v>
      </c>
      <c r="D12" s="19">
        <v>2</v>
      </c>
      <c r="E12" s="4">
        <f t="shared" si="0"/>
        <v>0.41666666666666669</v>
      </c>
      <c r="F12" s="4">
        <f t="shared" si="1"/>
        <v>0.16666666666666666</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25">
      <c r="A13" s="3" t="s">
        <v>13</v>
      </c>
      <c r="B13" s="19">
        <v>12</v>
      </c>
      <c r="C13" s="19">
        <v>3</v>
      </c>
      <c r="D13" s="19">
        <v>1</v>
      </c>
      <c r="E13" s="4">
        <f t="shared" si="0"/>
        <v>0.25</v>
      </c>
      <c r="F13" s="4">
        <f t="shared" si="1"/>
        <v>8.3333333333333329E-2</v>
      </c>
      <c r="G13" s="4">
        <f>IFERROR(1-Table5[[#This Row],[Loss % Against]]-Table5[[#This Row],[Win% Against]],"")</f>
        <v>0.66666666666666663</v>
      </c>
      <c r="H13" s="16">
        <f>IFERROR(IF(B13=0,"",
 IF(Table5[[#This Row],[Win% Against]] &gt; Table5[[#This Row],[Loss % Against]], 1,
 IF(Table5[[#This Row],[Win% Against]] &lt; Table5[[#This Row],[Loss % Against]], -1, 0))), "")</f>
        <v>1</v>
      </c>
    </row>
    <row r="14" spans="1:8" x14ac:dyDescent="0.25">
      <c r="A14" s="3" t="s">
        <v>20</v>
      </c>
      <c r="B14" s="19">
        <v>12</v>
      </c>
      <c r="C14" s="19">
        <v>5</v>
      </c>
      <c r="D14" s="19">
        <v>0</v>
      </c>
      <c r="E14" s="4">
        <f t="shared" si="0"/>
        <v>0.41666666666666669</v>
      </c>
      <c r="F14" s="4">
        <f t="shared" si="1"/>
        <v>0</v>
      </c>
      <c r="G14" s="4">
        <f>IFERROR(1-Table5[[#This Row],[Loss % Against]]-Table5[[#This Row],[Win% Against]],"")</f>
        <v>0.58333333333333326</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351</v>
      </c>
      <c r="B17" s="19">
        <v>8</v>
      </c>
      <c r="C17" s="19">
        <v>3</v>
      </c>
      <c r="D17" s="19">
        <v>1</v>
      </c>
      <c r="E17" s="4">
        <f t="shared" si="0"/>
        <v>0.375</v>
      </c>
      <c r="F17" s="4">
        <f t="shared" si="1"/>
        <v>0.125</v>
      </c>
      <c r="G17" s="4">
        <f>IFERROR(1-Table5[[#This Row],[Loss % Against]]-Table5[[#This Row],[Win% Against]],"")</f>
        <v>0.5</v>
      </c>
      <c r="H17" s="16">
        <f>IFERROR(IF(B17=0,"",
 IF(Table5[[#This Row],[Win% Against]] &gt; Table5[[#This Row],[Loss % Against]], 1,
 IF(Table5[[#This Row],[Win% Against]] &lt; Table5[[#This Row],[Loss % Against]], -1, 0))), "")</f>
        <v>1</v>
      </c>
    </row>
    <row r="18" spans="1:8" x14ac:dyDescent="0.25">
      <c r="A18" s="3" t="s">
        <v>27</v>
      </c>
      <c r="B18" s="19">
        <v>7</v>
      </c>
      <c r="C18" s="19">
        <v>3</v>
      </c>
      <c r="D18" s="19">
        <v>0</v>
      </c>
      <c r="E18" s="4">
        <f t="shared" si="0"/>
        <v>0.42857142857142855</v>
      </c>
      <c r="F18" s="4">
        <f t="shared" si="1"/>
        <v>0</v>
      </c>
      <c r="G18" s="4">
        <f>IFERROR(1-Table5[[#This Row],[Loss % Against]]-Table5[[#This Row],[Win% Against]],"")</f>
        <v>0.5714285714285714</v>
      </c>
      <c r="H18" s="16">
        <f>IFERROR(IF(B18=0,"",
 IF(Table5[[#This Row],[Win% Against]] &gt; Table5[[#This Row],[Loss % Against]], 1,
 IF(Table5[[#This Row],[Win% Against]] &lt; Table5[[#This Row],[Loss % Against]], -1, 0))), "")</f>
        <v>1</v>
      </c>
    </row>
    <row r="19" spans="1:8" x14ac:dyDescent="0.25">
      <c r="A19" s="3" t="s">
        <v>321</v>
      </c>
      <c r="B19" s="19">
        <v>7</v>
      </c>
      <c r="C19" s="19">
        <v>2</v>
      </c>
      <c r="D19" s="19">
        <v>0</v>
      </c>
      <c r="E19" s="4">
        <f t="shared" si="0"/>
        <v>0.2857142857142857</v>
      </c>
      <c r="F19" s="4">
        <f t="shared" si="1"/>
        <v>0</v>
      </c>
      <c r="G19" s="4">
        <f>IFERROR(1-Table5[[#This Row],[Loss % Against]]-Table5[[#This Row],[Win% Against]],"")</f>
        <v>0.7142857142857143</v>
      </c>
      <c r="H19" s="16">
        <f>IFERROR(IF(B19=0,"",
 IF(Table5[[#This Row],[Win% Against]] &gt; Table5[[#This Row],[Loss % Against]], 1,
 IF(Table5[[#This Row],[Win% Against]] &lt; Table5[[#This Row],[Loss % Against]], -1, 0))), "")</f>
        <v>1</v>
      </c>
    </row>
    <row r="20" spans="1:8" x14ac:dyDescent="0.25">
      <c r="A20" s="3" t="s">
        <v>51</v>
      </c>
      <c r="B20" s="19">
        <v>7</v>
      </c>
      <c r="C20" s="19">
        <v>4</v>
      </c>
      <c r="D20" s="19">
        <v>0</v>
      </c>
      <c r="E20" s="4">
        <f t="shared" si="0"/>
        <v>0.5714285714285714</v>
      </c>
      <c r="F20" s="4">
        <f t="shared" si="1"/>
        <v>0</v>
      </c>
      <c r="G20" s="4">
        <f>IFERROR(1-Table5[[#This Row],[Loss % Against]]-Table5[[#This Row],[Win% Against]],"")</f>
        <v>0.4285714285714286</v>
      </c>
      <c r="H20" s="16">
        <f>IFERROR(IF(B20=0,"",
 IF(Table5[[#This Row],[Win% Against]] &gt; Table5[[#This Row],[Loss % Against]], 1,
 IF(Table5[[#This Row],[Win% Against]] &lt; Table5[[#This Row],[Loss % Against]], -1, 0))), "")</f>
        <v>1</v>
      </c>
    </row>
    <row r="21" spans="1:8" x14ac:dyDescent="0.25">
      <c r="A21" s="3" t="s">
        <v>11</v>
      </c>
      <c r="B21" s="19">
        <v>7</v>
      </c>
      <c r="C21" s="19">
        <v>3</v>
      </c>
      <c r="D21" s="19">
        <v>3</v>
      </c>
      <c r="E21" s="4">
        <f t="shared" si="0"/>
        <v>0.42857142857142855</v>
      </c>
      <c r="F21" s="4">
        <f t="shared" si="1"/>
        <v>0.42857142857142855</v>
      </c>
      <c r="G21" s="4">
        <f>IFERROR(1-Table5[[#This Row],[Loss % Against]]-Table5[[#This Row],[Win% Against]],"")</f>
        <v>0.14285714285714285</v>
      </c>
      <c r="H21" s="16">
        <f>IFERROR(IF(B21=0,"",
 IF(Table5[[#This Row],[Win% Against]] &gt; Table5[[#This Row],[Loss % Against]], 1,
 IF(Table5[[#This Row],[Win% Against]] &lt; Table5[[#This Row],[Loss % Against]], -1, 0))), "")</f>
        <v>0</v>
      </c>
    </row>
    <row r="22" spans="1:8" x14ac:dyDescent="0.25">
      <c r="A22" s="3" t="s">
        <v>405</v>
      </c>
      <c r="B22" s="19">
        <v>5</v>
      </c>
      <c r="C22" s="19">
        <v>1</v>
      </c>
      <c r="D22" s="19">
        <v>0</v>
      </c>
      <c r="E22" s="4">
        <f t="shared" si="0"/>
        <v>0.2</v>
      </c>
      <c r="F22" s="4">
        <f t="shared" si="1"/>
        <v>0</v>
      </c>
      <c r="G22" s="4">
        <f>IFERROR(1-Table5[[#This Row],[Loss % Against]]-Table5[[#This Row],[Win% Against]],"")</f>
        <v>0.8</v>
      </c>
      <c r="H22" s="16">
        <f>IFERROR(IF(B22=0,"",
 IF(Table5[[#This Row],[Win% Against]] &gt; Table5[[#This Row],[Loss % Against]], 1,
 IF(Table5[[#This Row],[Win% Against]] &lt; Table5[[#This Row],[Loss % Against]], -1, 0))), "")</f>
        <v>1</v>
      </c>
    </row>
    <row r="23" spans="1:8" x14ac:dyDescent="0.2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25">
      <c r="A24" s="3" t="s">
        <v>76</v>
      </c>
      <c r="B24" s="19">
        <v>4</v>
      </c>
      <c r="C24" s="19">
        <v>2</v>
      </c>
      <c r="D24" s="19">
        <v>0</v>
      </c>
      <c r="E24" s="4">
        <f t="shared" si="0"/>
        <v>0.5</v>
      </c>
      <c r="F24" s="4">
        <f t="shared" si="1"/>
        <v>0</v>
      </c>
      <c r="G24" s="4">
        <f>IFERROR(1-Table5[[#This Row],[Loss % Against]]-Table5[[#This Row],[Win% Against]],"")</f>
        <v>0.5</v>
      </c>
      <c r="H24" s="16">
        <f>IFERROR(IF(B24=0,"",
 IF(Table5[[#This Row],[Win% Against]] &gt; Table5[[#This Row],[Loss % Against]], 1,
 IF(Table5[[#This Row],[Win% Against]] &lt; Table5[[#This Row],[Loss % Against]], -1, 0))), "")</f>
        <v>1</v>
      </c>
    </row>
    <row r="25" spans="1:8" x14ac:dyDescent="0.25">
      <c r="A25" s="3" t="s">
        <v>363</v>
      </c>
      <c r="B25" s="19">
        <v>4</v>
      </c>
      <c r="C25" s="19">
        <v>1</v>
      </c>
      <c r="D25" s="19">
        <v>0</v>
      </c>
      <c r="E25" s="4">
        <f t="shared" si="0"/>
        <v>0.25</v>
      </c>
      <c r="F25" s="4">
        <f t="shared" si="1"/>
        <v>0</v>
      </c>
      <c r="G25" s="4">
        <f>IFERROR(1-Table5[[#This Row],[Loss % Against]]-Table5[[#This Row],[Win% Against]],"")</f>
        <v>0.75</v>
      </c>
      <c r="H25" s="16">
        <f>IFERROR(IF(B25=0,"",
 IF(Table5[[#This Row],[Win% Against]] &gt; Table5[[#This Row],[Loss % Against]], 1,
 IF(Table5[[#This Row],[Win% Against]] &lt; Table5[[#This Row],[Loss % Against]], -1, 0))), "")</f>
        <v>1</v>
      </c>
    </row>
    <row r="26" spans="1:8" x14ac:dyDescent="0.25">
      <c r="A26" s="3" t="s">
        <v>44</v>
      </c>
      <c r="B26" s="19">
        <v>4</v>
      </c>
      <c r="C26" s="19">
        <v>3</v>
      </c>
      <c r="D26" s="19">
        <v>0</v>
      </c>
      <c r="E26" s="4">
        <f t="shared" si="0"/>
        <v>0.75</v>
      </c>
      <c r="F26" s="4">
        <f t="shared" si="1"/>
        <v>0</v>
      </c>
      <c r="G26" s="4">
        <f>IFERROR(1-Table5[[#This Row],[Loss % Against]]-Table5[[#This Row],[Win% Against]],"")</f>
        <v>0.25</v>
      </c>
      <c r="H26" s="16">
        <f>IFERROR(IF(B26=0,"",
 IF(Table5[[#This Row],[Win% Against]] &gt; Table5[[#This Row],[Loss % Against]], 1,
 IF(Table5[[#This Row],[Win% Against]] &lt; Table5[[#This Row],[Loss % Against]], -1, 0))), "")</f>
        <v>1</v>
      </c>
    </row>
    <row r="27" spans="1:8" x14ac:dyDescent="0.25">
      <c r="A27" s="3" t="s">
        <v>22</v>
      </c>
      <c r="B27" s="19">
        <v>4</v>
      </c>
      <c r="C27" s="19">
        <v>1</v>
      </c>
      <c r="D27" s="19">
        <v>1</v>
      </c>
      <c r="E27" s="4">
        <f t="shared" si="0"/>
        <v>0.25</v>
      </c>
      <c r="F27" s="4">
        <f t="shared" si="1"/>
        <v>0.25</v>
      </c>
      <c r="G27" s="4">
        <f>IFERROR(1-Table5[[#This Row],[Loss % Against]]-Table5[[#This Row],[Win% Against]],"")</f>
        <v>0.5</v>
      </c>
      <c r="H27" s="16">
        <f>IFERROR(IF(B27=0,"",
 IF(Table5[[#This Row],[Win% Against]] &gt; Table5[[#This Row],[Loss % Against]], 1,
 IF(Table5[[#This Row],[Win% Against]] &lt; Table5[[#This Row],[Loss % Against]], -1, 0))), "")</f>
        <v>0</v>
      </c>
    </row>
    <row r="28" spans="1:8" x14ac:dyDescent="0.25">
      <c r="A28" s="3" t="s">
        <v>326</v>
      </c>
      <c r="B28" s="19">
        <v>3</v>
      </c>
      <c r="C28" s="19">
        <v>2</v>
      </c>
      <c r="D28" s="19">
        <v>1</v>
      </c>
      <c r="E28" s="4">
        <f t="shared" si="0"/>
        <v>0.66666666666666663</v>
      </c>
      <c r="F28" s="4">
        <f t="shared" si="1"/>
        <v>0.33333333333333331</v>
      </c>
      <c r="G28" s="4">
        <f>IFERROR(1-Table5[[#This Row],[Loss % Against]]-Table5[[#This Row],[Win% Against]],"")</f>
        <v>1.1102230246251565E-16</v>
      </c>
      <c r="H28" s="16">
        <f>IFERROR(IF(B28=0,"",
 IF(Table5[[#This Row],[Win% Against]] &gt; Table5[[#This Row],[Loss % Against]], 1,
 IF(Table5[[#This Row],[Win% Against]] &lt; Table5[[#This Row],[Loss % Against]], -1, 0))), "")</f>
        <v>1</v>
      </c>
    </row>
    <row r="29" spans="1:8" x14ac:dyDescent="0.25">
      <c r="A29" s="3" t="s">
        <v>325</v>
      </c>
      <c r="B29" s="19">
        <v>3</v>
      </c>
      <c r="C29" s="19">
        <v>0</v>
      </c>
      <c r="D29" s="19">
        <v>1</v>
      </c>
      <c r="E29" s="4">
        <f t="shared" si="0"/>
        <v>0</v>
      </c>
      <c r="F29" s="4">
        <f t="shared" si="1"/>
        <v>0.33333333333333331</v>
      </c>
      <c r="G29" s="4">
        <f>IFERROR(1-Table5[[#This Row],[Loss % Against]]-Table5[[#This Row],[Win% Against]],"")</f>
        <v>0.66666666666666674</v>
      </c>
      <c r="H29" s="16">
        <f>IFERROR(IF(B29=0,"",
 IF(Table5[[#This Row],[Win% Against]] &gt; Table5[[#This Row],[Loss % Against]], 1,
 IF(Table5[[#This Row],[Win% Against]] &lt; Table5[[#This Row],[Loss % Against]], -1, 0))), "")</f>
        <v>-1</v>
      </c>
    </row>
    <row r="30" spans="1:8" x14ac:dyDescent="0.25">
      <c r="A30" s="3" t="s">
        <v>519</v>
      </c>
      <c r="B30" s="19">
        <v>3</v>
      </c>
      <c r="C30" s="19">
        <v>2</v>
      </c>
      <c r="D30" s="19">
        <v>0</v>
      </c>
      <c r="E30" s="4">
        <f t="shared" si="0"/>
        <v>0.66666666666666663</v>
      </c>
      <c r="F30" s="4">
        <f t="shared" si="1"/>
        <v>0</v>
      </c>
      <c r="G30" s="4">
        <f>IFERROR(1-Table5[[#This Row],[Loss % Against]]-Table5[[#This Row],[Win% Against]],"")</f>
        <v>0.33333333333333337</v>
      </c>
      <c r="H30" s="16">
        <f>IFERROR(IF(B30=0,"",
 IF(Table5[[#This Row],[Win% Against]] &gt; Table5[[#This Row],[Loss % Against]], 1,
 IF(Table5[[#This Row],[Win% Against]] &lt; Table5[[#This Row],[Loss % Against]], -1, 0))), "")</f>
        <v>1</v>
      </c>
    </row>
    <row r="31" spans="1:8" x14ac:dyDescent="0.25">
      <c r="A31" s="3" t="s">
        <v>30</v>
      </c>
      <c r="B31" s="19">
        <v>3</v>
      </c>
      <c r="C31" s="19">
        <v>1</v>
      </c>
      <c r="D31" s="19">
        <v>1</v>
      </c>
      <c r="E31" s="4">
        <f t="shared" si="0"/>
        <v>0.33333333333333331</v>
      </c>
      <c r="F31" s="4">
        <f t="shared" si="1"/>
        <v>0.33333333333333331</v>
      </c>
      <c r="G31" s="4">
        <f>IFERROR(1-Table5[[#This Row],[Loss % Against]]-Table5[[#This Row],[Win% Against]],"")</f>
        <v>0.33333333333333343</v>
      </c>
      <c r="H31" s="16">
        <f>IFERROR(IF(B31=0,"",
 IF(Table5[[#This Row],[Win% Against]] &gt; Table5[[#This Row],[Loss % Against]], 1,
 IF(Table5[[#This Row],[Win% Against]] &lt; Table5[[#This Row],[Loss % Against]], -1, 0))), "")</f>
        <v>0</v>
      </c>
    </row>
    <row r="32" spans="1:8" x14ac:dyDescent="0.25">
      <c r="A32" s="3" t="s">
        <v>364</v>
      </c>
      <c r="B32" s="19">
        <v>3</v>
      </c>
      <c r="C32" s="19">
        <v>0</v>
      </c>
      <c r="D32" s="19">
        <v>0</v>
      </c>
      <c r="E32" s="4">
        <f t="shared" si="0"/>
        <v>0</v>
      </c>
      <c r="F32" s="4">
        <f t="shared" si="1"/>
        <v>0</v>
      </c>
      <c r="G32" s="4">
        <f>IFERROR(1-Table5[[#This Row],[Loss % Against]]-Table5[[#This Row],[Win% Against]],"")</f>
        <v>1</v>
      </c>
      <c r="H32" s="16">
        <f>IFERROR(IF(B32=0,"",
 IF(Table5[[#This Row],[Win% Against]] &gt; Table5[[#This Row],[Loss % Against]], 1,
 IF(Table5[[#This Row],[Win% Against]] &lt; Table5[[#This Row],[Loss % Against]], -1, 0))), "")</f>
        <v>0</v>
      </c>
    </row>
    <row r="33" spans="1:8" x14ac:dyDescent="0.25">
      <c r="A33" s="3" t="s">
        <v>567</v>
      </c>
      <c r="B33" s="19">
        <v>2</v>
      </c>
      <c r="C33" s="19">
        <v>1</v>
      </c>
      <c r="D33" s="19">
        <v>1</v>
      </c>
      <c r="E33" s="4">
        <f t="shared" si="0"/>
        <v>0.5</v>
      </c>
      <c r="F33" s="4">
        <f t="shared" si="1"/>
        <v>0.5</v>
      </c>
      <c r="G33" s="4">
        <f>IFERROR(1-Table5[[#This Row],[Loss % Against]]-Table5[[#This Row],[Win% Against]],"")</f>
        <v>0</v>
      </c>
      <c r="H33" s="16">
        <f>IFERROR(IF(B33=0,"",
 IF(Table5[[#This Row],[Win% Against]] &gt; Table5[[#This Row],[Loss % Against]], 1,
 IF(Table5[[#This Row],[Win% Against]] &lt; Table5[[#This Row],[Loss % Against]], -1, 0))), "")</f>
        <v>0</v>
      </c>
    </row>
    <row r="34" spans="1:8" x14ac:dyDescent="0.25">
      <c r="A34" s="3" t="s">
        <v>433</v>
      </c>
      <c r="B34" s="19">
        <v>2</v>
      </c>
      <c r="C34" s="19">
        <v>2</v>
      </c>
      <c r="D34" s="19">
        <v>0</v>
      </c>
      <c r="E34" s="4">
        <f t="shared" si="0"/>
        <v>1</v>
      </c>
      <c r="F34" s="4">
        <f t="shared" si="1"/>
        <v>0</v>
      </c>
      <c r="G34" s="4">
        <f>IFERROR(1-Table5[[#This Row],[Loss % Against]]-Table5[[#This Row],[Win% Against]],"")</f>
        <v>0</v>
      </c>
      <c r="H34" s="16">
        <f>IFERROR(IF(B34=0,"",
 IF(Table5[[#This Row],[Win% Against]] &gt; Table5[[#This Row],[Loss % Against]], 1,
 IF(Table5[[#This Row],[Win% Against]] &lt; Table5[[#This Row],[Loss % Against]], -1, 0))), "")</f>
        <v>1</v>
      </c>
    </row>
    <row r="35" spans="1:8" x14ac:dyDescent="0.25">
      <c r="A35" s="3" t="s">
        <v>21</v>
      </c>
      <c r="B35" s="19">
        <v>2</v>
      </c>
      <c r="C35" s="19">
        <v>0</v>
      </c>
      <c r="D35" s="19">
        <v>1</v>
      </c>
      <c r="E35" s="4">
        <f t="shared" si="0"/>
        <v>0</v>
      </c>
      <c r="F35" s="4">
        <f t="shared" si="1"/>
        <v>0.5</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25">
      <c r="A37" s="3" t="s">
        <v>57</v>
      </c>
      <c r="B37" s="19">
        <v>2</v>
      </c>
      <c r="C37" s="19">
        <v>0</v>
      </c>
      <c r="D37" s="19">
        <v>1</v>
      </c>
      <c r="E37" s="4">
        <f t="shared" si="0"/>
        <v>0</v>
      </c>
      <c r="F37" s="4">
        <f t="shared" si="1"/>
        <v>0.5</v>
      </c>
      <c r="G37" s="4">
        <f>IFERROR(1-Table5[[#This Row],[Loss % Against]]-Table5[[#This Row],[Win% Against]],"")</f>
        <v>0.5</v>
      </c>
      <c r="H37" s="16">
        <f>IFERROR(IF(B37=0,"",
 IF(Table5[[#This Row],[Win% Against]] &gt; Table5[[#This Row],[Loss % Against]], 1,
 IF(Table5[[#This Row],[Win% Against]] &lt; Table5[[#This Row],[Loss % Against]], -1, 0))), "")</f>
        <v>-1</v>
      </c>
    </row>
    <row r="38" spans="1:8" x14ac:dyDescent="0.25">
      <c r="A38" s="3" t="s">
        <v>18</v>
      </c>
      <c r="B38" s="19">
        <v>2</v>
      </c>
      <c r="C38" s="19">
        <v>0</v>
      </c>
      <c r="D38" s="19">
        <v>0</v>
      </c>
      <c r="E38" s="4">
        <f t="shared" si="0"/>
        <v>0</v>
      </c>
      <c r="F38" s="4">
        <f t="shared" si="1"/>
        <v>0</v>
      </c>
      <c r="G38" s="4">
        <f>IFERROR(1-Table5[[#This Row],[Loss % Against]]-Table5[[#This Row],[Win% Against]],"")</f>
        <v>1</v>
      </c>
      <c r="H38" s="16">
        <f>IFERROR(IF(B38=0,"",
 IF(Table5[[#This Row],[Win% Against]] &gt; Table5[[#This Row],[Loss % Against]], 1,
 IF(Table5[[#This Row],[Win% Against]] &lt; Table5[[#This Row],[Loss % Against]], -1, 0))), "")</f>
        <v>0</v>
      </c>
    </row>
    <row r="39" spans="1:8" x14ac:dyDescent="0.25">
      <c r="A39" s="3" t="s">
        <v>578</v>
      </c>
      <c r="B39" s="19">
        <v>2</v>
      </c>
      <c r="C39" s="19">
        <v>0</v>
      </c>
      <c r="D39" s="1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2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25">
      <c r="A41" s="3" t="s">
        <v>16</v>
      </c>
      <c r="B41" s="19">
        <v>2</v>
      </c>
      <c r="C41" s="19">
        <v>1</v>
      </c>
      <c r="D41" s="19">
        <v>0</v>
      </c>
      <c r="E41" s="4">
        <f t="shared" si="0"/>
        <v>0.5</v>
      </c>
      <c r="F41" s="4">
        <f t="shared" si="1"/>
        <v>0</v>
      </c>
      <c r="G41" s="4">
        <f>IFERROR(1-Table5[[#This Row],[Loss % Against]]-Table5[[#This Row],[Win% Against]],"")</f>
        <v>0.5</v>
      </c>
      <c r="H41" s="16">
        <f>IFERROR(IF(B41=0,"",
 IF(Table5[[#This Row],[Win% Against]] &gt; Table5[[#This Row],[Loss % Against]], 1,
 IF(Table5[[#This Row],[Win% Against]] &lt; Table5[[#This Row],[Loss % Against]], -1, 0))), "")</f>
        <v>1</v>
      </c>
    </row>
    <row r="42" spans="1:8" x14ac:dyDescent="0.25">
      <c r="A42" s="3" t="s">
        <v>29</v>
      </c>
      <c r="B42" s="19">
        <v>1</v>
      </c>
      <c r="C42" s="19">
        <v>1</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25">
      <c r="A43" s="3" t="s">
        <v>478</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25">
      <c r="A44" s="3" t="s">
        <v>434</v>
      </c>
      <c r="B44" s="19">
        <v>1</v>
      </c>
      <c r="C44" s="19">
        <v>0</v>
      </c>
      <c r="D44" s="19">
        <v>1</v>
      </c>
      <c r="E44" s="4">
        <f t="shared" si="2"/>
        <v>0</v>
      </c>
      <c r="F44" s="4">
        <f t="shared" si="3"/>
        <v>1</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55</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540</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25">
      <c r="A47" s="3" t="s">
        <v>61</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25">
      <c r="A48" s="3" t="s">
        <v>40</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25">
      <c r="A49" s="3" t="s">
        <v>590</v>
      </c>
      <c r="B49" s="19">
        <v>1</v>
      </c>
      <c r="C49" s="19">
        <v>0</v>
      </c>
      <c r="D49" s="19">
        <v>0</v>
      </c>
      <c r="E49" s="4">
        <f t="shared" si="2"/>
        <v>0</v>
      </c>
      <c r="F49" s="4">
        <f t="shared" si="3"/>
        <v>0</v>
      </c>
      <c r="G49" s="4">
        <f>IFERROR(1-Table5[[#This Row],[Loss % Against]]-Table5[[#This Row],[Win% Against]],"")</f>
        <v>1</v>
      </c>
      <c r="H49" s="16">
        <f>IFERROR(IF(B49=0,"",
 IF(Table5[[#This Row],[Win% Against]] &gt; Table5[[#This Row],[Loss % Against]], 1,
 IF(Table5[[#This Row],[Win% Against]] &lt; Table5[[#This Row],[Loss % Against]], -1, 0))), "")</f>
        <v>0</v>
      </c>
    </row>
    <row r="50" spans="1:8" x14ac:dyDescent="0.25">
      <c r="A50" s="3" t="s">
        <v>437</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25">
      <c r="A51" s="3" t="s">
        <v>609</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322</v>
      </c>
      <c r="B52" s="19">
        <v>1</v>
      </c>
      <c r="C52" s="19">
        <v>0</v>
      </c>
      <c r="D52" s="19">
        <v>1</v>
      </c>
      <c r="E52" s="4">
        <f t="shared" si="2"/>
        <v>0</v>
      </c>
      <c r="F52" s="4">
        <f t="shared" si="3"/>
        <v>1</v>
      </c>
      <c r="G52" s="4">
        <f>IFERROR(1-Table5[[#This Row],[Loss % Against]]-Table5[[#This Row],[Win% Against]],"")</f>
        <v>0</v>
      </c>
      <c r="H52" s="16">
        <f>IFERROR(IF(B52=0,"",
 IF(Table5[[#This Row],[Win% Against]] &gt; Table5[[#This Row],[Loss % Against]], 1,
 IF(Table5[[#This Row],[Win% Against]] &lt; Table5[[#This Row],[Loss % Against]], -1, 0))), "")</f>
        <v>-1</v>
      </c>
    </row>
    <row r="53" spans="1:8" x14ac:dyDescent="0.25">
      <c r="A53" s="3" t="s">
        <v>47</v>
      </c>
      <c r="B53" s="19">
        <v>1</v>
      </c>
      <c r="C53" s="19">
        <v>1</v>
      </c>
      <c r="D53" s="19">
        <v>0</v>
      </c>
      <c r="E53" s="4">
        <f t="shared" si="2"/>
        <v>1</v>
      </c>
      <c r="F53" s="4">
        <f t="shared" si="3"/>
        <v>0</v>
      </c>
      <c r="G53" s="4">
        <f>IFERROR(1-Table5[[#This Row],[Loss % Against]]-Table5[[#This Row],[Win% Against]],"")</f>
        <v>0</v>
      </c>
      <c r="H53" s="16">
        <f>IFERROR(IF(B53=0,"",
 IF(Table5[[#This Row],[Win% Against]] &gt; Table5[[#This Row],[Loss % Against]], 1,
 IF(Table5[[#This Row],[Win% Against]] &lt; Table5[[#This Row],[Loss % Against]], -1, 0))), "")</f>
        <v>1</v>
      </c>
    </row>
    <row r="54" spans="1:8" x14ac:dyDescent="0.25">
      <c r="A54" s="3" t="s">
        <v>46</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25">
      <c r="A55" s="3" t="s">
        <v>59</v>
      </c>
      <c r="B55" s="19">
        <v>1</v>
      </c>
      <c r="C55" s="19">
        <v>0</v>
      </c>
      <c r="D55" s="19">
        <v>0</v>
      </c>
      <c r="E55" s="4">
        <f t="shared" si="4"/>
        <v>0</v>
      </c>
      <c r="F55" s="4">
        <f t="shared" si="5"/>
        <v>0</v>
      </c>
      <c r="G55" s="4">
        <f>IFERROR(1-Table5[[#This Row],[Loss % Against]]-Table5[[#This Row],[Win% Against]],"")</f>
        <v>1</v>
      </c>
      <c r="H55" s="16">
        <f>IFERROR(IF(B55=0,"",
 IF(Table5[[#This Row],[Win% Against]] &gt; Table5[[#This Row],[Loss % Against]], 1,
 IF(Table5[[#This Row],[Win% Against]] &lt; Table5[[#This Row],[Loss % Against]], -1, 0))), "")</f>
        <v>0</v>
      </c>
    </row>
    <row r="56" spans="1:8" x14ac:dyDescent="0.25">
      <c r="A56" s="3" t="s">
        <v>579</v>
      </c>
      <c r="B56" s="19">
        <v>1</v>
      </c>
      <c r="C56" s="19">
        <v>0</v>
      </c>
      <c r="D56" s="19">
        <v>0</v>
      </c>
      <c r="E56" s="4">
        <f t="shared" si="4"/>
        <v>0</v>
      </c>
      <c r="F56" s="4">
        <f t="shared" si="5"/>
        <v>0</v>
      </c>
      <c r="G56" s="4">
        <f>IFERROR(1-Table5[[#This Row],[Loss % Against]]-Table5[[#This Row],[Win% Against]],"")</f>
        <v>1</v>
      </c>
      <c r="H56" s="16">
        <f>IFERROR(IF(B56=0,"",
 IF(Table5[[#This Row],[Win% Against]] &gt; Table5[[#This Row],[Loss % Against]], 1,
 IF(Table5[[#This Row],[Win% Against]] &lt; Table5[[#This Row],[Loss % Against]], -1, 0))), "")</f>
        <v>0</v>
      </c>
    </row>
    <row r="57" spans="1:8" x14ac:dyDescent="0.25">
      <c r="A57" s="3" t="s">
        <v>421</v>
      </c>
      <c r="B57" s="19">
        <v>1</v>
      </c>
      <c r="C57" s="19">
        <v>1</v>
      </c>
      <c r="D57" s="19">
        <v>0</v>
      </c>
    </row>
    <row r="58" spans="1:8" x14ac:dyDescent="0.25">
      <c r="A58" s="3" t="s">
        <v>53</v>
      </c>
      <c r="B58" s="19">
        <v>1</v>
      </c>
      <c r="C58" s="19">
        <v>1</v>
      </c>
      <c r="D58" s="19">
        <v>0</v>
      </c>
    </row>
    <row r="59" spans="1:8" x14ac:dyDescent="0.25">
      <c r="A59" s="3" t="s">
        <v>622</v>
      </c>
      <c r="B59" s="19">
        <v>1</v>
      </c>
      <c r="C59" s="19">
        <v>1</v>
      </c>
      <c r="D59" s="19">
        <v>0</v>
      </c>
    </row>
    <row r="60" spans="1:8" x14ac:dyDescent="0.25">
      <c r="A60" s="3" t="s">
        <v>365</v>
      </c>
      <c r="B60" s="19">
        <v>1</v>
      </c>
      <c r="C60" s="19">
        <v>0</v>
      </c>
      <c r="D60" s="19">
        <v>0</v>
      </c>
    </row>
    <row r="61" spans="1:8" x14ac:dyDescent="0.25">
      <c r="A61" s="3" t="s">
        <v>404</v>
      </c>
      <c r="B61" s="19">
        <v>1</v>
      </c>
      <c r="C61" s="19">
        <v>0</v>
      </c>
      <c r="D61" s="19">
        <v>0</v>
      </c>
    </row>
    <row r="62" spans="1:8" x14ac:dyDescent="0.25">
      <c r="D62"/>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4"/>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6</v>
      </c>
      <c r="C6" s="19">
        <v>1</v>
      </c>
      <c r="D6" s="19">
        <v>1</v>
      </c>
    </row>
    <row r="7" spans="1:4" x14ac:dyDescent="0.25">
      <c r="A7" s="3" t="s">
        <v>19</v>
      </c>
      <c r="B7" s="19">
        <v>3</v>
      </c>
      <c r="C7" s="19">
        <v>3</v>
      </c>
      <c r="D7" s="19">
        <v>2</v>
      </c>
    </row>
    <row r="8" spans="1:4" x14ac:dyDescent="0.25">
      <c r="A8" s="3" t="s">
        <v>13</v>
      </c>
      <c r="B8" s="19">
        <v>3</v>
      </c>
      <c r="C8" s="19">
        <v>1</v>
      </c>
      <c r="D8" s="19">
        <v>4</v>
      </c>
    </row>
    <row r="9" spans="1:4" x14ac:dyDescent="0.25">
      <c r="A9" s="3" t="s">
        <v>10</v>
      </c>
      <c r="B9" s="19">
        <v>4</v>
      </c>
      <c r="C9" s="19"/>
      <c r="D9" s="19"/>
    </row>
    <row r="10" spans="1:4" x14ac:dyDescent="0.25">
      <c r="A10" s="3" t="s">
        <v>7</v>
      </c>
      <c r="B10" s="19">
        <v>6</v>
      </c>
      <c r="C10" s="19">
        <v>2</v>
      </c>
      <c r="D10" s="19"/>
    </row>
    <row r="11" spans="1:4" x14ac:dyDescent="0.25">
      <c r="A11" s="3" t="s">
        <v>20</v>
      </c>
      <c r="B11" s="19">
        <v>3</v>
      </c>
      <c r="C11" s="19">
        <v>1</v>
      </c>
      <c r="D11" s="19"/>
    </row>
    <row r="12" spans="1:4" x14ac:dyDescent="0.25">
      <c r="A12" s="3" t="s">
        <v>15</v>
      </c>
      <c r="B12" s="19">
        <v>2</v>
      </c>
      <c r="C12" s="19">
        <v>3</v>
      </c>
      <c r="D12" s="19">
        <v>1</v>
      </c>
    </row>
    <row r="13" spans="1:4" x14ac:dyDescent="0.25">
      <c r="A13" s="3" t="s">
        <v>11</v>
      </c>
      <c r="B13" s="19">
        <v>1</v>
      </c>
      <c r="C13" s="19">
        <v>1</v>
      </c>
      <c r="D13" s="19"/>
    </row>
    <row r="14" spans="1:4" x14ac:dyDescent="0.25">
      <c r="A14" s="3" t="s">
        <v>9</v>
      </c>
      <c r="B14" s="19">
        <v>2</v>
      </c>
      <c r="C14" s="19">
        <v>1</v>
      </c>
      <c r="D14" s="19">
        <v>3</v>
      </c>
    </row>
    <row r="15" spans="1:4" x14ac:dyDescent="0.25">
      <c r="A15" s="3" t="s">
        <v>17</v>
      </c>
      <c r="B15" s="19">
        <v>3</v>
      </c>
      <c r="C15" s="19">
        <v>2</v>
      </c>
      <c r="D15" s="19">
        <v>3</v>
      </c>
    </row>
    <row r="16" spans="1:4" x14ac:dyDescent="0.25">
      <c r="A16" s="3" t="s">
        <v>28</v>
      </c>
      <c r="B16" s="19"/>
      <c r="C16" s="19">
        <v>5</v>
      </c>
      <c r="D16" s="19">
        <v>1</v>
      </c>
    </row>
    <row r="17" spans="1:4" x14ac:dyDescent="0.25">
      <c r="A17" s="3" t="s">
        <v>27</v>
      </c>
      <c r="B17" s="19">
        <v>6</v>
      </c>
      <c r="C17" s="19">
        <v>1</v>
      </c>
      <c r="D17" s="19">
        <v>1</v>
      </c>
    </row>
    <row r="18" spans="1:4" x14ac:dyDescent="0.25">
      <c r="A18" s="3" t="s">
        <v>41</v>
      </c>
      <c r="B18" s="19">
        <v>5</v>
      </c>
      <c r="C18" s="19">
        <v>1</v>
      </c>
      <c r="D18" s="19"/>
    </row>
    <row r="19" spans="1:4" x14ac:dyDescent="0.25">
      <c r="A19" s="3" t="s">
        <v>51</v>
      </c>
      <c r="B19" s="19">
        <v>5</v>
      </c>
      <c r="C19" s="19"/>
      <c r="D19" s="19">
        <v>1</v>
      </c>
    </row>
    <row r="20" spans="1:4" x14ac:dyDescent="0.25">
      <c r="A20" s="3" t="s">
        <v>352</v>
      </c>
      <c r="B20" s="19">
        <v>3</v>
      </c>
      <c r="C20" s="19">
        <v>3</v>
      </c>
      <c r="D20" s="19">
        <v>2</v>
      </c>
    </row>
    <row r="21" spans="1:4" x14ac:dyDescent="0.25">
      <c r="A21" s="3" t="s">
        <v>325</v>
      </c>
      <c r="B21" s="19">
        <v>7</v>
      </c>
      <c r="C21" s="19">
        <v>1</v>
      </c>
      <c r="D21" s="19"/>
    </row>
    <row r="22" spans="1:4" x14ac:dyDescent="0.25">
      <c r="A22" s="3" t="s">
        <v>326</v>
      </c>
      <c r="B22" s="19">
        <v>2</v>
      </c>
      <c r="C22" s="19">
        <v>1</v>
      </c>
      <c r="D22" s="19">
        <v>1</v>
      </c>
    </row>
    <row r="23" spans="1:4" x14ac:dyDescent="0.25">
      <c r="A23" s="3" t="s">
        <v>351</v>
      </c>
      <c r="B23" s="19">
        <v>2</v>
      </c>
      <c r="C23" s="19">
        <v>1</v>
      </c>
      <c r="D23" s="19">
        <v>1</v>
      </c>
    </row>
    <row r="24" spans="1:4" x14ac:dyDescent="0.25">
      <c r="A24" s="3" t="s">
        <v>405</v>
      </c>
      <c r="B24" s="19">
        <v>2</v>
      </c>
      <c r="C24" s="19">
        <v>2</v>
      </c>
      <c r="D24" s="19">
        <v>2</v>
      </c>
    </row>
    <row r="25" spans="1:4" x14ac:dyDescent="0.25">
      <c r="A25" s="3" t="s">
        <v>435</v>
      </c>
      <c r="B25" s="19">
        <v>2</v>
      </c>
      <c r="C25" s="19"/>
      <c r="D25" s="19"/>
    </row>
    <row r="26" spans="1:4" x14ac:dyDescent="0.25">
      <c r="A26" s="3" t="s">
        <v>433</v>
      </c>
      <c r="B26" s="19">
        <v>2</v>
      </c>
      <c r="C26" s="19"/>
      <c r="D26" s="19"/>
    </row>
    <row r="27" spans="1:4" x14ac:dyDescent="0.25">
      <c r="A27" s="3" t="s">
        <v>519</v>
      </c>
      <c r="B27" s="19">
        <v>4</v>
      </c>
      <c r="C27" s="19">
        <v>1</v>
      </c>
      <c r="D27" s="19">
        <v>1</v>
      </c>
    </row>
    <row r="28" spans="1:4" x14ac:dyDescent="0.25">
      <c r="A28" s="3" t="s">
        <v>540</v>
      </c>
      <c r="B28" s="19">
        <v>3</v>
      </c>
      <c r="C28" s="19"/>
      <c r="D28" s="19">
        <v>1</v>
      </c>
    </row>
    <row r="29" spans="1:4" x14ac:dyDescent="0.25">
      <c r="A29" s="3" t="s">
        <v>567</v>
      </c>
      <c r="B29" s="19">
        <v>2</v>
      </c>
      <c r="C29" s="19"/>
      <c r="D29" s="19"/>
    </row>
    <row r="30" spans="1:4" x14ac:dyDescent="0.25">
      <c r="A30" s="3" t="s">
        <v>578</v>
      </c>
      <c r="B30" s="19">
        <v>6</v>
      </c>
      <c r="C30" s="19">
        <v>1</v>
      </c>
      <c r="D30" s="19">
        <v>1</v>
      </c>
    </row>
    <row r="31" spans="1:4" x14ac:dyDescent="0.25">
      <c r="A31" s="3" t="s">
        <v>605</v>
      </c>
      <c r="B31" s="19">
        <v>2</v>
      </c>
      <c r="C31" s="19"/>
      <c r="D31" s="19"/>
    </row>
    <row r="32" spans="1:4" x14ac:dyDescent="0.25">
      <c r="A32" s="3" t="s">
        <v>609</v>
      </c>
      <c r="B32" s="19">
        <v>2</v>
      </c>
      <c r="C32" s="19"/>
      <c r="D32" s="19">
        <v>2</v>
      </c>
    </row>
    <row r="33" spans="1:4" x14ac:dyDescent="0.25">
      <c r="A33" s="3" t="s">
        <v>622</v>
      </c>
      <c r="B33" s="19">
        <v>3</v>
      </c>
      <c r="C33" s="19">
        <v>1</v>
      </c>
      <c r="D33" s="19"/>
    </row>
    <row r="34" spans="1:4" x14ac:dyDescent="0.25">
      <c r="A34" s="3" t="s">
        <v>24</v>
      </c>
      <c r="B34" s="19">
        <v>91</v>
      </c>
      <c r="C34" s="19">
        <v>33</v>
      </c>
      <c r="D34" s="19">
        <v>28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912"/>
  <sheetViews>
    <sheetView workbookViewId="0">
      <selection activeCell="B1850" sqref="B1850"/>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hidden="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2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2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2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2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2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2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2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2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2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2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2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2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2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2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2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2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2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2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2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2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2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2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2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2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2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2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2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2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2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2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2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2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2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2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2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2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2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2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2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2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2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2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2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2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2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x14ac:dyDescent="0.2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2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2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2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x14ac:dyDescent="0.2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2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2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2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2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2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2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2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2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2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2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2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2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2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2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2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2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2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2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2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2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2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2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2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2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2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2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2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2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2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2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2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2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2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2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2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2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2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2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2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2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2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2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2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2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2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2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2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2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2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2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2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2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2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2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2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2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2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2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2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2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2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2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2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2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2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2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2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2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2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2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2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2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2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2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2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2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2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x14ac:dyDescent="0.2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2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2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2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2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2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2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2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2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2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2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2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2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2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2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2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2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2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2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2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2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2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2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x14ac:dyDescent="0.2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2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2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2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2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x14ac:dyDescent="0.2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x14ac:dyDescent="0.2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x14ac:dyDescent="0.2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x14ac:dyDescent="0.2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x14ac:dyDescent="0.2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x14ac:dyDescent="0.2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x14ac:dyDescent="0.2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x14ac:dyDescent="0.2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x14ac:dyDescent="0.2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x14ac:dyDescent="0.2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x14ac:dyDescent="0.2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x14ac:dyDescent="0.2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x14ac:dyDescent="0.2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x14ac:dyDescent="0.2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x14ac:dyDescent="0.2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x14ac:dyDescent="0.2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x14ac:dyDescent="0.2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x14ac:dyDescent="0.2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x14ac:dyDescent="0.2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x14ac:dyDescent="0.2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x14ac:dyDescent="0.2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x14ac:dyDescent="0.2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x14ac:dyDescent="0.2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x14ac:dyDescent="0.2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x14ac:dyDescent="0.2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x14ac:dyDescent="0.2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x14ac:dyDescent="0.2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x14ac:dyDescent="0.2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x14ac:dyDescent="0.2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x14ac:dyDescent="0.2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x14ac:dyDescent="0.25">
      <c r="A1877" t="s">
        <v>27</v>
      </c>
      <c r="B1877" t="s">
        <v>63</v>
      </c>
      <c r="C1877">
        <v>1</v>
      </c>
      <c r="D1877">
        <v>1</v>
      </c>
      <c r="E1877">
        <v>1</v>
      </c>
      <c r="F1877" s="1">
        <v>46230</v>
      </c>
      <c r="G1877" s="11" t="str">
        <f>_xlfn.TEXTJOIN("|",TRUE,D1877,TEXT(INT(E1877),"yyyymmdd"),F1877)</f>
        <v>1|19000101|46230</v>
      </c>
      <c r="H1877" s="19">
        <f>COUNTIF(GameLog[Pod ID],GameLog[[#This Row],[Pod ID]])</f>
        <v>4</v>
      </c>
      <c r="I1877" s="19">
        <f>YEAR(GameLog[[#This Row],[Date]])</f>
        <v>2026</v>
      </c>
      <c r="J1877" s="19">
        <f>MONTH(GameLog[[#This Row],[Date]])</f>
        <v>7</v>
      </c>
      <c r="K1877" s="19" t="str">
        <f>IF(GameLog[[#This Row],[Date]]=MAX(GameLog[Date]),"Current","Previous")</f>
        <v>Current</v>
      </c>
    </row>
    <row r="1878" spans="1:11" x14ac:dyDescent="0.25">
      <c r="A1878" t="s">
        <v>609</v>
      </c>
      <c r="B1878" t="s">
        <v>63</v>
      </c>
      <c r="C1878">
        <v>2</v>
      </c>
      <c r="D1878">
        <v>1</v>
      </c>
      <c r="E1878">
        <v>1</v>
      </c>
      <c r="F1878" s="1">
        <v>46230</v>
      </c>
      <c r="G1878" s="11" t="str">
        <f>_xlfn.TEXTJOIN("|",TRUE,D1878,TEXT(INT(E1878),"yyyymmdd"),F1878)</f>
        <v>1|19000101|46230</v>
      </c>
      <c r="H1878" s="19">
        <f>COUNTIF(GameLog[Pod ID],GameLog[[#This Row],[Pod ID]])</f>
        <v>4</v>
      </c>
      <c r="I1878" s="19">
        <f>YEAR(GameLog[[#This Row],[Date]])</f>
        <v>2026</v>
      </c>
      <c r="J1878" s="19">
        <f>MONTH(GameLog[[#This Row],[Date]])</f>
        <v>7</v>
      </c>
      <c r="K1878" s="19" t="str">
        <f>IF(GameLog[[#This Row],[Date]]=MAX(GameLog[Date]),"Current","Previous")</f>
        <v>Current</v>
      </c>
    </row>
    <row r="1879" spans="1:11" x14ac:dyDescent="0.25">
      <c r="A1879" t="s">
        <v>19</v>
      </c>
      <c r="B1879" t="s">
        <v>63</v>
      </c>
      <c r="C1879">
        <v>3</v>
      </c>
      <c r="D1879">
        <v>1</v>
      </c>
      <c r="E1879">
        <v>1</v>
      </c>
      <c r="F1879" s="1">
        <v>46230</v>
      </c>
      <c r="G1879" s="11" t="str">
        <f>_xlfn.TEXTJOIN("|",TRUE,D1879,TEXT(INT(E1879),"yyyymmdd"),F1879)</f>
        <v>1|19000101|46230</v>
      </c>
      <c r="H1879" s="19">
        <f>COUNTIF(GameLog[Pod ID],GameLog[[#This Row],[Pod ID]])</f>
        <v>4</v>
      </c>
      <c r="I1879" s="19">
        <f>YEAR(GameLog[[#This Row],[Date]])</f>
        <v>2026</v>
      </c>
      <c r="J1879" s="19">
        <f>MONTH(GameLog[[#This Row],[Date]])</f>
        <v>7</v>
      </c>
      <c r="K1879" s="19" t="str">
        <f>IF(GameLog[[#This Row],[Date]]=MAX(GameLog[Date]),"Current","Previous")</f>
        <v>Current</v>
      </c>
    </row>
    <row r="1880" spans="1:11" x14ac:dyDescent="0.25">
      <c r="A1880" t="s">
        <v>352</v>
      </c>
      <c r="B1880" t="s">
        <v>63</v>
      </c>
      <c r="C1880">
        <v>4</v>
      </c>
      <c r="D1880">
        <v>1</v>
      </c>
      <c r="E1880">
        <v>1</v>
      </c>
      <c r="F1880" s="1">
        <v>46230</v>
      </c>
      <c r="G1880" s="11" t="str">
        <f>_xlfn.TEXTJOIN("|",TRUE,D1880,TEXT(INT(E1880),"yyyymmdd"),F1880)</f>
        <v>1|19000101|46230</v>
      </c>
      <c r="H1880" s="19">
        <f>COUNTIF(GameLog[Pod ID],GameLog[[#This Row],[Pod ID]])</f>
        <v>4</v>
      </c>
      <c r="I1880" s="19">
        <f>YEAR(GameLog[[#This Row],[Date]])</f>
        <v>2026</v>
      </c>
      <c r="J1880" s="19">
        <f>MONTH(GameLog[[#This Row],[Date]])</f>
        <v>7</v>
      </c>
      <c r="K1880" s="19" t="str">
        <f>IF(GameLog[[#This Row],[Date]]=MAX(GameLog[Date]),"Current","Previous")</f>
        <v>Current</v>
      </c>
    </row>
    <row r="1881" spans="1:11" x14ac:dyDescent="0.25">
      <c r="A1881" t="s">
        <v>51</v>
      </c>
      <c r="B1881" t="s">
        <v>63</v>
      </c>
      <c r="C1881">
        <v>1</v>
      </c>
      <c r="D1881">
        <v>2</v>
      </c>
      <c r="E1881">
        <v>1</v>
      </c>
      <c r="F1881" s="1">
        <v>46230</v>
      </c>
      <c r="G1881" s="11" t="str">
        <f>_xlfn.TEXTJOIN("|",TRUE,D1881,TEXT(INT(E1881),"yyyymmdd"),F1881)</f>
        <v>2|19000101|46230</v>
      </c>
      <c r="H1881" s="19">
        <f>COUNTIF(GameLog[Pod ID],GameLog[[#This Row],[Pod ID]])</f>
        <v>4</v>
      </c>
      <c r="I1881" s="19">
        <f>YEAR(GameLog[[#This Row],[Date]])</f>
        <v>2026</v>
      </c>
      <c r="J1881" s="19">
        <f>MONTH(GameLog[[#This Row],[Date]])</f>
        <v>7</v>
      </c>
      <c r="K1881" s="19" t="str">
        <f>IF(GameLog[[#This Row],[Date]]=MAX(GameLog[Date]),"Current","Previous")</f>
        <v>Current</v>
      </c>
    </row>
    <row r="1882" spans="1:11" x14ac:dyDescent="0.25">
      <c r="A1882" t="s">
        <v>351</v>
      </c>
      <c r="B1882" t="s">
        <v>63</v>
      </c>
      <c r="C1882">
        <v>2</v>
      </c>
      <c r="D1882">
        <v>2</v>
      </c>
      <c r="E1882">
        <v>1</v>
      </c>
      <c r="F1882" s="1">
        <v>46230</v>
      </c>
      <c r="G1882" s="11" t="str">
        <f>_xlfn.TEXTJOIN("|",TRUE,D1882,TEXT(INT(E1882),"yyyymmdd"),F1882)</f>
        <v>2|19000101|46230</v>
      </c>
      <c r="H1882" s="19">
        <f>COUNTIF(GameLog[Pod ID],GameLog[[#This Row],[Pod ID]])</f>
        <v>4</v>
      </c>
      <c r="I1882" s="19">
        <f>YEAR(GameLog[[#This Row],[Date]])</f>
        <v>2026</v>
      </c>
      <c r="J1882" s="19">
        <f>MONTH(GameLog[[#This Row],[Date]])</f>
        <v>7</v>
      </c>
      <c r="K1882" s="19" t="str">
        <f>IF(GameLog[[#This Row],[Date]]=MAX(GameLog[Date]),"Current","Previous")</f>
        <v>Current</v>
      </c>
    </row>
    <row r="1883" spans="1:11" x14ac:dyDescent="0.25">
      <c r="A1883" t="s">
        <v>405</v>
      </c>
      <c r="B1883" t="s">
        <v>63</v>
      </c>
      <c r="C1883">
        <v>3</v>
      </c>
      <c r="D1883">
        <v>2</v>
      </c>
      <c r="E1883">
        <v>1</v>
      </c>
      <c r="F1883" s="1">
        <v>46230</v>
      </c>
      <c r="G1883" s="11" t="str">
        <f>_xlfn.TEXTJOIN("|",TRUE,D1883,TEXT(INT(E1883),"yyyymmdd"),F1883)</f>
        <v>2|19000101|46230</v>
      </c>
      <c r="H1883" s="19">
        <f>COUNTIF(GameLog[Pod ID],GameLog[[#This Row],[Pod ID]])</f>
        <v>4</v>
      </c>
      <c r="I1883" s="19">
        <f>YEAR(GameLog[[#This Row],[Date]])</f>
        <v>2026</v>
      </c>
      <c r="J1883" s="19">
        <f>MONTH(GameLog[[#This Row],[Date]])</f>
        <v>7</v>
      </c>
      <c r="K1883" s="19" t="str">
        <f>IF(GameLog[[#This Row],[Date]]=MAX(GameLog[Date]),"Current","Previous")</f>
        <v>Current</v>
      </c>
    </row>
    <row r="1884" spans="1:11" x14ac:dyDescent="0.25">
      <c r="A1884" t="s">
        <v>13</v>
      </c>
      <c r="B1884" t="s">
        <v>63</v>
      </c>
      <c r="C1884">
        <v>4</v>
      </c>
      <c r="D1884">
        <v>2</v>
      </c>
      <c r="E1884">
        <v>1</v>
      </c>
      <c r="F1884" s="1">
        <v>46230</v>
      </c>
      <c r="G1884" s="11" t="str">
        <f>_xlfn.TEXTJOIN("|",TRUE,D1884,TEXT(INT(E1884),"yyyymmdd"),F1884)</f>
        <v>2|19000101|46230</v>
      </c>
      <c r="H1884" s="19">
        <f>COUNTIF(GameLog[Pod ID],GameLog[[#This Row],[Pod ID]])</f>
        <v>4</v>
      </c>
      <c r="I1884" s="19">
        <f>YEAR(GameLog[[#This Row],[Date]])</f>
        <v>2026</v>
      </c>
      <c r="J1884" s="19">
        <f>MONTH(GameLog[[#This Row],[Date]])</f>
        <v>7</v>
      </c>
      <c r="K1884" s="19" t="str">
        <f>IF(GameLog[[#This Row],[Date]]=MAX(GameLog[Date]),"Current","Previous")</f>
        <v>Current</v>
      </c>
    </row>
    <row r="1885" spans="1:11" x14ac:dyDescent="0.25">
      <c r="A1885" t="s">
        <v>14</v>
      </c>
      <c r="B1885" t="s">
        <v>63</v>
      </c>
      <c r="C1885">
        <v>1</v>
      </c>
      <c r="D1885">
        <v>3</v>
      </c>
      <c r="E1885">
        <v>1</v>
      </c>
      <c r="F1885" s="1">
        <v>46230</v>
      </c>
      <c r="G1885" s="11" t="str">
        <f>_xlfn.TEXTJOIN("|",TRUE,D1885,TEXT(INT(E1885),"yyyymmdd"),F1885)</f>
        <v>3|19000101|46230</v>
      </c>
      <c r="H1885" s="19">
        <f>COUNTIF(GameLog[Pod ID],GameLog[[#This Row],[Pod ID]])</f>
        <v>4</v>
      </c>
      <c r="I1885" s="19">
        <f>YEAR(GameLog[[#This Row],[Date]])</f>
        <v>2026</v>
      </c>
      <c r="J1885" s="19">
        <f>MONTH(GameLog[[#This Row],[Date]])</f>
        <v>7</v>
      </c>
      <c r="K1885" s="19" t="str">
        <f>IF(GameLog[[#This Row],[Date]]=MAX(GameLog[Date]),"Current","Previous")</f>
        <v>Current</v>
      </c>
    </row>
    <row r="1886" spans="1:11" x14ac:dyDescent="0.25">
      <c r="A1886" t="s">
        <v>17</v>
      </c>
      <c r="B1886" t="s">
        <v>63</v>
      </c>
      <c r="C1886">
        <v>2</v>
      </c>
      <c r="D1886">
        <v>3</v>
      </c>
      <c r="E1886">
        <v>1</v>
      </c>
      <c r="F1886" s="1">
        <v>46230</v>
      </c>
      <c r="G1886" s="11" t="str">
        <f>_xlfn.TEXTJOIN("|",TRUE,D1886,TEXT(INT(E1886),"yyyymmdd"),F1886)</f>
        <v>3|19000101|46230</v>
      </c>
      <c r="H1886" s="19">
        <f>COUNTIF(GameLog[Pod ID],GameLog[[#This Row],[Pod ID]])</f>
        <v>4</v>
      </c>
      <c r="I1886" s="19">
        <f>YEAR(GameLog[[#This Row],[Date]])</f>
        <v>2026</v>
      </c>
      <c r="J1886" s="19">
        <f>MONTH(GameLog[[#This Row],[Date]])</f>
        <v>7</v>
      </c>
      <c r="K1886" s="19" t="str">
        <f>IF(GameLog[[#This Row],[Date]]=MAX(GameLog[Date]),"Current","Previous")</f>
        <v>Current</v>
      </c>
    </row>
    <row r="1887" spans="1:11" x14ac:dyDescent="0.25">
      <c r="A1887" t="s">
        <v>578</v>
      </c>
      <c r="B1887" t="s">
        <v>63</v>
      </c>
      <c r="C1887">
        <v>3</v>
      </c>
      <c r="D1887">
        <v>3</v>
      </c>
      <c r="E1887">
        <v>1</v>
      </c>
      <c r="F1887" s="1">
        <v>46230</v>
      </c>
      <c r="G1887" s="11" t="str">
        <f>_xlfn.TEXTJOIN("|",TRUE,D1887,TEXT(INT(E1887),"yyyymmdd"),F1887)</f>
        <v>3|19000101|46230</v>
      </c>
      <c r="H1887" s="19">
        <f>COUNTIF(GameLog[Pod ID],GameLog[[#This Row],[Pod ID]])</f>
        <v>4</v>
      </c>
      <c r="I1887" s="19">
        <f>YEAR(GameLog[[#This Row],[Date]])</f>
        <v>2026</v>
      </c>
      <c r="J1887" s="19">
        <f>MONTH(GameLog[[#This Row],[Date]])</f>
        <v>7</v>
      </c>
      <c r="K1887" s="19" t="str">
        <f>IF(GameLog[[#This Row],[Date]]=MAX(GameLog[Date]),"Current","Previous")</f>
        <v>Current</v>
      </c>
    </row>
    <row r="1888" spans="1:11" x14ac:dyDescent="0.25">
      <c r="A1888" t="s">
        <v>519</v>
      </c>
      <c r="B1888" t="s">
        <v>63</v>
      </c>
      <c r="C1888">
        <v>4</v>
      </c>
      <c r="D1888">
        <v>3</v>
      </c>
      <c r="E1888">
        <v>1</v>
      </c>
      <c r="F1888" s="1">
        <v>46230</v>
      </c>
      <c r="G1888" s="11" t="str">
        <f>_xlfn.TEXTJOIN("|",TRUE,D1888,TEXT(INT(E1888),"yyyymmdd"),F1888)</f>
        <v>3|19000101|46230</v>
      </c>
      <c r="H1888" s="19">
        <f>COUNTIF(GameLog[Pod ID],GameLog[[#This Row],[Pod ID]])</f>
        <v>4</v>
      </c>
      <c r="I1888" s="19">
        <f>YEAR(GameLog[[#This Row],[Date]])</f>
        <v>2026</v>
      </c>
      <c r="J1888" s="19">
        <f>MONTH(GameLog[[#This Row],[Date]])</f>
        <v>7</v>
      </c>
      <c r="K1888" s="19" t="str">
        <f>IF(GameLog[[#This Row],[Date]]=MAX(GameLog[Date]),"Current","Previous")</f>
        <v>Current</v>
      </c>
    </row>
    <row r="1889" spans="1:11" x14ac:dyDescent="0.25">
      <c r="A1889" t="s">
        <v>326</v>
      </c>
      <c r="B1889" t="s">
        <v>6</v>
      </c>
      <c r="C1889">
        <v>1</v>
      </c>
      <c r="D1889">
        <v>4</v>
      </c>
      <c r="E1889">
        <v>1</v>
      </c>
      <c r="F1889" s="1">
        <v>46230</v>
      </c>
      <c r="G1889" s="11" t="str">
        <f>_xlfn.TEXTJOIN("|",TRUE,D1889,TEXT(INT(E1889),"yyyymmdd"),F1889)</f>
        <v>4|19000101|46230</v>
      </c>
      <c r="H1889" s="19">
        <f>COUNTIF(GameLog[Pod ID],GameLog[[#This Row],[Pod ID]])</f>
        <v>3</v>
      </c>
      <c r="I1889" s="19">
        <f>YEAR(GameLog[[#This Row],[Date]])</f>
        <v>2026</v>
      </c>
      <c r="J1889" s="19">
        <f>MONTH(GameLog[[#This Row],[Date]])</f>
        <v>7</v>
      </c>
      <c r="K1889" s="19" t="str">
        <f>IF(GameLog[[#This Row],[Date]]=MAX(GameLog[Date]),"Current","Previous")</f>
        <v>Current</v>
      </c>
    </row>
    <row r="1890" spans="1:11" x14ac:dyDescent="0.25">
      <c r="A1890" t="s">
        <v>28</v>
      </c>
      <c r="B1890" t="s">
        <v>8</v>
      </c>
      <c r="C1890">
        <v>2</v>
      </c>
      <c r="D1890">
        <v>4</v>
      </c>
      <c r="E1890">
        <v>1</v>
      </c>
      <c r="F1890" s="1">
        <v>46230</v>
      </c>
      <c r="G1890" s="11" t="str">
        <f>_xlfn.TEXTJOIN("|",TRUE,D1890,TEXT(INT(E1890),"yyyymmdd"),F1890)</f>
        <v>4|19000101|46230</v>
      </c>
      <c r="H1890" s="19">
        <f>COUNTIF(GameLog[Pod ID],GameLog[[#This Row],[Pod ID]])</f>
        <v>3</v>
      </c>
      <c r="I1890" s="19">
        <f>YEAR(GameLog[[#This Row],[Date]])</f>
        <v>2026</v>
      </c>
      <c r="J1890" s="19">
        <f>MONTH(GameLog[[#This Row],[Date]])</f>
        <v>7</v>
      </c>
      <c r="K1890" s="19" t="str">
        <f>IF(GameLog[[#This Row],[Date]]=MAX(GameLog[Date]),"Current","Previous")</f>
        <v>Current</v>
      </c>
    </row>
    <row r="1891" spans="1:11" x14ac:dyDescent="0.25">
      <c r="A1891" t="s">
        <v>7</v>
      </c>
      <c r="B1891" t="s">
        <v>6</v>
      </c>
      <c r="C1891">
        <v>3</v>
      </c>
      <c r="D1891">
        <v>4</v>
      </c>
      <c r="E1891">
        <v>1</v>
      </c>
      <c r="F1891" s="1">
        <v>46230</v>
      </c>
      <c r="G1891" s="11" t="str">
        <f>_xlfn.TEXTJOIN("|",TRUE,D1891,TEXT(INT(E1891),"yyyymmdd"),F1891)</f>
        <v>4|19000101|46230</v>
      </c>
      <c r="H1891" s="19">
        <f>COUNTIF(GameLog[Pod ID],GameLog[[#This Row],[Pod ID]])</f>
        <v>3</v>
      </c>
      <c r="I1891" s="19">
        <f>YEAR(GameLog[[#This Row],[Date]])</f>
        <v>2026</v>
      </c>
      <c r="J1891" s="19">
        <f>MONTH(GameLog[[#This Row],[Date]])</f>
        <v>7</v>
      </c>
      <c r="K1891" s="19" t="str">
        <f>IF(GameLog[[#This Row],[Date]]=MAX(GameLog[Date]),"Current","Previous")</f>
        <v>Current</v>
      </c>
    </row>
    <row r="1892" spans="1:11" x14ac:dyDescent="0.25">
      <c r="A1892" t="s">
        <v>540</v>
      </c>
      <c r="B1892" t="s">
        <v>6</v>
      </c>
      <c r="C1892">
        <v>1</v>
      </c>
      <c r="D1892">
        <v>5</v>
      </c>
      <c r="E1892">
        <v>1</v>
      </c>
      <c r="F1892" s="1">
        <v>46230</v>
      </c>
      <c r="G1892" s="11" t="str">
        <f>_xlfn.TEXTJOIN("|",TRUE,D1892,TEXT(INT(E1892),"yyyymmdd"),F1892)</f>
        <v>5|19000101|46230</v>
      </c>
      <c r="H1892" s="19">
        <f>COUNTIF(GameLog[Pod ID],GameLog[[#This Row],[Pod ID]])</f>
        <v>3</v>
      </c>
      <c r="I1892" s="19">
        <f>YEAR(GameLog[[#This Row],[Date]])</f>
        <v>2026</v>
      </c>
      <c r="J1892" s="19">
        <f>MONTH(GameLog[[#This Row],[Date]])</f>
        <v>7</v>
      </c>
      <c r="K1892" s="19" t="str">
        <f>IF(GameLog[[#This Row],[Date]]=MAX(GameLog[Date]),"Current","Previous")</f>
        <v>Current</v>
      </c>
    </row>
    <row r="1893" spans="1:11" x14ac:dyDescent="0.25">
      <c r="A1893" t="s">
        <v>41</v>
      </c>
      <c r="B1893" t="s">
        <v>6</v>
      </c>
      <c r="C1893">
        <v>2</v>
      </c>
      <c r="D1893">
        <v>5</v>
      </c>
      <c r="E1893">
        <v>1</v>
      </c>
      <c r="F1893" s="1">
        <v>46230</v>
      </c>
      <c r="G1893" s="11" t="str">
        <f>_xlfn.TEXTJOIN("|",TRUE,D1893,TEXT(INT(E1893),"yyyymmdd"),F1893)</f>
        <v>5|19000101|46230</v>
      </c>
      <c r="H1893" s="19">
        <f>COUNTIF(GameLog[Pod ID],GameLog[[#This Row],[Pod ID]])</f>
        <v>3</v>
      </c>
      <c r="I1893" s="19">
        <f>YEAR(GameLog[[#This Row],[Date]])</f>
        <v>2026</v>
      </c>
      <c r="J1893" s="19">
        <f>MONTH(GameLog[[#This Row],[Date]])</f>
        <v>7</v>
      </c>
      <c r="K1893" s="19" t="str">
        <f>IF(GameLog[[#This Row],[Date]]=MAX(GameLog[Date]),"Current","Previous")</f>
        <v>Current</v>
      </c>
    </row>
    <row r="1894" spans="1:11" x14ac:dyDescent="0.25">
      <c r="A1894" t="s">
        <v>325</v>
      </c>
      <c r="B1894" t="s">
        <v>8</v>
      </c>
      <c r="C1894">
        <v>3</v>
      </c>
      <c r="D1894">
        <v>5</v>
      </c>
      <c r="E1894">
        <v>1</v>
      </c>
      <c r="F1894" s="1">
        <v>46230</v>
      </c>
      <c r="G1894" s="11" t="str">
        <f>_xlfn.TEXTJOIN("|",TRUE,D1894,TEXT(INT(E1894),"yyyymmdd"),F1894)</f>
        <v>5|19000101|46230</v>
      </c>
      <c r="H1894" s="19">
        <f>COUNTIF(GameLog[Pod ID],GameLog[[#This Row],[Pod ID]])</f>
        <v>3</v>
      </c>
      <c r="I1894" s="19">
        <f>YEAR(GameLog[[#This Row],[Date]])</f>
        <v>2026</v>
      </c>
      <c r="J1894" s="19">
        <f>MONTH(GameLog[[#This Row],[Date]])</f>
        <v>7</v>
      </c>
      <c r="K1894" s="19" t="str">
        <f>IF(GameLog[[#This Row],[Date]]=MAX(GameLog[Date]),"Current","Previous")</f>
        <v>Current</v>
      </c>
    </row>
    <row r="1895" spans="1:11" x14ac:dyDescent="0.25">
      <c r="A1895" t="s">
        <v>325</v>
      </c>
      <c r="B1895" t="s">
        <v>6</v>
      </c>
      <c r="C1895">
        <v>1</v>
      </c>
      <c r="D1895">
        <v>1</v>
      </c>
      <c r="E1895">
        <v>2</v>
      </c>
      <c r="F1895" s="1">
        <v>46230</v>
      </c>
      <c r="G1895" s="11" t="str">
        <f>_xlfn.TEXTJOIN("|",TRUE,D1895,TEXT(INT(E1895),"yyyymmdd"),F1895)</f>
        <v>1|19000102|46230</v>
      </c>
      <c r="H1895" s="19">
        <f>COUNTIF(GameLog[Pod ID],GameLog[[#This Row],[Pod ID]])</f>
        <v>4</v>
      </c>
      <c r="I1895" s="19">
        <f>YEAR(GameLog[[#This Row],[Date]])</f>
        <v>2026</v>
      </c>
      <c r="J1895" s="19">
        <f>MONTH(GameLog[[#This Row],[Date]])</f>
        <v>7</v>
      </c>
      <c r="K1895" s="19" t="str">
        <f>IF(GameLog[[#This Row],[Date]]=MAX(GameLog[Date]),"Current","Previous")</f>
        <v>Current</v>
      </c>
    </row>
    <row r="1896" spans="1:11" x14ac:dyDescent="0.25">
      <c r="A1896" t="s">
        <v>28</v>
      </c>
      <c r="B1896" t="s">
        <v>8</v>
      </c>
      <c r="C1896">
        <v>2</v>
      </c>
      <c r="D1896">
        <v>1</v>
      </c>
      <c r="E1896">
        <v>2</v>
      </c>
      <c r="F1896" s="1">
        <v>46230</v>
      </c>
      <c r="G1896" s="11" t="str">
        <f>_xlfn.TEXTJOIN("|",TRUE,D1896,TEXT(INT(E1896),"yyyymmdd"),F1896)</f>
        <v>1|19000102|46230</v>
      </c>
      <c r="H1896" s="19">
        <f>COUNTIF(GameLog[Pod ID],GameLog[[#This Row],[Pod ID]])</f>
        <v>4</v>
      </c>
      <c r="I1896" s="19">
        <f>YEAR(GameLog[[#This Row],[Date]])</f>
        <v>2026</v>
      </c>
      <c r="J1896" s="19">
        <f>MONTH(GameLog[[#This Row],[Date]])</f>
        <v>7</v>
      </c>
      <c r="K1896" s="19" t="str">
        <f>IF(GameLog[[#This Row],[Date]]=MAX(GameLog[Date]),"Current","Previous")</f>
        <v>Current</v>
      </c>
    </row>
    <row r="1897" spans="1:11" x14ac:dyDescent="0.25">
      <c r="A1897" t="s">
        <v>578</v>
      </c>
      <c r="B1897" t="s">
        <v>6</v>
      </c>
      <c r="C1897">
        <v>3</v>
      </c>
      <c r="D1897">
        <v>1</v>
      </c>
      <c r="E1897">
        <v>2</v>
      </c>
      <c r="F1897" s="1">
        <v>46230</v>
      </c>
      <c r="G1897" s="11" t="str">
        <f>_xlfn.TEXTJOIN("|",TRUE,D1897,TEXT(INT(E1897),"yyyymmdd"),F1897)</f>
        <v>1|19000102|46230</v>
      </c>
      <c r="H1897" s="19">
        <f>COUNTIF(GameLog[Pod ID],GameLog[[#This Row],[Pod ID]])</f>
        <v>4</v>
      </c>
      <c r="I1897" s="19">
        <f>YEAR(GameLog[[#This Row],[Date]])</f>
        <v>2026</v>
      </c>
      <c r="J1897" s="19">
        <f>MONTH(GameLog[[#This Row],[Date]])</f>
        <v>7</v>
      </c>
      <c r="K1897" s="19" t="str">
        <f>IF(GameLog[[#This Row],[Date]]=MAX(GameLog[Date]),"Current","Previous")</f>
        <v>Current</v>
      </c>
    </row>
    <row r="1898" spans="1:11" x14ac:dyDescent="0.25">
      <c r="A1898" t="s">
        <v>19</v>
      </c>
      <c r="B1898" t="s">
        <v>6</v>
      </c>
      <c r="C1898">
        <v>4</v>
      </c>
      <c r="D1898">
        <v>1</v>
      </c>
      <c r="E1898">
        <v>2</v>
      </c>
      <c r="F1898" s="1">
        <v>46230</v>
      </c>
      <c r="G1898" s="11" t="str">
        <f>_xlfn.TEXTJOIN("|",TRUE,D1898,TEXT(INT(E1898),"yyyymmdd"),F1898)</f>
        <v>1|19000102|46230</v>
      </c>
      <c r="H1898" s="19">
        <f>COUNTIF(GameLog[Pod ID],GameLog[[#This Row],[Pod ID]])</f>
        <v>4</v>
      </c>
      <c r="I1898" s="19">
        <f>YEAR(GameLog[[#This Row],[Date]])</f>
        <v>2026</v>
      </c>
      <c r="J1898" s="19">
        <f>MONTH(GameLog[[#This Row],[Date]])</f>
        <v>7</v>
      </c>
      <c r="K1898" s="19" t="str">
        <f>IF(GameLog[[#This Row],[Date]]=MAX(GameLog[Date]),"Current","Previous")</f>
        <v>Current</v>
      </c>
    </row>
    <row r="1899" spans="1:11" x14ac:dyDescent="0.25">
      <c r="A1899" t="s">
        <v>352</v>
      </c>
      <c r="B1899" t="s">
        <v>63</v>
      </c>
      <c r="C1899">
        <v>1</v>
      </c>
      <c r="D1899">
        <v>2</v>
      </c>
      <c r="E1899">
        <v>2</v>
      </c>
      <c r="F1899" s="1">
        <v>46230</v>
      </c>
      <c r="G1899" s="11" t="str">
        <f>_xlfn.TEXTJOIN("|",TRUE,D1899,TEXT(INT(E1899),"yyyymmdd"),F1899)</f>
        <v>2|19000102|46230</v>
      </c>
      <c r="H1899" s="19">
        <f>COUNTIF(GameLog[Pod ID],GameLog[[#This Row],[Pod ID]])</f>
        <v>4</v>
      </c>
      <c r="I1899" s="19">
        <f>YEAR(GameLog[[#This Row],[Date]])</f>
        <v>2026</v>
      </c>
      <c r="J1899" s="19">
        <f>MONTH(GameLog[[#This Row],[Date]])</f>
        <v>7</v>
      </c>
      <c r="K1899" s="19" t="str">
        <f>IF(GameLog[[#This Row],[Date]]=MAX(GameLog[Date]),"Current","Previous")</f>
        <v>Current</v>
      </c>
    </row>
    <row r="1900" spans="1:11" x14ac:dyDescent="0.25">
      <c r="A1900" t="s">
        <v>13</v>
      </c>
      <c r="B1900" t="s">
        <v>63</v>
      </c>
      <c r="C1900">
        <v>2</v>
      </c>
      <c r="D1900">
        <v>2</v>
      </c>
      <c r="E1900">
        <v>2</v>
      </c>
      <c r="F1900" s="1">
        <v>46230</v>
      </c>
      <c r="G1900" s="11" t="str">
        <f>_xlfn.TEXTJOIN("|",TRUE,D1900,TEXT(INT(E1900),"yyyymmdd"),F1900)</f>
        <v>2|19000102|46230</v>
      </c>
      <c r="H1900" s="19">
        <f>COUNTIF(GameLog[Pod ID],GameLog[[#This Row],[Pod ID]])</f>
        <v>4</v>
      </c>
      <c r="I1900" s="19">
        <f>YEAR(GameLog[[#This Row],[Date]])</f>
        <v>2026</v>
      </c>
      <c r="J1900" s="19">
        <f>MONTH(GameLog[[#This Row],[Date]])</f>
        <v>7</v>
      </c>
      <c r="K1900" s="19" t="str">
        <f>IF(GameLog[[#This Row],[Date]]=MAX(GameLog[Date]),"Current","Previous")</f>
        <v>Current</v>
      </c>
    </row>
    <row r="1901" spans="1:11" x14ac:dyDescent="0.25">
      <c r="A1901" t="s">
        <v>17</v>
      </c>
      <c r="B1901" t="s">
        <v>63</v>
      </c>
      <c r="C1901">
        <v>3</v>
      </c>
      <c r="D1901">
        <v>2</v>
      </c>
      <c r="E1901">
        <v>2</v>
      </c>
      <c r="F1901" s="1">
        <v>46230</v>
      </c>
      <c r="G1901" s="11" t="str">
        <f>_xlfn.TEXTJOIN("|",TRUE,D1901,TEXT(INT(E1901),"yyyymmdd"),F1901)</f>
        <v>2|19000102|46230</v>
      </c>
      <c r="H1901" s="19">
        <f>COUNTIF(GameLog[Pod ID],GameLog[[#This Row],[Pod ID]])</f>
        <v>4</v>
      </c>
      <c r="I1901" s="19">
        <f>YEAR(GameLog[[#This Row],[Date]])</f>
        <v>2026</v>
      </c>
      <c r="J1901" s="19">
        <f>MONTH(GameLog[[#This Row],[Date]])</f>
        <v>7</v>
      </c>
      <c r="K1901" s="19" t="str">
        <f>IF(GameLog[[#This Row],[Date]]=MAX(GameLog[Date]),"Current","Previous")</f>
        <v>Current</v>
      </c>
    </row>
    <row r="1902" spans="1:11" x14ac:dyDescent="0.25">
      <c r="A1902" t="s">
        <v>326</v>
      </c>
      <c r="B1902" t="s">
        <v>63</v>
      </c>
      <c r="C1902">
        <v>4</v>
      </c>
      <c r="D1902">
        <v>2</v>
      </c>
      <c r="E1902">
        <v>2</v>
      </c>
      <c r="F1902" s="1">
        <v>46230</v>
      </c>
      <c r="G1902" s="11" t="str">
        <f>_xlfn.TEXTJOIN("|",TRUE,D1902,TEXT(INT(E1902),"yyyymmdd"),F1902)</f>
        <v>2|19000102|46230</v>
      </c>
      <c r="H1902" s="19">
        <f>COUNTIF(GameLog[Pod ID],GameLog[[#This Row],[Pod ID]])</f>
        <v>4</v>
      </c>
      <c r="I1902" s="19">
        <f>YEAR(GameLog[[#This Row],[Date]])</f>
        <v>2026</v>
      </c>
      <c r="J1902" s="19">
        <f>MONTH(GameLog[[#This Row],[Date]])</f>
        <v>7</v>
      </c>
      <c r="K1902" s="19" t="str">
        <f>IF(GameLog[[#This Row],[Date]]=MAX(GameLog[Date]),"Current","Previous")</f>
        <v>Current</v>
      </c>
    </row>
    <row r="1903" spans="1:11" x14ac:dyDescent="0.25">
      <c r="A1903" t="s">
        <v>7</v>
      </c>
      <c r="B1903" t="s">
        <v>6</v>
      </c>
      <c r="C1903">
        <v>1</v>
      </c>
      <c r="D1903">
        <v>3</v>
      </c>
      <c r="E1903">
        <v>2</v>
      </c>
      <c r="F1903" s="1">
        <v>46230</v>
      </c>
      <c r="G1903" s="11" t="str">
        <f>_xlfn.TEXTJOIN("|",TRUE,D1903,TEXT(INT(E1903),"yyyymmdd"),F1903)</f>
        <v>3|19000102|46230</v>
      </c>
      <c r="H1903" s="19">
        <f>COUNTIF(GameLog[Pod ID],GameLog[[#This Row],[Pod ID]])</f>
        <v>4</v>
      </c>
      <c r="I1903" s="19">
        <f>YEAR(GameLog[[#This Row],[Date]])</f>
        <v>2026</v>
      </c>
      <c r="J1903" s="19">
        <f>MONTH(GameLog[[#This Row],[Date]])</f>
        <v>7</v>
      </c>
      <c r="K1903" s="19" t="str">
        <f>IF(GameLog[[#This Row],[Date]]=MAX(GameLog[Date]),"Current","Previous")</f>
        <v>Current</v>
      </c>
    </row>
    <row r="1904" spans="1:11" x14ac:dyDescent="0.25">
      <c r="A1904" t="s">
        <v>405</v>
      </c>
      <c r="B1904" t="s">
        <v>8</v>
      </c>
      <c r="C1904">
        <v>2</v>
      </c>
      <c r="D1904">
        <v>3</v>
      </c>
      <c r="E1904">
        <v>2</v>
      </c>
      <c r="F1904" s="1">
        <v>46230</v>
      </c>
      <c r="G1904" s="11" t="str">
        <f>_xlfn.TEXTJOIN("|",TRUE,D1904,TEXT(INT(E1904),"yyyymmdd"),F1904)</f>
        <v>3|19000102|46230</v>
      </c>
      <c r="H1904" s="19">
        <f>COUNTIF(GameLog[Pod ID],GameLog[[#This Row],[Pod ID]])</f>
        <v>4</v>
      </c>
      <c r="I1904" s="19">
        <f>YEAR(GameLog[[#This Row],[Date]])</f>
        <v>2026</v>
      </c>
      <c r="J1904" s="19">
        <f>MONTH(GameLog[[#This Row],[Date]])</f>
        <v>7</v>
      </c>
      <c r="K1904" s="19" t="str">
        <f>IF(GameLog[[#This Row],[Date]]=MAX(GameLog[Date]),"Current","Previous")</f>
        <v>Current</v>
      </c>
    </row>
    <row r="1905" spans="1:11" x14ac:dyDescent="0.25">
      <c r="A1905" t="s">
        <v>14</v>
      </c>
      <c r="B1905" t="s">
        <v>6</v>
      </c>
      <c r="C1905">
        <v>3</v>
      </c>
      <c r="D1905">
        <v>3</v>
      </c>
      <c r="E1905">
        <v>2</v>
      </c>
      <c r="F1905" s="1">
        <v>46230</v>
      </c>
      <c r="G1905" s="11" t="str">
        <f>_xlfn.TEXTJOIN("|",TRUE,D1905,TEXT(INT(E1905),"yyyymmdd"),F1905)</f>
        <v>3|19000102|46230</v>
      </c>
      <c r="H1905" s="19">
        <f>COUNTIF(GameLog[Pod ID],GameLog[[#This Row],[Pod ID]])</f>
        <v>4</v>
      </c>
      <c r="I1905" s="19">
        <f>YEAR(GameLog[[#This Row],[Date]])</f>
        <v>2026</v>
      </c>
      <c r="J1905" s="19">
        <f>MONTH(GameLog[[#This Row],[Date]])</f>
        <v>7</v>
      </c>
      <c r="K1905" s="19" t="str">
        <f>IF(GameLog[[#This Row],[Date]]=MAX(GameLog[Date]),"Current","Previous")</f>
        <v>Current</v>
      </c>
    </row>
    <row r="1906" spans="1:11" x14ac:dyDescent="0.25">
      <c r="A1906" t="s">
        <v>27</v>
      </c>
      <c r="B1906" t="s">
        <v>6</v>
      </c>
      <c r="C1906">
        <v>4</v>
      </c>
      <c r="D1906">
        <v>3</v>
      </c>
      <c r="E1906">
        <v>2</v>
      </c>
      <c r="F1906" s="1">
        <v>46230</v>
      </c>
      <c r="G1906" s="11" t="str">
        <f>_xlfn.TEXTJOIN("|",TRUE,D1906,TEXT(INT(E1906),"yyyymmdd"),F1906)</f>
        <v>3|19000102|46230</v>
      </c>
      <c r="H1906" s="19">
        <f>COUNTIF(GameLog[Pod ID],GameLog[[#This Row],[Pod ID]])</f>
        <v>4</v>
      </c>
      <c r="I1906" s="19">
        <f>YEAR(GameLog[[#This Row],[Date]])</f>
        <v>2026</v>
      </c>
      <c r="J1906" s="19">
        <f>MONTH(GameLog[[#This Row],[Date]])</f>
        <v>7</v>
      </c>
      <c r="K1906" s="19" t="str">
        <f>IF(GameLog[[#This Row],[Date]]=MAX(GameLog[Date]),"Current","Previous")</f>
        <v>Current</v>
      </c>
    </row>
    <row r="1907" spans="1:11" x14ac:dyDescent="0.25">
      <c r="A1907" t="s">
        <v>519</v>
      </c>
      <c r="B1907" t="s">
        <v>8</v>
      </c>
      <c r="C1907">
        <v>1</v>
      </c>
      <c r="D1907">
        <v>4</v>
      </c>
      <c r="E1907">
        <v>2</v>
      </c>
      <c r="F1907" s="1">
        <v>46230</v>
      </c>
      <c r="G1907" s="11" t="str">
        <f>_xlfn.TEXTJOIN("|",TRUE,D1907,TEXT(INT(E1907),"yyyymmdd"),F1907)</f>
        <v>4|19000102|46230</v>
      </c>
      <c r="H1907" s="19">
        <f>COUNTIF(GameLog[Pod ID],GameLog[[#This Row],[Pod ID]])</f>
        <v>3</v>
      </c>
      <c r="I1907" s="19">
        <f>YEAR(GameLog[[#This Row],[Date]])</f>
        <v>2026</v>
      </c>
      <c r="J1907" s="19">
        <f>MONTH(GameLog[[#This Row],[Date]])</f>
        <v>7</v>
      </c>
      <c r="K1907" s="19" t="str">
        <f>IF(GameLog[[#This Row],[Date]]=MAX(GameLog[Date]),"Current","Previous")</f>
        <v>Current</v>
      </c>
    </row>
    <row r="1908" spans="1:11" x14ac:dyDescent="0.25">
      <c r="A1908" t="s">
        <v>540</v>
      </c>
      <c r="B1908" t="s">
        <v>6</v>
      </c>
      <c r="C1908">
        <v>2</v>
      </c>
      <c r="D1908">
        <v>4</v>
      </c>
      <c r="E1908">
        <v>2</v>
      </c>
      <c r="F1908" s="1">
        <v>46230</v>
      </c>
      <c r="G1908" s="11" t="str">
        <f>_xlfn.TEXTJOIN("|",TRUE,D1908,TEXT(INT(E1908),"yyyymmdd"),F1908)</f>
        <v>4|19000102|46230</v>
      </c>
      <c r="H1908" s="19">
        <f>COUNTIF(GameLog[Pod ID],GameLog[[#This Row],[Pod ID]])</f>
        <v>3</v>
      </c>
      <c r="I1908" s="19">
        <f>YEAR(GameLog[[#This Row],[Date]])</f>
        <v>2026</v>
      </c>
      <c r="J1908" s="19">
        <f>MONTH(GameLog[[#This Row],[Date]])</f>
        <v>7</v>
      </c>
      <c r="K1908" s="19" t="str">
        <f>IF(GameLog[[#This Row],[Date]]=MAX(GameLog[Date]),"Current","Previous")</f>
        <v>Current</v>
      </c>
    </row>
    <row r="1909" spans="1:11" x14ac:dyDescent="0.25">
      <c r="A1909" t="s">
        <v>51</v>
      </c>
      <c r="B1909" t="s">
        <v>6</v>
      </c>
      <c r="C1909">
        <v>3</v>
      </c>
      <c r="D1909">
        <v>4</v>
      </c>
      <c r="E1909">
        <v>2</v>
      </c>
      <c r="F1909" s="1">
        <v>46230</v>
      </c>
      <c r="G1909" s="11" t="str">
        <f>_xlfn.TEXTJOIN("|",TRUE,D1909,TEXT(INT(E1909),"yyyymmdd"),F1909)</f>
        <v>4|19000102|46230</v>
      </c>
      <c r="H1909" s="19">
        <f>COUNTIF(GameLog[Pod ID],GameLog[[#This Row],[Pod ID]])</f>
        <v>3</v>
      </c>
      <c r="I1909" s="19">
        <f>YEAR(GameLog[[#This Row],[Date]])</f>
        <v>2026</v>
      </c>
      <c r="J1909" s="19">
        <f>MONTH(GameLog[[#This Row],[Date]])</f>
        <v>7</v>
      </c>
      <c r="K1909" s="19" t="str">
        <f>IF(GameLog[[#This Row],[Date]]=MAX(GameLog[Date]),"Current","Previous")</f>
        <v>Current</v>
      </c>
    </row>
    <row r="1910" spans="1:11" x14ac:dyDescent="0.25">
      <c r="A1910" t="s">
        <v>41</v>
      </c>
      <c r="B1910" t="s">
        <v>6</v>
      </c>
      <c r="C1910">
        <v>1</v>
      </c>
      <c r="D1910">
        <v>5</v>
      </c>
      <c r="E1910">
        <v>2</v>
      </c>
      <c r="F1910" s="1">
        <v>46230</v>
      </c>
      <c r="G1910" s="11" t="str">
        <f>_xlfn.TEXTJOIN("|",TRUE,D1910,TEXT(INT(E1910),"yyyymmdd"),F1910)</f>
        <v>5|19000102|46230</v>
      </c>
      <c r="H1910" s="19">
        <f>COUNTIF(GameLog[Pod ID],GameLog[[#This Row],[Pod ID]])</f>
        <v>3</v>
      </c>
      <c r="I1910" s="19">
        <f>YEAR(GameLog[[#This Row],[Date]])</f>
        <v>2026</v>
      </c>
      <c r="J1910" s="19">
        <f>MONTH(GameLog[[#This Row],[Date]])</f>
        <v>7</v>
      </c>
      <c r="K1910" s="19" t="str">
        <f>IF(GameLog[[#This Row],[Date]]=MAX(GameLog[Date]),"Current","Previous")</f>
        <v>Current</v>
      </c>
    </row>
    <row r="1911" spans="1:11" x14ac:dyDescent="0.25">
      <c r="A1911" t="s">
        <v>609</v>
      </c>
      <c r="B1911" t="s">
        <v>6</v>
      </c>
      <c r="C1911">
        <v>2</v>
      </c>
      <c r="D1911">
        <v>5</v>
      </c>
      <c r="E1911">
        <v>2</v>
      </c>
      <c r="F1911" s="1">
        <v>46230</v>
      </c>
      <c r="G1911" s="11" t="str">
        <f>_xlfn.TEXTJOIN("|",TRUE,D1911,TEXT(INT(E1911),"yyyymmdd"),F1911)</f>
        <v>5|19000102|46230</v>
      </c>
      <c r="H1911" s="19">
        <f>COUNTIF(GameLog[Pod ID],GameLog[[#This Row],[Pod ID]])</f>
        <v>3</v>
      </c>
      <c r="I1911" s="19">
        <f>YEAR(GameLog[[#This Row],[Date]])</f>
        <v>2026</v>
      </c>
      <c r="J1911" s="19">
        <f>MONTH(GameLog[[#This Row],[Date]])</f>
        <v>7</v>
      </c>
      <c r="K1911" s="19" t="str">
        <f>IF(GameLog[[#This Row],[Date]]=MAX(GameLog[Date]),"Current","Previous")</f>
        <v>Current</v>
      </c>
    </row>
    <row r="1912" spans="1:11" x14ac:dyDescent="0.25">
      <c r="A1912" t="s">
        <v>351</v>
      </c>
      <c r="B1912" t="s">
        <v>8</v>
      </c>
      <c r="C1912">
        <v>3</v>
      </c>
      <c r="D1912">
        <v>5</v>
      </c>
      <c r="E1912">
        <v>2</v>
      </c>
      <c r="F1912" s="1">
        <v>46230</v>
      </c>
      <c r="G1912" s="11" t="str">
        <f>_xlfn.TEXTJOIN("|",TRUE,D1912,TEXT(INT(E1912),"yyyymmdd"),F1912)</f>
        <v>5|19000102|46230</v>
      </c>
      <c r="H1912" s="19">
        <f>COUNTIF(GameLog[Pod ID],GameLog[[#This Row],[Pod ID]])</f>
        <v>3</v>
      </c>
      <c r="I1912" s="19">
        <f>YEAR(GameLog[[#This Row],[Date]])</f>
        <v>2026</v>
      </c>
      <c r="J1912" s="19">
        <f>MONTH(GameLog[[#This Row],[Date]])</f>
        <v>7</v>
      </c>
      <c r="K1912"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485"/>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2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2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2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2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2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2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2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2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2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2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2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2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2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2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2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2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2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2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2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2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2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2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2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2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2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2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2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2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2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2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2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2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2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2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2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2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2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2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2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2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2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2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2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2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2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2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2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2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2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2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2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2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2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2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2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2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2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2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2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2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2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2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2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2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2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2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2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2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2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2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2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2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2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2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2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2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2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2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2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2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2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2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2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2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2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2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2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2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2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2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2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2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2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2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2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2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2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2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2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2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2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2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2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2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2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2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2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2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2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2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2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2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2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2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2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2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2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2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2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2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2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2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2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2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2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2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2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2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2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2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2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2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2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2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2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2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2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2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2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2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2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2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2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2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2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2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2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2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2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2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2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2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2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2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2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2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2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2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2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2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2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2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2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2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2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2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2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2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2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2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2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2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2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2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2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2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2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2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2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2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2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2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2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2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2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2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2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2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2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2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2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2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2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2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2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2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2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2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2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2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2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2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2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2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2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2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2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2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2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2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2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2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2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2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2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2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2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2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2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2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2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2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2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2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2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2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2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2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2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2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2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2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2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2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2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2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2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2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2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2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2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2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2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2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2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2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2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2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2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2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2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2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2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2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2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2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2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2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2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2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2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2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2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2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2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2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2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2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2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2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2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2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2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2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2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2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2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2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2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2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2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2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2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2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2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2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2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2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2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2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2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2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2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2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2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2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2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2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2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2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2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2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2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2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2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2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2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2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2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2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2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2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2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2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2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2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2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2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2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2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2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2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2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2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2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2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2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2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2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2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2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2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2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2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2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2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2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2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2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2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2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2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2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2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2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2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2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2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2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2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2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2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2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2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2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2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2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2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2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2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2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2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2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2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2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2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2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2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2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2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2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2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2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2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2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2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2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2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2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2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2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2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2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2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2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2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2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2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2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2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2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2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2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2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2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2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2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2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2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2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2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2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2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2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2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2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2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2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2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2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2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2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2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2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2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2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2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2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2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2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2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2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2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2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2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2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2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2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2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2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2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2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2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2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2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2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2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2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2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2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2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2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2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2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2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2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2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2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2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2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2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2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2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2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2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2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2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2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2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2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2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2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2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2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2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2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2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2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2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2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2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2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2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2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2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2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2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2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2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2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2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2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2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2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2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2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2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2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2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2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2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2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2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2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2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2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2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2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2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2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2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2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2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2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2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2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2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2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2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2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2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2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2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2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2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2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2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2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2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2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2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2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2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2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2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2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2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2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2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2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2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2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2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2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2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2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2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2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2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2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2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2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2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2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2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2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2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2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2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2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2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2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2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2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2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2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2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2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2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2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2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2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2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2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2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2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2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2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2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2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2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2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2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2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2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2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2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2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2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2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2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2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2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2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2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2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2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2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2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2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2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2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2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2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2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2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2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2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2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2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2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2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2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2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2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2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2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2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2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2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2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2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2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2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2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2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2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2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2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2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2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2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2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2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2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2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2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2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2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2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2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2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2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2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2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2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2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2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2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2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2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2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2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2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2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2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2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2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2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2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2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2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2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2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2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2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2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2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2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2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2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2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2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2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2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2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2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2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2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2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2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2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2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2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2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2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2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2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2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2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2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2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2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2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2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2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2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2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2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2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2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2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2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2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2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2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2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2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2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2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2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2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2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2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2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2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2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2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2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2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2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2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2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2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2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2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2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2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2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2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2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2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2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2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2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2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2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2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2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2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2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2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2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2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2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2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2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2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2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2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2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2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2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2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2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2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2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2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2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2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2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2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2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2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2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2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2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2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2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2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2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2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2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2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2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2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2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2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2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2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2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2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2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2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2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2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2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2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2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2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2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2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2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2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2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2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2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2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2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2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2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2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2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2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2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2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2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2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2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2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2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2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2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2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2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2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2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2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2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2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2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2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2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2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2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2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2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2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2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2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2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2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2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2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2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2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2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2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2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2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2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2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2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2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2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2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2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2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2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2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2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2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2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2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2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2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2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2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2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2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2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2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2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2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2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2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2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2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2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2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2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2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2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2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2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2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2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2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2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2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2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2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2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2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2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2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2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2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2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2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2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2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2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2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2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2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2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2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2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2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2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2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2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2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2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2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2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2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2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2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2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2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2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2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2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2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2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2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2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2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2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2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2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2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2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2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2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2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2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2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2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2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2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2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2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2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2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2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2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2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2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2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2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2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2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2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2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2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2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2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2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2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2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2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2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2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2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2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2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2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2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2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2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2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2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2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2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2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2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2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2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2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2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2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2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2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2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2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2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2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2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2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2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2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2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2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2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2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2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2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2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2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2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2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2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2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2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2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2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2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2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2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2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2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2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2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2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2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2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2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2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2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2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2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2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2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2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2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2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2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2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2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2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2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2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2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2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2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2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2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2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2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2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2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2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2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2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2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2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2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2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2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2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2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2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2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2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2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2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2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2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2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2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2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2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2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2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2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2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2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2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2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2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2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2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2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2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2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2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2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2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2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2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2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2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2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2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2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2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2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2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2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2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2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2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2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2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2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2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2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2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2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2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2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2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2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2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2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2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2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2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2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2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2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2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2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2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2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2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2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2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2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2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2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2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2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2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2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2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2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2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2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2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2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2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2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2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2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2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2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2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2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2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2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2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2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2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2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2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2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2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2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2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2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2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2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2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2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2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2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2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2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2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2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2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2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2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2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2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2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2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2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2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2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2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2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2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2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2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2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2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2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2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2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2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2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2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2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2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2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2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2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2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2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2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2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2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2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2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2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2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2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2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2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2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2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2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2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2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2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2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2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2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2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2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2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2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2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2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2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2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2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2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2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2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2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2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2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2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2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2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2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2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2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2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2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2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2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2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2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2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2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2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2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2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2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2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2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2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2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2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2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2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2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2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2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2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2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2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2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2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2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2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2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2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2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2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2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2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2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2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2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2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2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2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2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2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2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2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2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2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2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2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2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2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2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2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2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2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2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2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2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2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2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2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2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2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2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2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2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2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2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2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2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2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2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2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2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2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2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2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2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2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2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2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2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2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2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2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2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2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2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2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2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2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2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2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2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2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2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2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2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2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2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2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2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2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2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2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2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2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2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2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2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2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2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2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2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2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2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2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2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2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2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2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2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2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2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2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2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2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2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2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2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2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2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2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2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2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2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2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2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2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2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2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2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2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2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2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2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2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2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2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2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2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2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2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2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2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2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2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2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2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2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2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2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2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2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2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2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2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2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2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2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2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2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2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2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2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2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2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2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2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2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2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2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2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2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2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2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2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2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2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2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2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2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2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2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2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2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2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2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2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2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2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2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2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2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2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2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2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2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2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2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2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2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2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2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2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2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2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2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2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2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2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2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2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2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2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2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2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2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2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2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2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2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2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2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2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2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2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2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2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2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2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2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2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2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2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2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2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2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2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2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2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2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2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2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2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2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2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2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2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2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2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2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2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2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2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2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2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2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2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2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2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2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2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2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2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2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2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2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2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2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2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2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2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2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2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2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2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2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2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2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2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2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2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2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2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2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2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2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2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2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2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2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2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2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2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2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2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2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2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2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2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2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2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2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2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2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2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2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2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2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2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2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2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2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2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2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2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2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2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2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2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2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2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2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2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2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2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2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2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2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2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2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2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2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2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2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2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2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2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2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2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2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2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2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2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2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2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2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2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2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2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2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2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2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2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2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2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2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2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2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2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2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2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2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2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2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2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2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2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2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2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2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2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2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2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2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2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2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2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2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2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2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2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2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2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2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2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2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2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2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2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2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2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2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2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2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2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2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2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2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2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2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2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2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2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2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2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2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2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2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2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2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2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2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2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2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2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2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2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2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2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2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2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2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2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2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2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2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2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2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2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2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2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2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2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2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2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2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2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2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2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2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2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2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2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2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2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2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2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2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2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2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2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2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2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2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2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2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2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2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2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2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2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2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2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2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2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2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2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2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2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2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2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2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2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2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2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2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2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2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2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2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2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2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2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2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2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2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2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2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2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2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2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2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2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2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2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2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2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2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2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2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2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2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2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2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2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2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2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2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2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2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2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2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2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2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2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2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2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2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2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2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2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2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2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2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2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2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2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2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2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2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2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2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2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2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2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2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2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2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2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2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2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2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2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2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2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2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2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2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2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2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2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2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2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2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2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2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2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2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2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2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2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2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2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2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2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2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2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2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2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2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2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2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2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2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2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2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2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2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2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2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2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2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2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2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2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2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2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2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2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2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2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2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2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2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2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2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2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2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2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2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2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2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2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2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2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2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2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2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2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2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2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2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2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2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2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2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2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2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2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2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2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2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2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2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2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2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2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2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2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2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2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2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2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2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2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2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2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2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2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2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2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2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2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2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2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2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2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2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2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2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2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2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2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2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2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2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2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2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2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2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2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2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2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2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2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2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2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2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2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2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2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2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2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2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2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2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2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2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2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2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2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2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2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2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2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2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2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2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2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2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2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2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2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2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2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2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2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2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2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2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2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2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2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2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2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2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2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2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2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2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2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2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2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2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2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2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2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2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2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2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2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2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2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2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2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2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2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2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2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2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2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2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2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2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2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2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2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2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2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2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2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2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2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2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2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2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2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2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2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2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2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2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2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2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2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2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2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2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2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2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2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2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2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2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2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2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2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2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2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2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2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2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2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2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2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2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2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2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2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2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2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2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2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2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2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2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2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2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2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2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2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2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2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2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2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2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2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2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2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2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2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2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2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2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2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2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2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2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2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2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2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2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2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2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2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2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2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2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2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2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2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2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2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2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2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2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2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2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2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2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2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2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2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2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2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2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2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2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2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2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2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2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2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2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2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2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2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2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2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2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2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2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2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2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2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2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2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2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2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2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2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2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2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2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2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2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2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2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2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2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2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2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2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2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2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2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2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2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2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2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2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2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2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2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2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2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2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2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2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2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2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2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2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2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2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2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2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2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2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2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2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2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2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2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2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2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2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2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2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2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2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2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2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2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2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2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2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2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2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2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2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2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2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2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2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2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2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2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2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2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2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2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2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2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2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2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2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2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2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2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2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2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2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2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2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2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2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2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2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2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2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2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2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2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2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2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2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2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2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2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2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2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2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2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2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2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2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2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2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2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2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2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2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2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2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2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2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2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2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2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2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2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2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2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2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2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2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2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2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2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2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2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2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2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2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2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2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2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2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2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2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2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2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2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2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2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2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2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2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2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2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2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2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2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2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2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2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2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2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2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2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2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2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2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2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2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2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2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2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2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2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2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2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2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2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2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2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2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2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2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2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2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2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2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2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2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2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2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2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2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2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2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2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2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2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2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2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2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2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2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2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2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2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2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2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2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2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2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2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2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2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2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2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2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2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2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2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2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2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2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2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2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2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2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2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2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2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2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2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2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2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2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2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2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2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2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2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2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2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2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2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2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2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2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2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2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2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2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2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2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2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2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2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2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2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2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2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2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2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2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2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2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2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2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2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2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2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2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2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2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2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2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2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2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2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2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2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2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2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2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2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2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2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2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2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2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2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2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2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2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2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2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2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2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2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2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2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2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2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2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2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2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2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2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2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2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2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2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2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2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2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2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2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2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2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2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2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2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2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2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2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2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2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2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2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2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2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2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2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2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2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2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2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2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2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2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2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2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2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2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2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2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2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2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2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2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2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2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2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2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2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2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2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2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2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2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2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2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2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2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2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2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2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2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2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2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2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2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2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2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2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2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2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2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2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2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2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2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2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2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2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2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2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2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2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2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2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2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2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2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2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2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2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2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2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2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2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2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2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2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2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2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2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2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2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2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2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2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2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2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2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2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2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2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2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2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2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2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2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2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2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2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2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2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2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2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2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2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2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2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2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2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2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2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2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2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2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2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2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2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2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2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2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2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2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2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2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2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2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2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2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2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2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2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2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2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2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2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2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2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2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2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2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2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2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2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2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2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2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2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2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2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2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2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2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2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2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2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2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2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2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2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2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2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2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2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2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2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2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2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2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2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2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2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2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2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2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2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2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2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2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2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2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2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2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2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2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2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2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2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2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2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2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2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2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2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2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2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2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2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2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2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2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2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2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2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2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2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2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2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2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2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2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2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2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2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2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2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2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2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2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2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2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2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2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2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2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2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2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2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2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2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2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2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2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2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2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2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2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2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2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2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2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2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2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2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2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2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2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2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2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2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2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2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2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2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2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2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2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2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2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2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2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2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2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2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2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2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2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2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2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2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2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2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2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2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2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2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2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2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2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2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2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2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2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2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2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2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2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2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2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2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2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2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2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2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2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2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2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2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2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2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2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2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2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2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2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2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2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2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2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2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2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2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2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2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2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2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2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2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2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2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2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2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2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2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2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2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2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2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2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2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2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2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2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2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2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2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2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2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2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2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2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2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2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2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2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2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2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2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2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2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2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2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2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2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2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2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2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2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2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2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2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2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2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2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2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2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2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2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2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2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2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2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2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2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2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2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2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2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2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2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2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2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2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2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2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2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2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2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2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2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2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2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2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2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2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2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2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2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2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2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2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2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2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2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2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2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2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2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2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2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2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2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2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2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2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2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2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2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2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2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2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2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2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2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2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2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2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2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2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2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2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2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2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2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2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2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2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2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2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2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2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2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2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2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2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2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2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2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2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2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2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2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2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2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2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2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2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2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2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2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2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2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2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2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2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2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2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2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2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2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2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2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2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2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2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2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2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2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2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2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2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2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2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2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2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2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2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2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2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2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2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2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2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2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2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2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2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2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2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2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2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2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2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2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2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2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2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2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2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2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2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2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2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2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2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2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2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2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2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2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2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2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2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2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2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2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2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2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2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2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2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2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2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2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2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2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2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2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2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2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2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2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2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2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2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2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2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2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2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2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2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2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2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2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2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2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2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2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2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2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2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2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2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2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2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2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2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2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2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2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2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2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2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2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2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2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2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2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2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2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2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2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2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2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2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2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2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2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2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2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2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2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2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2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2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2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2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2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2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2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2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2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2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2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2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2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2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2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2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2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2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2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2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2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2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2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2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2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2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2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2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2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2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2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2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2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2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2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2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2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2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2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2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2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2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2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2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2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2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2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2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2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2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2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2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2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2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2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2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2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2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2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2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2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2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2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2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2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2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2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2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2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2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2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2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2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2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2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2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2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2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2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2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2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2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2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2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2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2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2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2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2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2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2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2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2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2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2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2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2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2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2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2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2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2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2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2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2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2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2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2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2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2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2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2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2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2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2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2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2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2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2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2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2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2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2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2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2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2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2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2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2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2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2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2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2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2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2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2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2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2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2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2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2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2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2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2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2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2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2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2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2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2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2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2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2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2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2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2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2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2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2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2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2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2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2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2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2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2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2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2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2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2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2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2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2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2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2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2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2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2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2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2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2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2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2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2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2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2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2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2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2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2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2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2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2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2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2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2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2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2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2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2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2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2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2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2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2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2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2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2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2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2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2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2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2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2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2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2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2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2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2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2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2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2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2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2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2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2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2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2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2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2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2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2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2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2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2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2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2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2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2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2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2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2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2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2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2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2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2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2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2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2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2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2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2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2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2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2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2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2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2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2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2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2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2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2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2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2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2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2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2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2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2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2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2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2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2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2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2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2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2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2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2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2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2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2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2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2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2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2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2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2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2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2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2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2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2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2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2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2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2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2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2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2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2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2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2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2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2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2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2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2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2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2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2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2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2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2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2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2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2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2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2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2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2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2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2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2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2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2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2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2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2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2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2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2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2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2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2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2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2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2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2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2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2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2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2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2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2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2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2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2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2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2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2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2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2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2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2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2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2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2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2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2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2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2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2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2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2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2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2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2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2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2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2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2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2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2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2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2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2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2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2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2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2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2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2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2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2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2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2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2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2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2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2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2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2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2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2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2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2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2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2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2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2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2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2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2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2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2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2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2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2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2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2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2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2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2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2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2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2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2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2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2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2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2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2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2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2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2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2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2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2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2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2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2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2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2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2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2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2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2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2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2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2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2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2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2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2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2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2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2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2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2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2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2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2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2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2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2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2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2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2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2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2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2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2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2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2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2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2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2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2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2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2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2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2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2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2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2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2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2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2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2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2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2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2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2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2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2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2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2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2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2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2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2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2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2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2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2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2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2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2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2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2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2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2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2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2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2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2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2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2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2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2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2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2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2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2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2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2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2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2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2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2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2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2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2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2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2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2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2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2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2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2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2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2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2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2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2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2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2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2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2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2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2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2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2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2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2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2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2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2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2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2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2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2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2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2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2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2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2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2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2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2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2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2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2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2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2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2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2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2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2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2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2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2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2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2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2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2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2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2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2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2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2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2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2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2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2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2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2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2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2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2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2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2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2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2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2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2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2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2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2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2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2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2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2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2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2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2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2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2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2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2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2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2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2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2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2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2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2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2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2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2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2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2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2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2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2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2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2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2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2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2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2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2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2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2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2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2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2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2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2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2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2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2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2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2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2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2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2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2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2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2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2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2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2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2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2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2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2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2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2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2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2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2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2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2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2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2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2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2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2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2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2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2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2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2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2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2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2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2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2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2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2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2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2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2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2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2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2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2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2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2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2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2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2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2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2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2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2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2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2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2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2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2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2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2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2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2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2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2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2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2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2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2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2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2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2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2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2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2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2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2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2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2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2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2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2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2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2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2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2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2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2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2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2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2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2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2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2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2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2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2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2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2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2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2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2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2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2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2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2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2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2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2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2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2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2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2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2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2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2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2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2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2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2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2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2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2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2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2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2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2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2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2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2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2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2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2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2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2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2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2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2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2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2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2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2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2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2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2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2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2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2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2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2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2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2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2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2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2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2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2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2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2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2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2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2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2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2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2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2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2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2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2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2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2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2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2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2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2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2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2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2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2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2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2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2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2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2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2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2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2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2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2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2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2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2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2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2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2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2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2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2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2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2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2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2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2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2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2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2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2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2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2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2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2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2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2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2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2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2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2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2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2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2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2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2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2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2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2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2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2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2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2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2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2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2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2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2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2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2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2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2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2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2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2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2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2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2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2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2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2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2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2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2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2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2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2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2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2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2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2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2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2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2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2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2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2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2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2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2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2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2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2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2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2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2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2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2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2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2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2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2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2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2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2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2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2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2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2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2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2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2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2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2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2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2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2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2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2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2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2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2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2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2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2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2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2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2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2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2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2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2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2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2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2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2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2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2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2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2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2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2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2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2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2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2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2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2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2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2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2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2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2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2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2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2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2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2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2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2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2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2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2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2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2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2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2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2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2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2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2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2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2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2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2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2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2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2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2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2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2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2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2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2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2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2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2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2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2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2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2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2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2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2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2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2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2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2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2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2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2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2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2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2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2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2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2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2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2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2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2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2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2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2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2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2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2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2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2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2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2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2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2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2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2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2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2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2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2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2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2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2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2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2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2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2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2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2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2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2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2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2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2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2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2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2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2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2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2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2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2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2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2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2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2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2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2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2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2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2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2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2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2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2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2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2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2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2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2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2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2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2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2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2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2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2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2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2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2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2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2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2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2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2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2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2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2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2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2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2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2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2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2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2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2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2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2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2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2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2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2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2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2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2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2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2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2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2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2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2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2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2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2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2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2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2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2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2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2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2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2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2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2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2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2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2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2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2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2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2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2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2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2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2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2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2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2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2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2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2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2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2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2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2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2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2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2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2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2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2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2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2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2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2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2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2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2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2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2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2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2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2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2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2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2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2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2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2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2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2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2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2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2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2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2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2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2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2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2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2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2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2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2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2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2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2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2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2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2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2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2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2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2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2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2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2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2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2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2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2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2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2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2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2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2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2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2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2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2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2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2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2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2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2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2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2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2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2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2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2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2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2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2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2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2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2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2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2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2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2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2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2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2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2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2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2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2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2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2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2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2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2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2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2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2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2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2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2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2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2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2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2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2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2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2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2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2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2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2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2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2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2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2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2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2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2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2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2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2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2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2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2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2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2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2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2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2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2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2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2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2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2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2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2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2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2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2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2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2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2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2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2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2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2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2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2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2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2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2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2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2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2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2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2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2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2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2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2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2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2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2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2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2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2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2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2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2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2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2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2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2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2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2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2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2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2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2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2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2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2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2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2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2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2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2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2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2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2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2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2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2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2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2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2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2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2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2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2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2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2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2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2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2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2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2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2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2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2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2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2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2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2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2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2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2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2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2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2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2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2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2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2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2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2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2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2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2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2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2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2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2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2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2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2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2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2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2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2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2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2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2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2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2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2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2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2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2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2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2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2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2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2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2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2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2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2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2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2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2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2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2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2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2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2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2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2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2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2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2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2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2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2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2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2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2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2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2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2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2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2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2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2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2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2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2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2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2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2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2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2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2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2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2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2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2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2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2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2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2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2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2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2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2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2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2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2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2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2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2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2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2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2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2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2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2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2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2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2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2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2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2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2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2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2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2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2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2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2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2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2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2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2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2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2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2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2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2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2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2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2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2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2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2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2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2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2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2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2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2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2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2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2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2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2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2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2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2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2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2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2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2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2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2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2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2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2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2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2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2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2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2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2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2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2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2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2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2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2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2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2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2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2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2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2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2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2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2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2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2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2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2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2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2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2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2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2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2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2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2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2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2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2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2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2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2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2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2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2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2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2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2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2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2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2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2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2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2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2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2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2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2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2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2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2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2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2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2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2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2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2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2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2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2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2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2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2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2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2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2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2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2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2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2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2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2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2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2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2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2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2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2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2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2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2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2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2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2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2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2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2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2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2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2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2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2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2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2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2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2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2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2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2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2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2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2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2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2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2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2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2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2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2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2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2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2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2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2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2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2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2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2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2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2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2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2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2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2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2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2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2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2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2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2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2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2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2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2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2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2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2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2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2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2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2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2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2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2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2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2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2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2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2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2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2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2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2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2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2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2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2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2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2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2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2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2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2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2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2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2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2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2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2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2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2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2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2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2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2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2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2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2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2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2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2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2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2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2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2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2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2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2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2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2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2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2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2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2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2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2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2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2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2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2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2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2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2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2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2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2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2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2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2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2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2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2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2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2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2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2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2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2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2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2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2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2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2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2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2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2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2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2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2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2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2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2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2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2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2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2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2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2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2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2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2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2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2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2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2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2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2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2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2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2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2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2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2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2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2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2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2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2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2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2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2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2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2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2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2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2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2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2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2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2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2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2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2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2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2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2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2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2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2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2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2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2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2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2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2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2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2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2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2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2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2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2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2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2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2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2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2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2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2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2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2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2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2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2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2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2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2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2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2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2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2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2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2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2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2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2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2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2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2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2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2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2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2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2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2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2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2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2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2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2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2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2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2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2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2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2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2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2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2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2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2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2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2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2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2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2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2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2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2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2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2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2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2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2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2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2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2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2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2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2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2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2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2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2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2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2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2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2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2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2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2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2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2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2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2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2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2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2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2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2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2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2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2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2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2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2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2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2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2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2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2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2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2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2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2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2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2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2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2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2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2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2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2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2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2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2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2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2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2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2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2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2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2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2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2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2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2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2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2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2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2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2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2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2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2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2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2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2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2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2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2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2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2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2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2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2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2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2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2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2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2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2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2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2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2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2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2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2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2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2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2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2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2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2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2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2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2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2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2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2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2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2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2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2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2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2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2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2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2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2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2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2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2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2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2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2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2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2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2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2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2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2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2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2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2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2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2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2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2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2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2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2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2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2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2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2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2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2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2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2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2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2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2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2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2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2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2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2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2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2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2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2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2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2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2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2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2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2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2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2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2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2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2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2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2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2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2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2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2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2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2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2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2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2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2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2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2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2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2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2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2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2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2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2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2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2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2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2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2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2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2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2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2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2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2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2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2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2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2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2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2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2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2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2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2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2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2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2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2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2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2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2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2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2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2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2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2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2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2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2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2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2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2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2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2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2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2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2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2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2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2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2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2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2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2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2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2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2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2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2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2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2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2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2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2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2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2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2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2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2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2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2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2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2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2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2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2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2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2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2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2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2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2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2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2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2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2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2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2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2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2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2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2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2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2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2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2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2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2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2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2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2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2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2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2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2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2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2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2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2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2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2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2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2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2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2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2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2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2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2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2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2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2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2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2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2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2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2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2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2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2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2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2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2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2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2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2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2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2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2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2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2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2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2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2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2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2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2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2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2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2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2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2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2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2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2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2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2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2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2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2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2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2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2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2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2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2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2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2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2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2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2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2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2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2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2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2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2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2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2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2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2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2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2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2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2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2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2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2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2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2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2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2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2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2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2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2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2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2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2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2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2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2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2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2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2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2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2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2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2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2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2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2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2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2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2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2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2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2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2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2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2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2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2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2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2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2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2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2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2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2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2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2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2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2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2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2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2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2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2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2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2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2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2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2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2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2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2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2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2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2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2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2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2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2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2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2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2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2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2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2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2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2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2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2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2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2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2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2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2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2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2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2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2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2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2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2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2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2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2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2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2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2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2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2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2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2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2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2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2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2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2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2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2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2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2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2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2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2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2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2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25">
      <c r="A5390" s="19" t="s">
        <v>27</v>
      </c>
      <c r="B5390" s="19" t="s">
        <v>63</v>
      </c>
      <c r="C5390">
        <v>1</v>
      </c>
      <c r="D5390">
        <v>1</v>
      </c>
      <c r="E5390">
        <v>1</v>
      </c>
      <c r="F5390" s="15">
        <v>46230</v>
      </c>
      <c r="G5390" s="19" t="s">
        <v>653</v>
      </c>
      <c r="H5390">
        <v>4</v>
      </c>
      <c r="I5390">
        <v>2026</v>
      </c>
      <c r="J5390">
        <v>7</v>
      </c>
      <c r="K5390" s="19" t="s">
        <v>282</v>
      </c>
      <c r="L5390" s="19" t="s">
        <v>609</v>
      </c>
      <c r="M5390" s="19" t="s">
        <v>63</v>
      </c>
      <c r="N5390" t="b">
        <v>0</v>
      </c>
      <c r="O5390">
        <v>0</v>
      </c>
      <c r="P5390">
        <v>0</v>
      </c>
      <c r="Q5390">
        <v>1</v>
      </c>
      <c r="R5390">
        <v>0</v>
      </c>
    </row>
    <row r="5391" spans="1:18" x14ac:dyDescent="0.25">
      <c r="A5391" s="19" t="s">
        <v>27</v>
      </c>
      <c r="B5391" s="19" t="s">
        <v>63</v>
      </c>
      <c r="C5391">
        <v>1</v>
      </c>
      <c r="D5391">
        <v>1</v>
      </c>
      <c r="E5391">
        <v>1</v>
      </c>
      <c r="F5391" s="15">
        <v>46230</v>
      </c>
      <c r="G5391" s="19" t="s">
        <v>653</v>
      </c>
      <c r="H5391">
        <v>4</v>
      </c>
      <c r="I5391">
        <v>2026</v>
      </c>
      <c r="J5391">
        <v>7</v>
      </c>
      <c r="K5391" s="19" t="s">
        <v>282</v>
      </c>
      <c r="L5391" s="19" t="s">
        <v>19</v>
      </c>
      <c r="M5391" s="19" t="s">
        <v>63</v>
      </c>
      <c r="N5391" t="b">
        <v>0</v>
      </c>
      <c r="O5391">
        <v>0</v>
      </c>
      <c r="P5391">
        <v>0</v>
      </c>
      <c r="Q5391">
        <v>1</v>
      </c>
      <c r="R5391">
        <v>0</v>
      </c>
    </row>
    <row r="5392" spans="1:18" x14ac:dyDescent="0.25">
      <c r="A5392" s="19" t="s">
        <v>27</v>
      </c>
      <c r="B5392" s="19" t="s">
        <v>63</v>
      </c>
      <c r="C5392">
        <v>1</v>
      </c>
      <c r="D5392">
        <v>1</v>
      </c>
      <c r="E5392">
        <v>1</v>
      </c>
      <c r="F5392" s="15">
        <v>46230</v>
      </c>
      <c r="G5392" s="19" t="s">
        <v>653</v>
      </c>
      <c r="H5392">
        <v>4</v>
      </c>
      <c r="I5392">
        <v>2026</v>
      </c>
      <c r="J5392">
        <v>7</v>
      </c>
      <c r="K5392" s="19" t="s">
        <v>282</v>
      </c>
      <c r="L5392" s="19" t="s">
        <v>352</v>
      </c>
      <c r="M5392" s="19" t="s">
        <v>63</v>
      </c>
      <c r="N5392" t="b">
        <v>0</v>
      </c>
      <c r="O5392">
        <v>0</v>
      </c>
      <c r="P5392">
        <v>0</v>
      </c>
      <c r="Q5392">
        <v>1</v>
      </c>
      <c r="R5392">
        <v>0</v>
      </c>
    </row>
    <row r="5393" spans="1:18" x14ac:dyDescent="0.25">
      <c r="A5393" s="19" t="s">
        <v>609</v>
      </c>
      <c r="B5393" s="19" t="s">
        <v>63</v>
      </c>
      <c r="C5393">
        <v>2</v>
      </c>
      <c r="D5393">
        <v>1</v>
      </c>
      <c r="E5393">
        <v>1</v>
      </c>
      <c r="F5393" s="15">
        <v>46230</v>
      </c>
      <c r="G5393" s="19" t="s">
        <v>653</v>
      </c>
      <c r="H5393">
        <v>4</v>
      </c>
      <c r="I5393">
        <v>2026</v>
      </c>
      <c r="J5393">
        <v>7</v>
      </c>
      <c r="K5393" s="19" t="s">
        <v>282</v>
      </c>
      <c r="L5393" s="19" t="s">
        <v>27</v>
      </c>
      <c r="M5393" s="19" t="s">
        <v>63</v>
      </c>
      <c r="N5393" t="b">
        <v>0</v>
      </c>
      <c r="O5393">
        <v>0</v>
      </c>
      <c r="P5393">
        <v>0</v>
      </c>
      <c r="Q5393">
        <v>1</v>
      </c>
      <c r="R5393">
        <v>0</v>
      </c>
    </row>
    <row r="5394" spans="1:18" x14ac:dyDescent="0.25">
      <c r="A5394" s="19" t="s">
        <v>609</v>
      </c>
      <c r="B5394" s="19" t="s">
        <v>63</v>
      </c>
      <c r="C5394">
        <v>2</v>
      </c>
      <c r="D5394">
        <v>1</v>
      </c>
      <c r="E5394">
        <v>1</v>
      </c>
      <c r="F5394" s="15">
        <v>46230</v>
      </c>
      <c r="G5394" s="19" t="s">
        <v>653</v>
      </c>
      <c r="H5394">
        <v>4</v>
      </c>
      <c r="I5394">
        <v>2026</v>
      </c>
      <c r="J5394">
        <v>7</v>
      </c>
      <c r="K5394" s="19" t="s">
        <v>282</v>
      </c>
      <c r="L5394" s="19" t="s">
        <v>19</v>
      </c>
      <c r="M5394" s="19" t="s">
        <v>63</v>
      </c>
      <c r="N5394" t="b">
        <v>0</v>
      </c>
      <c r="O5394">
        <v>0</v>
      </c>
      <c r="P5394">
        <v>0</v>
      </c>
      <c r="Q5394">
        <v>1</v>
      </c>
      <c r="R5394">
        <v>0</v>
      </c>
    </row>
    <row r="5395" spans="1:18" x14ac:dyDescent="0.25">
      <c r="A5395" s="19" t="s">
        <v>609</v>
      </c>
      <c r="B5395" s="19" t="s">
        <v>63</v>
      </c>
      <c r="C5395">
        <v>2</v>
      </c>
      <c r="D5395">
        <v>1</v>
      </c>
      <c r="E5395">
        <v>1</v>
      </c>
      <c r="F5395" s="15">
        <v>46230</v>
      </c>
      <c r="G5395" s="19" t="s">
        <v>653</v>
      </c>
      <c r="H5395">
        <v>4</v>
      </c>
      <c r="I5395">
        <v>2026</v>
      </c>
      <c r="J5395">
        <v>7</v>
      </c>
      <c r="K5395" s="19" t="s">
        <v>282</v>
      </c>
      <c r="L5395" s="19" t="s">
        <v>352</v>
      </c>
      <c r="M5395" s="19" t="s">
        <v>63</v>
      </c>
      <c r="N5395" t="b">
        <v>0</v>
      </c>
      <c r="O5395">
        <v>0</v>
      </c>
      <c r="P5395">
        <v>0</v>
      </c>
      <c r="Q5395">
        <v>1</v>
      </c>
      <c r="R5395">
        <v>0</v>
      </c>
    </row>
    <row r="5396" spans="1:18" x14ac:dyDescent="0.25">
      <c r="A5396" s="19" t="s">
        <v>19</v>
      </c>
      <c r="B5396" s="19" t="s">
        <v>63</v>
      </c>
      <c r="C5396">
        <v>3</v>
      </c>
      <c r="D5396">
        <v>1</v>
      </c>
      <c r="E5396">
        <v>1</v>
      </c>
      <c r="F5396" s="15">
        <v>46230</v>
      </c>
      <c r="G5396" s="19" t="s">
        <v>653</v>
      </c>
      <c r="H5396">
        <v>4</v>
      </c>
      <c r="I5396">
        <v>2026</v>
      </c>
      <c r="J5396">
        <v>7</v>
      </c>
      <c r="K5396" s="19" t="s">
        <v>282</v>
      </c>
      <c r="L5396" s="19" t="s">
        <v>27</v>
      </c>
      <c r="M5396" s="19" t="s">
        <v>63</v>
      </c>
      <c r="N5396" t="b">
        <v>0</v>
      </c>
      <c r="O5396">
        <v>0</v>
      </c>
      <c r="P5396">
        <v>0</v>
      </c>
      <c r="Q5396">
        <v>1</v>
      </c>
      <c r="R5396">
        <v>0</v>
      </c>
    </row>
    <row r="5397" spans="1:18" x14ac:dyDescent="0.25">
      <c r="A5397" s="19" t="s">
        <v>19</v>
      </c>
      <c r="B5397" s="19" t="s">
        <v>63</v>
      </c>
      <c r="C5397">
        <v>3</v>
      </c>
      <c r="D5397">
        <v>1</v>
      </c>
      <c r="E5397">
        <v>1</v>
      </c>
      <c r="F5397" s="15">
        <v>46230</v>
      </c>
      <c r="G5397" s="19" t="s">
        <v>653</v>
      </c>
      <c r="H5397">
        <v>4</v>
      </c>
      <c r="I5397">
        <v>2026</v>
      </c>
      <c r="J5397">
        <v>7</v>
      </c>
      <c r="K5397" s="19" t="s">
        <v>282</v>
      </c>
      <c r="L5397" s="19" t="s">
        <v>609</v>
      </c>
      <c r="M5397" s="19" t="s">
        <v>63</v>
      </c>
      <c r="N5397" t="b">
        <v>0</v>
      </c>
      <c r="O5397">
        <v>0</v>
      </c>
      <c r="P5397">
        <v>0</v>
      </c>
      <c r="Q5397">
        <v>1</v>
      </c>
      <c r="R5397">
        <v>0</v>
      </c>
    </row>
    <row r="5398" spans="1:18" x14ac:dyDescent="0.25">
      <c r="A5398" s="19" t="s">
        <v>19</v>
      </c>
      <c r="B5398" s="19" t="s">
        <v>63</v>
      </c>
      <c r="C5398">
        <v>3</v>
      </c>
      <c r="D5398">
        <v>1</v>
      </c>
      <c r="E5398">
        <v>1</v>
      </c>
      <c r="F5398" s="15">
        <v>46230</v>
      </c>
      <c r="G5398" s="19" t="s">
        <v>653</v>
      </c>
      <c r="H5398">
        <v>4</v>
      </c>
      <c r="I5398">
        <v>2026</v>
      </c>
      <c r="J5398">
        <v>7</v>
      </c>
      <c r="K5398" s="19" t="s">
        <v>282</v>
      </c>
      <c r="L5398" s="19" t="s">
        <v>352</v>
      </c>
      <c r="M5398" s="19" t="s">
        <v>63</v>
      </c>
      <c r="N5398" t="b">
        <v>0</v>
      </c>
      <c r="O5398">
        <v>0</v>
      </c>
      <c r="P5398">
        <v>0</v>
      </c>
      <c r="Q5398">
        <v>1</v>
      </c>
      <c r="R5398">
        <v>0</v>
      </c>
    </row>
    <row r="5399" spans="1:18" x14ac:dyDescent="0.25">
      <c r="A5399" s="19" t="s">
        <v>352</v>
      </c>
      <c r="B5399" s="19" t="s">
        <v>63</v>
      </c>
      <c r="C5399">
        <v>4</v>
      </c>
      <c r="D5399">
        <v>1</v>
      </c>
      <c r="E5399">
        <v>1</v>
      </c>
      <c r="F5399" s="15">
        <v>46230</v>
      </c>
      <c r="G5399" s="19" t="s">
        <v>653</v>
      </c>
      <c r="H5399">
        <v>4</v>
      </c>
      <c r="I5399">
        <v>2026</v>
      </c>
      <c r="J5399">
        <v>7</v>
      </c>
      <c r="K5399" s="19" t="s">
        <v>282</v>
      </c>
      <c r="L5399" s="19" t="s">
        <v>27</v>
      </c>
      <c r="M5399" s="19" t="s">
        <v>63</v>
      </c>
      <c r="N5399" t="b">
        <v>0</v>
      </c>
      <c r="O5399">
        <v>0</v>
      </c>
      <c r="P5399">
        <v>0</v>
      </c>
      <c r="Q5399">
        <v>1</v>
      </c>
      <c r="R5399">
        <v>0</v>
      </c>
    </row>
    <row r="5400" spans="1:18" x14ac:dyDescent="0.25">
      <c r="A5400" s="19" t="s">
        <v>352</v>
      </c>
      <c r="B5400" s="19" t="s">
        <v>63</v>
      </c>
      <c r="C5400">
        <v>4</v>
      </c>
      <c r="D5400">
        <v>1</v>
      </c>
      <c r="E5400">
        <v>1</v>
      </c>
      <c r="F5400" s="15">
        <v>46230</v>
      </c>
      <c r="G5400" s="19" t="s">
        <v>653</v>
      </c>
      <c r="H5400">
        <v>4</v>
      </c>
      <c r="I5400">
        <v>2026</v>
      </c>
      <c r="J5400">
        <v>7</v>
      </c>
      <c r="K5400" s="19" t="s">
        <v>282</v>
      </c>
      <c r="L5400" s="19" t="s">
        <v>609</v>
      </c>
      <c r="M5400" s="19" t="s">
        <v>63</v>
      </c>
      <c r="N5400" t="b">
        <v>0</v>
      </c>
      <c r="O5400">
        <v>0</v>
      </c>
      <c r="P5400">
        <v>0</v>
      </c>
      <c r="Q5400">
        <v>1</v>
      </c>
      <c r="R5400">
        <v>0</v>
      </c>
    </row>
    <row r="5401" spans="1:18" x14ac:dyDescent="0.25">
      <c r="A5401" s="19" t="s">
        <v>352</v>
      </c>
      <c r="B5401" s="19" t="s">
        <v>63</v>
      </c>
      <c r="C5401">
        <v>4</v>
      </c>
      <c r="D5401">
        <v>1</v>
      </c>
      <c r="E5401">
        <v>1</v>
      </c>
      <c r="F5401" s="15">
        <v>46230</v>
      </c>
      <c r="G5401" s="19" t="s">
        <v>653</v>
      </c>
      <c r="H5401">
        <v>4</v>
      </c>
      <c r="I5401">
        <v>2026</v>
      </c>
      <c r="J5401">
        <v>7</v>
      </c>
      <c r="K5401" s="19" t="s">
        <v>282</v>
      </c>
      <c r="L5401" s="19" t="s">
        <v>19</v>
      </c>
      <c r="M5401" s="19" t="s">
        <v>63</v>
      </c>
      <c r="N5401" t="b">
        <v>0</v>
      </c>
      <c r="O5401">
        <v>0</v>
      </c>
      <c r="P5401">
        <v>0</v>
      </c>
      <c r="Q5401">
        <v>1</v>
      </c>
      <c r="R5401">
        <v>0</v>
      </c>
    </row>
    <row r="5402" spans="1:18" x14ac:dyDescent="0.25">
      <c r="A5402" s="19" t="s">
        <v>51</v>
      </c>
      <c r="B5402" s="19" t="s">
        <v>63</v>
      </c>
      <c r="C5402">
        <v>1</v>
      </c>
      <c r="D5402">
        <v>2</v>
      </c>
      <c r="E5402">
        <v>1</v>
      </c>
      <c r="F5402" s="15">
        <v>46230</v>
      </c>
      <c r="G5402" s="19" t="s">
        <v>654</v>
      </c>
      <c r="H5402">
        <v>4</v>
      </c>
      <c r="I5402">
        <v>2026</v>
      </c>
      <c r="J5402">
        <v>7</v>
      </c>
      <c r="K5402" s="19" t="s">
        <v>282</v>
      </c>
      <c r="L5402" s="19" t="s">
        <v>351</v>
      </c>
      <c r="M5402" s="19" t="s">
        <v>63</v>
      </c>
      <c r="N5402" t="b">
        <v>0</v>
      </c>
      <c r="O5402">
        <v>0</v>
      </c>
      <c r="P5402">
        <v>0</v>
      </c>
      <c r="Q5402">
        <v>1</v>
      </c>
      <c r="R5402">
        <v>0</v>
      </c>
    </row>
    <row r="5403" spans="1:18" x14ac:dyDescent="0.25">
      <c r="A5403" s="19" t="s">
        <v>51</v>
      </c>
      <c r="B5403" s="19" t="s">
        <v>63</v>
      </c>
      <c r="C5403">
        <v>1</v>
      </c>
      <c r="D5403">
        <v>2</v>
      </c>
      <c r="E5403">
        <v>1</v>
      </c>
      <c r="F5403" s="15">
        <v>46230</v>
      </c>
      <c r="G5403" s="19" t="s">
        <v>654</v>
      </c>
      <c r="H5403">
        <v>4</v>
      </c>
      <c r="I5403">
        <v>2026</v>
      </c>
      <c r="J5403">
        <v>7</v>
      </c>
      <c r="K5403" s="19" t="s">
        <v>282</v>
      </c>
      <c r="L5403" s="19" t="s">
        <v>405</v>
      </c>
      <c r="M5403" s="19" t="s">
        <v>63</v>
      </c>
      <c r="N5403" t="b">
        <v>0</v>
      </c>
      <c r="O5403">
        <v>0</v>
      </c>
      <c r="P5403">
        <v>0</v>
      </c>
      <c r="Q5403">
        <v>1</v>
      </c>
      <c r="R5403">
        <v>0</v>
      </c>
    </row>
    <row r="5404" spans="1:18" x14ac:dyDescent="0.25">
      <c r="A5404" s="19" t="s">
        <v>51</v>
      </c>
      <c r="B5404" s="19" t="s">
        <v>63</v>
      </c>
      <c r="C5404">
        <v>1</v>
      </c>
      <c r="D5404">
        <v>2</v>
      </c>
      <c r="E5404">
        <v>1</v>
      </c>
      <c r="F5404" s="15">
        <v>46230</v>
      </c>
      <c r="G5404" s="19" t="s">
        <v>654</v>
      </c>
      <c r="H5404">
        <v>4</v>
      </c>
      <c r="I5404">
        <v>2026</v>
      </c>
      <c r="J5404">
        <v>7</v>
      </c>
      <c r="K5404" s="19" t="s">
        <v>282</v>
      </c>
      <c r="L5404" s="19" t="s">
        <v>13</v>
      </c>
      <c r="M5404" s="19" t="s">
        <v>63</v>
      </c>
      <c r="N5404" t="b">
        <v>0</v>
      </c>
      <c r="O5404">
        <v>0</v>
      </c>
      <c r="P5404">
        <v>0</v>
      </c>
      <c r="Q5404">
        <v>1</v>
      </c>
      <c r="R5404">
        <v>0</v>
      </c>
    </row>
    <row r="5405" spans="1:18" x14ac:dyDescent="0.25">
      <c r="A5405" s="19" t="s">
        <v>351</v>
      </c>
      <c r="B5405" s="19" t="s">
        <v>63</v>
      </c>
      <c r="C5405">
        <v>2</v>
      </c>
      <c r="D5405">
        <v>2</v>
      </c>
      <c r="E5405">
        <v>1</v>
      </c>
      <c r="F5405" s="15">
        <v>46230</v>
      </c>
      <c r="G5405" s="19" t="s">
        <v>654</v>
      </c>
      <c r="H5405">
        <v>4</v>
      </c>
      <c r="I5405">
        <v>2026</v>
      </c>
      <c r="J5405">
        <v>7</v>
      </c>
      <c r="K5405" s="19" t="s">
        <v>282</v>
      </c>
      <c r="L5405" s="19" t="s">
        <v>51</v>
      </c>
      <c r="M5405" s="19" t="s">
        <v>63</v>
      </c>
      <c r="N5405" t="b">
        <v>0</v>
      </c>
      <c r="O5405">
        <v>0</v>
      </c>
      <c r="P5405">
        <v>0</v>
      </c>
      <c r="Q5405">
        <v>1</v>
      </c>
      <c r="R5405">
        <v>0</v>
      </c>
    </row>
    <row r="5406" spans="1:18" x14ac:dyDescent="0.25">
      <c r="A5406" s="19" t="s">
        <v>351</v>
      </c>
      <c r="B5406" s="19" t="s">
        <v>63</v>
      </c>
      <c r="C5406">
        <v>2</v>
      </c>
      <c r="D5406">
        <v>2</v>
      </c>
      <c r="E5406">
        <v>1</v>
      </c>
      <c r="F5406" s="15">
        <v>46230</v>
      </c>
      <c r="G5406" s="19" t="s">
        <v>654</v>
      </c>
      <c r="H5406">
        <v>4</v>
      </c>
      <c r="I5406">
        <v>2026</v>
      </c>
      <c r="J5406">
        <v>7</v>
      </c>
      <c r="K5406" s="19" t="s">
        <v>282</v>
      </c>
      <c r="L5406" s="19" t="s">
        <v>405</v>
      </c>
      <c r="M5406" s="19" t="s">
        <v>63</v>
      </c>
      <c r="N5406" t="b">
        <v>0</v>
      </c>
      <c r="O5406">
        <v>0</v>
      </c>
      <c r="P5406">
        <v>0</v>
      </c>
      <c r="Q5406">
        <v>1</v>
      </c>
      <c r="R5406">
        <v>0</v>
      </c>
    </row>
    <row r="5407" spans="1:18" x14ac:dyDescent="0.25">
      <c r="A5407" s="19" t="s">
        <v>351</v>
      </c>
      <c r="B5407" s="19" t="s">
        <v>63</v>
      </c>
      <c r="C5407">
        <v>2</v>
      </c>
      <c r="D5407">
        <v>2</v>
      </c>
      <c r="E5407">
        <v>1</v>
      </c>
      <c r="F5407" s="15">
        <v>46230</v>
      </c>
      <c r="G5407" s="19" t="s">
        <v>654</v>
      </c>
      <c r="H5407">
        <v>4</v>
      </c>
      <c r="I5407">
        <v>2026</v>
      </c>
      <c r="J5407">
        <v>7</v>
      </c>
      <c r="K5407" s="19" t="s">
        <v>282</v>
      </c>
      <c r="L5407" s="19" t="s">
        <v>13</v>
      </c>
      <c r="M5407" s="19" t="s">
        <v>63</v>
      </c>
      <c r="N5407" t="b">
        <v>0</v>
      </c>
      <c r="O5407">
        <v>0</v>
      </c>
      <c r="P5407">
        <v>0</v>
      </c>
      <c r="Q5407">
        <v>1</v>
      </c>
      <c r="R5407">
        <v>0</v>
      </c>
    </row>
    <row r="5408" spans="1:18" x14ac:dyDescent="0.25">
      <c r="A5408" s="19" t="s">
        <v>405</v>
      </c>
      <c r="B5408" s="19" t="s">
        <v>63</v>
      </c>
      <c r="C5408">
        <v>3</v>
      </c>
      <c r="D5408">
        <v>2</v>
      </c>
      <c r="E5408">
        <v>1</v>
      </c>
      <c r="F5408" s="15">
        <v>46230</v>
      </c>
      <c r="G5408" s="19" t="s">
        <v>654</v>
      </c>
      <c r="H5408">
        <v>4</v>
      </c>
      <c r="I5408">
        <v>2026</v>
      </c>
      <c r="J5408">
        <v>7</v>
      </c>
      <c r="K5408" s="19" t="s">
        <v>282</v>
      </c>
      <c r="L5408" s="19" t="s">
        <v>51</v>
      </c>
      <c r="M5408" s="19" t="s">
        <v>63</v>
      </c>
      <c r="N5408" t="b">
        <v>0</v>
      </c>
      <c r="O5408">
        <v>0</v>
      </c>
      <c r="P5408">
        <v>0</v>
      </c>
      <c r="Q5408">
        <v>1</v>
      </c>
      <c r="R5408">
        <v>0</v>
      </c>
    </row>
    <row r="5409" spans="1:18" x14ac:dyDescent="0.25">
      <c r="A5409" s="19" t="s">
        <v>405</v>
      </c>
      <c r="B5409" s="19" t="s">
        <v>63</v>
      </c>
      <c r="C5409">
        <v>3</v>
      </c>
      <c r="D5409">
        <v>2</v>
      </c>
      <c r="E5409">
        <v>1</v>
      </c>
      <c r="F5409" s="15">
        <v>46230</v>
      </c>
      <c r="G5409" s="19" t="s">
        <v>654</v>
      </c>
      <c r="H5409">
        <v>4</v>
      </c>
      <c r="I5409">
        <v>2026</v>
      </c>
      <c r="J5409">
        <v>7</v>
      </c>
      <c r="K5409" s="19" t="s">
        <v>282</v>
      </c>
      <c r="L5409" s="19" t="s">
        <v>351</v>
      </c>
      <c r="M5409" s="19" t="s">
        <v>63</v>
      </c>
      <c r="N5409" t="b">
        <v>0</v>
      </c>
      <c r="O5409">
        <v>0</v>
      </c>
      <c r="P5409">
        <v>0</v>
      </c>
      <c r="Q5409">
        <v>1</v>
      </c>
      <c r="R5409">
        <v>0</v>
      </c>
    </row>
    <row r="5410" spans="1:18" x14ac:dyDescent="0.25">
      <c r="A5410" s="19" t="s">
        <v>405</v>
      </c>
      <c r="B5410" s="19" t="s">
        <v>63</v>
      </c>
      <c r="C5410">
        <v>3</v>
      </c>
      <c r="D5410">
        <v>2</v>
      </c>
      <c r="E5410">
        <v>1</v>
      </c>
      <c r="F5410" s="15">
        <v>46230</v>
      </c>
      <c r="G5410" s="19" t="s">
        <v>654</v>
      </c>
      <c r="H5410">
        <v>4</v>
      </c>
      <c r="I5410">
        <v>2026</v>
      </c>
      <c r="J5410">
        <v>7</v>
      </c>
      <c r="K5410" s="19" t="s">
        <v>282</v>
      </c>
      <c r="L5410" s="19" t="s">
        <v>13</v>
      </c>
      <c r="M5410" s="19" t="s">
        <v>63</v>
      </c>
      <c r="N5410" t="b">
        <v>0</v>
      </c>
      <c r="O5410">
        <v>0</v>
      </c>
      <c r="P5410">
        <v>0</v>
      </c>
      <c r="Q5410">
        <v>1</v>
      </c>
      <c r="R5410">
        <v>0</v>
      </c>
    </row>
    <row r="5411" spans="1:18" x14ac:dyDescent="0.25">
      <c r="A5411" s="19" t="s">
        <v>13</v>
      </c>
      <c r="B5411" s="19" t="s">
        <v>63</v>
      </c>
      <c r="C5411">
        <v>4</v>
      </c>
      <c r="D5411">
        <v>2</v>
      </c>
      <c r="E5411">
        <v>1</v>
      </c>
      <c r="F5411" s="15">
        <v>46230</v>
      </c>
      <c r="G5411" s="19" t="s">
        <v>654</v>
      </c>
      <c r="H5411">
        <v>4</v>
      </c>
      <c r="I5411">
        <v>2026</v>
      </c>
      <c r="J5411">
        <v>7</v>
      </c>
      <c r="K5411" s="19" t="s">
        <v>282</v>
      </c>
      <c r="L5411" s="19" t="s">
        <v>51</v>
      </c>
      <c r="M5411" s="19" t="s">
        <v>63</v>
      </c>
      <c r="N5411" t="b">
        <v>0</v>
      </c>
      <c r="O5411">
        <v>0</v>
      </c>
      <c r="P5411">
        <v>0</v>
      </c>
      <c r="Q5411">
        <v>1</v>
      </c>
      <c r="R5411">
        <v>0</v>
      </c>
    </row>
    <row r="5412" spans="1:18" x14ac:dyDescent="0.25">
      <c r="A5412" s="19" t="s">
        <v>13</v>
      </c>
      <c r="B5412" s="19" t="s">
        <v>63</v>
      </c>
      <c r="C5412">
        <v>4</v>
      </c>
      <c r="D5412">
        <v>2</v>
      </c>
      <c r="E5412">
        <v>1</v>
      </c>
      <c r="F5412" s="15">
        <v>46230</v>
      </c>
      <c r="G5412" s="19" t="s">
        <v>654</v>
      </c>
      <c r="H5412">
        <v>4</v>
      </c>
      <c r="I5412">
        <v>2026</v>
      </c>
      <c r="J5412">
        <v>7</v>
      </c>
      <c r="K5412" s="19" t="s">
        <v>282</v>
      </c>
      <c r="L5412" s="19" t="s">
        <v>351</v>
      </c>
      <c r="M5412" s="19" t="s">
        <v>63</v>
      </c>
      <c r="N5412" t="b">
        <v>0</v>
      </c>
      <c r="O5412">
        <v>0</v>
      </c>
      <c r="P5412">
        <v>0</v>
      </c>
      <c r="Q5412">
        <v>1</v>
      </c>
      <c r="R5412">
        <v>0</v>
      </c>
    </row>
    <row r="5413" spans="1:18" x14ac:dyDescent="0.25">
      <c r="A5413" s="19" t="s">
        <v>13</v>
      </c>
      <c r="B5413" s="19" t="s">
        <v>63</v>
      </c>
      <c r="C5413">
        <v>4</v>
      </c>
      <c r="D5413">
        <v>2</v>
      </c>
      <c r="E5413">
        <v>1</v>
      </c>
      <c r="F5413" s="15">
        <v>46230</v>
      </c>
      <c r="G5413" s="19" t="s">
        <v>654</v>
      </c>
      <c r="H5413">
        <v>4</v>
      </c>
      <c r="I5413">
        <v>2026</v>
      </c>
      <c r="J5413">
        <v>7</v>
      </c>
      <c r="K5413" s="19" t="s">
        <v>282</v>
      </c>
      <c r="L5413" s="19" t="s">
        <v>405</v>
      </c>
      <c r="M5413" s="19" t="s">
        <v>63</v>
      </c>
      <c r="N5413" t="b">
        <v>0</v>
      </c>
      <c r="O5413">
        <v>0</v>
      </c>
      <c r="P5413">
        <v>0</v>
      </c>
      <c r="Q5413">
        <v>1</v>
      </c>
      <c r="R5413">
        <v>0</v>
      </c>
    </row>
    <row r="5414" spans="1:18" x14ac:dyDescent="0.25">
      <c r="A5414" s="19" t="s">
        <v>14</v>
      </c>
      <c r="B5414" s="19" t="s">
        <v>63</v>
      </c>
      <c r="C5414">
        <v>1</v>
      </c>
      <c r="D5414">
        <v>3</v>
      </c>
      <c r="E5414">
        <v>1</v>
      </c>
      <c r="F5414" s="15">
        <v>46230</v>
      </c>
      <c r="G5414" s="19" t="s">
        <v>655</v>
      </c>
      <c r="H5414">
        <v>4</v>
      </c>
      <c r="I5414">
        <v>2026</v>
      </c>
      <c r="J5414">
        <v>7</v>
      </c>
      <c r="K5414" s="19" t="s">
        <v>282</v>
      </c>
      <c r="L5414" s="19" t="s">
        <v>17</v>
      </c>
      <c r="M5414" s="19" t="s">
        <v>63</v>
      </c>
      <c r="N5414" t="b">
        <v>0</v>
      </c>
      <c r="O5414">
        <v>0</v>
      </c>
      <c r="P5414">
        <v>0</v>
      </c>
      <c r="Q5414">
        <v>1</v>
      </c>
      <c r="R5414">
        <v>0</v>
      </c>
    </row>
    <row r="5415" spans="1:18" x14ac:dyDescent="0.25">
      <c r="A5415" s="19" t="s">
        <v>14</v>
      </c>
      <c r="B5415" s="19" t="s">
        <v>63</v>
      </c>
      <c r="C5415">
        <v>1</v>
      </c>
      <c r="D5415">
        <v>3</v>
      </c>
      <c r="E5415">
        <v>1</v>
      </c>
      <c r="F5415" s="15">
        <v>46230</v>
      </c>
      <c r="G5415" s="19" t="s">
        <v>655</v>
      </c>
      <c r="H5415">
        <v>4</v>
      </c>
      <c r="I5415">
        <v>2026</v>
      </c>
      <c r="J5415">
        <v>7</v>
      </c>
      <c r="K5415" s="19" t="s">
        <v>282</v>
      </c>
      <c r="L5415" s="19" t="s">
        <v>578</v>
      </c>
      <c r="M5415" s="19" t="s">
        <v>63</v>
      </c>
      <c r="N5415" t="b">
        <v>0</v>
      </c>
      <c r="O5415">
        <v>0</v>
      </c>
      <c r="P5415">
        <v>0</v>
      </c>
      <c r="Q5415">
        <v>1</v>
      </c>
      <c r="R5415">
        <v>0</v>
      </c>
    </row>
    <row r="5416" spans="1:18" x14ac:dyDescent="0.25">
      <c r="A5416" s="19" t="s">
        <v>14</v>
      </c>
      <c r="B5416" s="19" t="s">
        <v>63</v>
      </c>
      <c r="C5416">
        <v>1</v>
      </c>
      <c r="D5416">
        <v>3</v>
      </c>
      <c r="E5416">
        <v>1</v>
      </c>
      <c r="F5416" s="15">
        <v>46230</v>
      </c>
      <c r="G5416" s="19" t="s">
        <v>655</v>
      </c>
      <c r="H5416">
        <v>4</v>
      </c>
      <c r="I5416">
        <v>2026</v>
      </c>
      <c r="J5416">
        <v>7</v>
      </c>
      <c r="K5416" s="19" t="s">
        <v>282</v>
      </c>
      <c r="L5416" s="19" t="s">
        <v>519</v>
      </c>
      <c r="M5416" s="19" t="s">
        <v>63</v>
      </c>
      <c r="N5416" t="b">
        <v>0</v>
      </c>
      <c r="O5416">
        <v>0</v>
      </c>
      <c r="P5416">
        <v>0</v>
      </c>
      <c r="Q5416">
        <v>1</v>
      </c>
      <c r="R5416">
        <v>0</v>
      </c>
    </row>
    <row r="5417" spans="1:18" x14ac:dyDescent="0.25">
      <c r="A5417" s="19" t="s">
        <v>17</v>
      </c>
      <c r="B5417" s="19" t="s">
        <v>63</v>
      </c>
      <c r="C5417">
        <v>2</v>
      </c>
      <c r="D5417">
        <v>3</v>
      </c>
      <c r="E5417">
        <v>1</v>
      </c>
      <c r="F5417" s="15">
        <v>46230</v>
      </c>
      <c r="G5417" s="19" t="s">
        <v>655</v>
      </c>
      <c r="H5417">
        <v>4</v>
      </c>
      <c r="I5417">
        <v>2026</v>
      </c>
      <c r="J5417">
        <v>7</v>
      </c>
      <c r="K5417" s="19" t="s">
        <v>282</v>
      </c>
      <c r="L5417" s="19" t="s">
        <v>14</v>
      </c>
      <c r="M5417" s="19" t="s">
        <v>63</v>
      </c>
      <c r="N5417" t="b">
        <v>0</v>
      </c>
      <c r="O5417">
        <v>0</v>
      </c>
      <c r="P5417">
        <v>0</v>
      </c>
      <c r="Q5417">
        <v>1</v>
      </c>
      <c r="R5417">
        <v>0</v>
      </c>
    </row>
    <row r="5418" spans="1:18" x14ac:dyDescent="0.25">
      <c r="A5418" s="19" t="s">
        <v>17</v>
      </c>
      <c r="B5418" s="19" t="s">
        <v>63</v>
      </c>
      <c r="C5418">
        <v>2</v>
      </c>
      <c r="D5418">
        <v>3</v>
      </c>
      <c r="E5418">
        <v>1</v>
      </c>
      <c r="F5418" s="15">
        <v>46230</v>
      </c>
      <c r="G5418" s="19" t="s">
        <v>655</v>
      </c>
      <c r="H5418">
        <v>4</v>
      </c>
      <c r="I5418">
        <v>2026</v>
      </c>
      <c r="J5418">
        <v>7</v>
      </c>
      <c r="K5418" s="19" t="s">
        <v>282</v>
      </c>
      <c r="L5418" s="19" t="s">
        <v>578</v>
      </c>
      <c r="M5418" s="19" t="s">
        <v>63</v>
      </c>
      <c r="N5418" t="b">
        <v>0</v>
      </c>
      <c r="O5418">
        <v>0</v>
      </c>
      <c r="P5418">
        <v>0</v>
      </c>
      <c r="Q5418">
        <v>1</v>
      </c>
      <c r="R5418">
        <v>0</v>
      </c>
    </row>
    <row r="5419" spans="1:18" x14ac:dyDescent="0.25">
      <c r="A5419" s="19" t="s">
        <v>17</v>
      </c>
      <c r="B5419" s="19" t="s">
        <v>63</v>
      </c>
      <c r="C5419">
        <v>2</v>
      </c>
      <c r="D5419">
        <v>3</v>
      </c>
      <c r="E5419">
        <v>1</v>
      </c>
      <c r="F5419" s="15">
        <v>46230</v>
      </c>
      <c r="G5419" s="19" t="s">
        <v>655</v>
      </c>
      <c r="H5419">
        <v>4</v>
      </c>
      <c r="I5419">
        <v>2026</v>
      </c>
      <c r="J5419">
        <v>7</v>
      </c>
      <c r="K5419" s="19" t="s">
        <v>282</v>
      </c>
      <c r="L5419" s="19" t="s">
        <v>519</v>
      </c>
      <c r="M5419" s="19" t="s">
        <v>63</v>
      </c>
      <c r="N5419" t="b">
        <v>0</v>
      </c>
      <c r="O5419">
        <v>0</v>
      </c>
      <c r="P5419">
        <v>0</v>
      </c>
      <c r="Q5419">
        <v>1</v>
      </c>
      <c r="R5419">
        <v>0</v>
      </c>
    </row>
    <row r="5420" spans="1:18" x14ac:dyDescent="0.25">
      <c r="A5420" s="19" t="s">
        <v>578</v>
      </c>
      <c r="B5420" s="19" t="s">
        <v>63</v>
      </c>
      <c r="C5420">
        <v>3</v>
      </c>
      <c r="D5420">
        <v>3</v>
      </c>
      <c r="E5420">
        <v>1</v>
      </c>
      <c r="F5420" s="15">
        <v>46230</v>
      </c>
      <c r="G5420" s="19" t="s">
        <v>655</v>
      </c>
      <c r="H5420">
        <v>4</v>
      </c>
      <c r="I5420">
        <v>2026</v>
      </c>
      <c r="J5420">
        <v>7</v>
      </c>
      <c r="K5420" s="19" t="s">
        <v>282</v>
      </c>
      <c r="L5420" s="19" t="s">
        <v>14</v>
      </c>
      <c r="M5420" s="19" t="s">
        <v>63</v>
      </c>
      <c r="N5420" t="b">
        <v>0</v>
      </c>
      <c r="O5420">
        <v>0</v>
      </c>
      <c r="P5420">
        <v>0</v>
      </c>
      <c r="Q5420">
        <v>1</v>
      </c>
      <c r="R5420">
        <v>0</v>
      </c>
    </row>
    <row r="5421" spans="1:18" x14ac:dyDescent="0.25">
      <c r="A5421" s="19" t="s">
        <v>578</v>
      </c>
      <c r="B5421" s="19" t="s">
        <v>63</v>
      </c>
      <c r="C5421">
        <v>3</v>
      </c>
      <c r="D5421">
        <v>3</v>
      </c>
      <c r="E5421">
        <v>1</v>
      </c>
      <c r="F5421" s="15">
        <v>46230</v>
      </c>
      <c r="G5421" s="19" t="s">
        <v>655</v>
      </c>
      <c r="H5421">
        <v>4</v>
      </c>
      <c r="I5421">
        <v>2026</v>
      </c>
      <c r="J5421">
        <v>7</v>
      </c>
      <c r="K5421" s="19" t="s">
        <v>282</v>
      </c>
      <c r="L5421" s="19" t="s">
        <v>17</v>
      </c>
      <c r="M5421" s="19" t="s">
        <v>63</v>
      </c>
      <c r="N5421" t="b">
        <v>0</v>
      </c>
      <c r="O5421">
        <v>0</v>
      </c>
      <c r="P5421">
        <v>0</v>
      </c>
      <c r="Q5421">
        <v>1</v>
      </c>
      <c r="R5421">
        <v>0</v>
      </c>
    </row>
    <row r="5422" spans="1:18" x14ac:dyDescent="0.25">
      <c r="A5422" s="19" t="s">
        <v>578</v>
      </c>
      <c r="B5422" s="19" t="s">
        <v>63</v>
      </c>
      <c r="C5422">
        <v>3</v>
      </c>
      <c r="D5422">
        <v>3</v>
      </c>
      <c r="E5422">
        <v>1</v>
      </c>
      <c r="F5422" s="15">
        <v>46230</v>
      </c>
      <c r="G5422" s="19" t="s">
        <v>655</v>
      </c>
      <c r="H5422">
        <v>4</v>
      </c>
      <c r="I5422">
        <v>2026</v>
      </c>
      <c r="J5422">
        <v>7</v>
      </c>
      <c r="K5422" s="19" t="s">
        <v>282</v>
      </c>
      <c r="L5422" s="19" t="s">
        <v>519</v>
      </c>
      <c r="M5422" s="19" t="s">
        <v>63</v>
      </c>
      <c r="N5422" t="b">
        <v>0</v>
      </c>
      <c r="O5422">
        <v>0</v>
      </c>
      <c r="P5422">
        <v>0</v>
      </c>
      <c r="Q5422">
        <v>1</v>
      </c>
      <c r="R5422">
        <v>0</v>
      </c>
    </row>
    <row r="5423" spans="1:18" x14ac:dyDescent="0.25">
      <c r="A5423" s="19" t="s">
        <v>519</v>
      </c>
      <c r="B5423" s="19" t="s">
        <v>63</v>
      </c>
      <c r="C5423">
        <v>4</v>
      </c>
      <c r="D5423">
        <v>3</v>
      </c>
      <c r="E5423">
        <v>1</v>
      </c>
      <c r="F5423" s="15">
        <v>46230</v>
      </c>
      <c r="G5423" s="19" t="s">
        <v>655</v>
      </c>
      <c r="H5423">
        <v>4</v>
      </c>
      <c r="I5423">
        <v>2026</v>
      </c>
      <c r="J5423">
        <v>7</v>
      </c>
      <c r="K5423" s="19" t="s">
        <v>282</v>
      </c>
      <c r="L5423" s="19" t="s">
        <v>14</v>
      </c>
      <c r="M5423" s="19" t="s">
        <v>63</v>
      </c>
      <c r="N5423" t="b">
        <v>0</v>
      </c>
      <c r="O5423">
        <v>0</v>
      </c>
      <c r="P5423">
        <v>0</v>
      </c>
      <c r="Q5423">
        <v>1</v>
      </c>
      <c r="R5423">
        <v>0</v>
      </c>
    </row>
    <row r="5424" spans="1:18" x14ac:dyDescent="0.25">
      <c r="A5424" s="19" t="s">
        <v>519</v>
      </c>
      <c r="B5424" s="19" t="s">
        <v>63</v>
      </c>
      <c r="C5424">
        <v>4</v>
      </c>
      <c r="D5424">
        <v>3</v>
      </c>
      <c r="E5424">
        <v>1</v>
      </c>
      <c r="F5424" s="15">
        <v>46230</v>
      </c>
      <c r="G5424" s="19" t="s">
        <v>655</v>
      </c>
      <c r="H5424">
        <v>4</v>
      </c>
      <c r="I5424">
        <v>2026</v>
      </c>
      <c r="J5424">
        <v>7</v>
      </c>
      <c r="K5424" s="19" t="s">
        <v>282</v>
      </c>
      <c r="L5424" s="19" t="s">
        <v>17</v>
      </c>
      <c r="M5424" s="19" t="s">
        <v>63</v>
      </c>
      <c r="N5424" t="b">
        <v>0</v>
      </c>
      <c r="O5424">
        <v>0</v>
      </c>
      <c r="P5424">
        <v>0</v>
      </c>
      <c r="Q5424">
        <v>1</v>
      </c>
      <c r="R5424">
        <v>0</v>
      </c>
    </row>
    <row r="5425" spans="1:18" x14ac:dyDescent="0.25">
      <c r="A5425" s="19" t="s">
        <v>519</v>
      </c>
      <c r="B5425" s="19" t="s">
        <v>63</v>
      </c>
      <c r="C5425">
        <v>4</v>
      </c>
      <c r="D5425">
        <v>3</v>
      </c>
      <c r="E5425">
        <v>1</v>
      </c>
      <c r="F5425" s="15">
        <v>46230</v>
      </c>
      <c r="G5425" s="19" t="s">
        <v>655</v>
      </c>
      <c r="H5425">
        <v>4</v>
      </c>
      <c r="I5425">
        <v>2026</v>
      </c>
      <c r="J5425">
        <v>7</v>
      </c>
      <c r="K5425" s="19" t="s">
        <v>282</v>
      </c>
      <c r="L5425" s="19" t="s">
        <v>578</v>
      </c>
      <c r="M5425" s="19" t="s">
        <v>63</v>
      </c>
      <c r="N5425" t="b">
        <v>0</v>
      </c>
      <c r="O5425">
        <v>0</v>
      </c>
      <c r="P5425">
        <v>0</v>
      </c>
      <c r="Q5425">
        <v>1</v>
      </c>
      <c r="R5425">
        <v>0</v>
      </c>
    </row>
    <row r="5426" spans="1:18" x14ac:dyDescent="0.25">
      <c r="A5426" s="19" t="s">
        <v>326</v>
      </c>
      <c r="B5426" s="19" t="s">
        <v>6</v>
      </c>
      <c r="C5426">
        <v>1</v>
      </c>
      <c r="D5426">
        <v>4</v>
      </c>
      <c r="E5426">
        <v>1</v>
      </c>
      <c r="F5426" s="15">
        <v>46230</v>
      </c>
      <c r="G5426" s="19" t="s">
        <v>656</v>
      </c>
      <c r="H5426">
        <v>3</v>
      </c>
      <c r="I5426">
        <v>2026</v>
      </c>
      <c r="J5426">
        <v>7</v>
      </c>
      <c r="K5426" s="19" t="s">
        <v>282</v>
      </c>
      <c r="L5426" s="19" t="s">
        <v>28</v>
      </c>
      <c r="M5426" s="19" t="s">
        <v>8</v>
      </c>
      <c r="N5426" t="b">
        <v>0</v>
      </c>
      <c r="O5426">
        <v>0</v>
      </c>
      <c r="P5426">
        <v>1</v>
      </c>
      <c r="Q5426">
        <v>0</v>
      </c>
      <c r="R5426">
        <v>1</v>
      </c>
    </row>
    <row r="5427" spans="1:18" x14ac:dyDescent="0.25">
      <c r="A5427" s="19" t="s">
        <v>326</v>
      </c>
      <c r="B5427" s="19" t="s">
        <v>6</v>
      </c>
      <c r="C5427">
        <v>1</v>
      </c>
      <c r="D5427">
        <v>4</v>
      </c>
      <c r="E5427">
        <v>1</v>
      </c>
      <c r="F5427" s="15">
        <v>46230</v>
      </c>
      <c r="G5427" s="19" t="s">
        <v>656</v>
      </c>
      <c r="H5427">
        <v>3</v>
      </c>
      <c r="I5427">
        <v>2026</v>
      </c>
      <c r="J5427">
        <v>7</v>
      </c>
      <c r="K5427" s="19" t="s">
        <v>282</v>
      </c>
      <c r="L5427" s="19" t="s">
        <v>7</v>
      </c>
      <c r="M5427" s="19" t="s">
        <v>6</v>
      </c>
      <c r="N5427" t="b">
        <v>0</v>
      </c>
      <c r="O5427">
        <v>0</v>
      </c>
      <c r="P5427">
        <v>1</v>
      </c>
      <c r="Q5427">
        <v>0</v>
      </c>
      <c r="R5427">
        <v>0</v>
      </c>
    </row>
    <row r="5428" spans="1:18" x14ac:dyDescent="0.25">
      <c r="A5428" s="19" t="s">
        <v>28</v>
      </c>
      <c r="B5428" s="19" t="s">
        <v>8</v>
      </c>
      <c r="C5428">
        <v>2</v>
      </c>
      <c r="D5428">
        <v>4</v>
      </c>
      <c r="E5428">
        <v>1</v>
      </c>
      <c r="F5428" s="15">
        <v>46230</v>
      </c>
      <c r="G5428" s="19" t="s">
        <v>656</v>
      </c>
      <c r="H5428">
        <v>3</v>
      </c>
      <c r="I5428">
        <v>2026</v>
      </c>
      <c r="J5428">
        <v>7</v>
      </c>
      <c r="K5428" s="19" t="s">
        <v>282</v>
      </c>
      <c r="L5428" s="19" t="s">
        <v>326</v>
      </c>
      <c r="M5428" s="19" t="s">
        <v>6</v>
      </c>
      <c r="N5428" t="b">
        <v>0</v>
      </c>
      <c r="O5428">
        <v>1</v>
      </c>
      <c r="P5428">
        <v>0</v>
      </c>
      <c r="Q5428">
        <v>0</v>
      </c>
      <c r="R5428">
        <v>0</v>
      </c>
    </row>
    <row r="5429" spans="1:18" x14ac:dyDescent="0.25">
      <c r="A5429" s="19" t="s">
        <v>28</v>
      </c>
      <c r="B5429" s="19" t="s">
        <v>8</v>
      </c>
      <c r="C5429">
        <v>2</v>
      </c>
      <c r="D5429">
        <v>4</v>
      </c>
      <c r="E5429">
        <v>1</v>
      </c>
      <c r="F5429" s="15">
        <v>46230</v>
      </c>
      <c r="G5429" s="19" t="s">
        <v>656</v>
      </c>
      <c r="H5429">
        <v>3</v>
      </c>
      <c r="I5429">
        <v>2026</v>
      </c>
      <c r="J5429">
        <v>7</v>
      </c>
      <c r="K5429" s="19" t="s">
        <v>282</v>
      </c>
      <c r="L5429" s="19" t="s">
        <v>7</v>
      </c>
      <c r="M5429" s="19" t="s">
        <v>6</v>
      </c>
      <c r="N5429" t="b">
        <v>0</v>
      </c>
      <c r="O5429">
        <v>1</v>
      </c>
      <c r="P5429">
        <v>0</v>
      </c>
      <c r="Q5429">
        <v>0</v>
      </c>
      <c r="R5429">
        <v>0</v>
      </c>
    </row>
    <row r="5430" spans="1:18" x14ac:dyDescent="0.25">
      <c r="A5430" s="19" t="s">
        <v>7</v>
      </c>
      <c r="B5430" s="19" t="s">
        <v>6</v>
      </c>
      <c r="C5430">
        <v>3</v>
      </c>
      <c r="D5430">
        <v>4</v>
      </c>
      <c r="E5430">
        <v>1</v>
      </c>
      <c r="F5430" s="15">
        <v>46230</v>
      </c>
      <c r="G5430" s="19" t="s">
        <v>656</v>
      </c>
      <c r="H5430">
        <v>3</v>
      </c>
      <c r="I5430">
        <v>2026</v>
      </c>
      <c r="J5430">
        <v>7</v>
      </c>
      <c r="K5430" s="19" t="s">
        <v>282</v>
      </c>
      <c r="L5430" s="19" t="s">
        <v>326</v>
      </c>
      <c r="M5430" s="19" t="s">
        <v>6</v>
      </c>
      <c r="N5430" t="b">
        <v>0</v>
      </c>
      <c r="O5430">
        <v>0</v>
      </c>
      <c r="P5430">
        <v>1</v>
      </c>
      <c r="Q5430">
        <v>0</v>
      </c>
      <c r="R5430">
        <v>0</v>
      </c>
    </row>
    <row r="5431" spans="1:18" x14ac:dyDescent="0.25">
      <c r="A5431" s="19" t="s">
        <v>7</v>
      </c>
      <c r="B5431" s="19" t="s">
        <v>6</v>
      </c>
      <c r="C5431">
        <v>3</v>
      </c>
      <c r="D5431">
        <v>4</v>
      </c>
      <c r="E5431">
        <v>1</v>
      </c>
      <c r="F5431" s="15">
        <v>46230</v>
      </c>
      <c r="G5431" s="19" t="s">
        <v>656</v>
      </c>
      <c r="H5431">
        <v>3</v>
      </c>
      <c r="I5431">
        <v>2026</v>
      </c>
      <c r="J5431">
        <v>7</v>
      </c>
      <c r="K5431" s="19" t="s">
        <v>282</v>
      </c>
      <c r="L5431" s="19" t="s">
        <v>28</v>
      </c>
      <c r="M5431" s="19" t="s">
        <v>8</v>
      </c>
      <c r="N5431" t="b">
        <v>0</v>
      </c>
      <c r="O5431">
        <v>0</v>
      </c>
      <c r="P5431">
        <v>1</v>
      </c>
      <c r="Q5431">
        <v>0</v>
      </c>
      <c r="R5431">
        <v>1</v>
      </c>
    </row>
    <row r="5432" spans="1:18" x14ac:dyDescent="0.25">
      <c r="A5432" s="19" t="s">
        <v>540</v>
      </c>
      <c r="B5432" s="19" t="s">
        <v>6</v>
      </c>
      <c r="C5432">
        <v>1</v>
      </c>
      <c r="D5432">
        <v>5</v>
      </c>
      <c r="E5432">
        <v>1</v>
      </c>
      <c r="F5432" s="15">
        <v>46230</v>
      </c>
      <c r="G5432" s="19" t="s">
        <v>657</v>
      </c>
      <c r="H5432">
        <v>3</v>
      </c>
      <c r="I5432">
        <v>2026</v>
      </c>
      <c r="J5432">
        <v>7</v>
      </c>
      <c r="K5432" s="19" t="s">
        <v>282</v>
      </c>
      <c r="L5432" s="19" t="s">
        <v>41</v>
      </c>
      <c r="M5432" s="19" t="s">
        <v>6</v>
      </c>
      <c r="N5432" t="b">
        <v>0</v>
      </c>
      <c r="O5432">
        <v>0</v>
      </c>
      <c r="P5432">
        <v>1</v>
      </c>
      <c r="Q5432">
        <v>0</v>
      </c>
      <c r="R5432">
        <v>0</v>
      </c>
    </row>
    <row r="5433" spans="1:18" x14ac:dyDescent="0.25">
      <c r="A5433" s="19" t="s">
        <v>540</v>
      </c>
      <c r="B5433" s="19" t="s">
        <v>6</v>
      </c>
      <c r="C5433">
        <v>1</v>
      </c>
      <c r="D5433">
        <v>5</v>
      </c>
      <c r="E5433">
        <v>1</v>
      </c>
      <c r="F5433" s="15">
        <v>46230</v>
      </c>
      <c r="G5433" s="19" t="s">
        <v>657</v>
      </c>
      <c r="H5433">
        <v>3</v>
      </c>
      <c r="I5433">
        <v>2026</v>
      </c>
      <c r="J5433">
        <v>7</v>
      </c>
      <c r="K5433" s="19" t="s">
        <v>282</v>
      </c>
      <c r="L5433" s="19" t="s">
        <v>325</v>
      </c>
      <c r="M5433" s="19" t="s">
        <v>8</v>
      </c>
      <c r="N5433" t="b">
        <v>0</v>
      </c>
      <c r="O5433">
        <v>0</v>
      </c>
      <c r="P5433">
        <v>1</v>
      </c>
      <c r="Q5433">
        <v>0</v>
      </c>
      <c r="R5433">
        <v>1</v>
      </c>
    </row>
    <row r="5434" spans="1:18" x14ac:dyDescent="0.25">
      <c r="A5434" s="19" t="s">
        <v>41</v>
      </c>
      <c r="B5434" s="19" t="s">
        <v>6</v>
      </c>
      <c r="C5434">
        <v>2</v>
      </c>
      <c r="D5434">
        <v>5</v>
      </c>
      <c r="E5434">
        <v>1</v>
      </c>
      <c r="F5434" s="15">
        <v>46230</v>
      </c>
      <c r="G5434" s="19" t="s">
        <v>657</v>
      </c>
      <c r="H5434">
        <v>3</v>
      </c>
      <c r="I5434">
        <v>2026</v>
      </c>
      <c r="J5434">
        <v>7</v>
      </c>
      <c r="K5434" s="19" t="s">
        <v>282</v>
      </c>
      <c r="L5434" s="19" t="s">
        <v>540</v>
      </c>
      <c r="M5434" s="19" t="s">
        <v>6</v>
      </c>
      <c r="N5434" t="b">
        <v>0</v>
      </c>
      <c r="O5434">
        <v>0</v>
      </c>
      <c r="P5434">
        <v>1</v>
      </c>
      <c r="Q5434">
        <v>0</v>
      </c>
      <c r="R5434">
        <v>0</v>
      </c>
    </row>
    <row r="5435" spans="1:18" x14ac:dyDescent="0.25">
      <c r="A5435" s="19" t="s">
        <v>41</v>
      </c>
      <c r="B5435" s="19" t="s">
        <v>6</v>
      </c>
      <c r="C5435">
        <v>2</v>
      </c>
      <c r="D5435">
        <v>5</v>
      </c>
      <c r="E5435">
        <v>1</v>
      </c>
      <c r="F5435" s="15">
        <v>46230</v>
      </c>
      <c r="G5435" s="19" t="s">
        <v>657</v>
      </c>
      <c r="H5435">
        <v>3</v>
      </c>
      <c r="I5435">
        <v>2026</v>
      </c>
      <c r="J5435">
        <v>7</v>
      </c>
      <c r="K5435" s="19" t="s">
        <v>282</v>
      </c>
      <c r="L5435" s="19" t="s">
        <v>325</v>
      </c>
      <c r="M5435" s="19" t="s">
        <v>8</v>
      </c>
      <c r="N5435" t="b">
        <v>0</v>
      </c>
      <c r="O5435">
        <v>0</v>
      </c>
      <c r="P5435">
        <v>1</v>
      </c>
      <c r="Q5435">
        <v>0</v>
      </c>
      <c r="R5435">
        <v>1</v>
      </c>
    </row>
    <row r="5436" spans="1:18" x14ac:dyDescent="0.25">
      <c r="A5436" s="19" t="s">
        <v>325</v>
      </c>
      <c r="B5436" s="19" t="s">
        <v>8</v>
      </c>
      <c r="C5436">
        <v>3</v>
      </c>
      <c r="D5436">
        <v>5</v>
      </c>
      <c r="E5436">
        <v>1</v>
      </c>
      <c r="F5436" s="15">
        <v>46230</v>
      </c>
      <c r="G5436" s="19" t="s">
        <v>657</v>
      </c>
      <c r="H5436">
        <v>3</v>
      </c>
      <c r="I5436">
        <v>2026</v>
      </c>
      <c r="J5436">
        <v>7</v>
      </c>
      <c r="K5436" s="19" t="s">
        <v>282</v>
      </c>
      <c r="L5436" s="19" t="s">
        <v>540</v>
      </c>
      <c r="M5436" s="19" t="s">
        <v>6</v>
      </c>
      <c r="N5436" t="b">
        <v>0</v>
      </c>
      <c r="O5436">
        <v>1</v>
      </c>
      <c r="P5436">
        <v>0</v>
      </c>
      <c r="Q5436">
        <v>0</v>
      </c>
      <c r="R5436">
        <v>0</v>
      </c>
    </row>
    <row r="5437" spans="1:18" x14ac:dyDescent="0.25">
      <c r="A5437" s="19" t="s">
        <v>325</v>
      </c>
      <c r="B5437" s="19" t="s">
        <v>8</v>
      </c>
      <c r="C5437">
        <v>3</v>
      </c>
      <c r="D5437">
        <v>5</v>
      </c>
      <c r="E5437">
        <v>1</v>
      </c>
      <c r="F5437" s="15">
        <v>46230</v>
      </c>
      <c r="G5437" s="19" t="s">
        <v>657</v>
      </c>
      <c r="H5437">
        <v>3</v>
      </c>
      <c r="I5437">
        <v>2026</v>
      </c>
      <c r="J5437">
        <v>7</v>
      </c>
      <c r="K5437" s="19" t="s">
        <v>282</v>
      </c>
      <c r="L5437" s="19" t="s">
        <v>41</v>
      </c>
      <c r="M5437" s="19" t="s">
        <v>6</v>
      </c>
      <c r="N5437" t="b">
        <v>0</v>
      </c>
      <c r="O5437">
        <v>1</v>
      </c>
      <c r="P5437">
        <v>0</v>
      </c>
      <c r="Q5437">
        <v>0</v>
      </c>
      <c r="R5437">
        <v>0</v>
      </c>
    </row>
    <row r="5438" spans="1:18" x14ac:dyDescent="0.25">
      <c r="A5438" s="19" t="s">
        <v>325</v>
      </c>
      <c r="B5438" s="19" t="s">
        <v>6</v>
      </c>
      <c r="C5438">
        <v>1</v>
      </c>
      <c r="D5438">
        <v>1</v>
      </c>
      <c r="E5438">
        <v>2</v>
      </c>
      <c r="F5438" s="15">
        <v>46230</v>
      </c>
      <c r="G5438" s="19" t="s">
        <v>658</v>
      </c>
      <c r="H5438">
        <v>4</v>
      </c>
      <c r="I5438">
        <v>2026</v>
      </c>
      <c r="J5438">
        <v>7</v>
      </c>
      <c r="K5438" s="19" t="s">
        <v>282</v>
      </c>
      <c r="L5438" s="19" t="s">
        <v>28</v>
      </c>
      <c r="M5438" s="19" t="s">
        <v>8</v>
      </c>
      <c r="N5438" t="b">
        <v>0</v>
      </c>
      <c r="O5438">
        <v>0</v>
      </c>
      <c r="P5438">
        <v>1</v>
      </c>
      <c r="Q5438">
        <v>0</v>
      </c>
      <c r="R5438">
        <v>1</v>
      </c>
    </row>
    <row r="5439" spans="1:18" x14ac:dyDescent="0.25">
      <c r="A5439" s="19" t="s">
        <v>325</v>
      </c>
      <c r="B5439" s="19" t="s">
        <v>6</v>
      </c>
      <c r="C5439">
        <v>1</v>
      </c>
      <c r="D5439">
        <v>1</v>
      </c>
      <c r="E5439">
        <v>2</v>
      </c>
      <c r="F5439" s="15">
        <v>46230</v>
      </c>
      <c r="G5439" s="19" t="s">
        <v>658</v>
      </c>
      <c r="H5439">
        <v>4</v>
      </c>
      <c r="I5439">
        <v>2026</v>
      </c>
      <c r="J5439">
        <v>7</v>
      </c>
      <c r="K5439" s="19" t="s">
        <v>282</v>
      </c>
      <c r="L5439" s="19" t="s">
        <v>578</v>
      </c>
      <c r="M5439" s="19" t="s">
        <v>6</v>
      </c>
      <c r="N5439" t="b">
        <v>0</v>
      </c>
      <c r="O5439">
        <v>0</v>
      </c>
      <c r="P5439">
        <v>1</v>
      </c>
      <c r="Q5439">
        <v>0</v>
      </c>
      <c r="R5439">
        <v>0</v>
      </c>
    </row>
    <row r="5440" spans="1:18" x14ac:dyDescent="0.25">
      <c r="A5440" s="19" t="s">
        <v>325</v>
      </c>
      <c r="B5440" s="19" t="s">
        <v>6</v>
      </c>
      <c r="C5440">
        <v>1</v>
      </c>
      <c r="D5440">
        <v>1</v>
      </c>
      <c r="E5440">
        <v>2</v>
      </c>
      <c r="F5440" s="15">
        <v>46230</v>
      </c>
      <c r="G5440" s="19" t="s">
        <v>658</v>
      </c>
      <c r="H5440">
        <v>4</v>
      </c>
      <c r="I5440">
        <v>2026</v>
      </c>
      <c r="J5440">
        <v>7</v>
      </c>
      <c r="K5440" s="19" t="s">
        <v>282</v>
      </c>
      <c r="L5440" s="19" t="s">
        <v>19</v>
      </c>
      <c r="M5440" s="19" t="s">
        <v>6</v>
      </c>
      <c r="N5440" t="b">
        <v>0</v>
      </c>
      <c r="O5440">
        <v>0</v>
      </c>
      <c r="P5440">
        <v>1</v>
      </c>
      <c r="Q5440">
        <v>0</v>
      </c>
      <c r="R5440">
        <v>0</v>
      </c>
    </row>
    <row r="5441" spans="1:18" x14ac:dyDescent="0.25">
      <c r="A5441" s="19" t="s">
        <v>28</v>
      </c>
      <c r="B5441" s="19" t="s">
        <v>8</v>
      </c>
      <c r="C5441">
        <v>2</v>
      </c>
      <c r="D5441">
        <v>1</v>
      </c>
      <c r="E5441">
        <v>2</v>
      </c>
      <c r="F5441" s="15">
        <v>46230</v>
      </c>
      <c r="G5441" s="19" t="s">
        <v>658</v>
      </c>
      <c r="H5441">
        <v>4</v>
      </c>
      <c r="I5441">
        <v>2026</v>
      </c>
      <c r="J5441">
        <v>7</v>
      </c>
      <c r="K5441" s="19" t="s">
        <v>282</v>
      </c>
      <c r="L5441" s="19" t="s">
        <v>325</v>
      </c>
      <c r="M5441" s="19" t="s">
        <v>6</v>
      </c>
      <c r="N5441" t="b">
        <v>0</v>
      </c>
      <c r="O5441">
        <v>1</v>
      </c>
      <c r="P5441">
        <v>0</v>
      </c>
      <c r="Q5441">
        <v>0</v>
      </c>
      <c r="R5441">
        <v>0</v>
      </c>
    </row>
    <row r="5442" spans="1:18" x14ac:dyDescent="0.25">
      <c r="A5442" s="19" t="s">
        <v>28</v>
      </c>
      <c r="B5442" s="19" t="s">
        <v>8</v>
      </c>
      <c r="C5442">
        <v>2</v>
      </c>
      <c r="D5442">
        <v>1</v>
      </c>
      <c r="E5442">
        <v>2</v>
      </c>
      <c r="F5442" s="15">
        <v>46230</v>
      </c>
      <c r="G5442" s="19" t="s">
        <v>658</v>
      </c>
      <c r="H5442">
        <v>4</v>
      </c>
      <c r="I5442">
        <v>2026</v>
      </c>
      <c r="J5442">
        <v>7</v>
      </c>
      <c r="K5442" s="19" t="s">
        <v>282</v>
      </c>
      <c r="L5442" s="19" t="s">
        <v>578</v>
      </c>
      <c r="M5442" s="19" t="s">
        <v>6</v>
      </c>
      <c r="N5442" t="b">
        <v>0</v>
      </c>
      <c r="O5442">
        <v>1</v>
      </c>
      <c r="P5442">
        <v>0</v>
      </c>
      <c r="Q5442">
        <v>0</v>
      </c>
      <c r="R5442">
        <v>0</v>
      </c>
    </row>
    <row r="5443" spans="1:18" x14ac:dyDescent="0.25">
      <c r="A5443" s="19" t="s">
        <v>28</v>
      </c>
      <c r="B5443" s="19" t="s">
        <v>8</v>
      </c>
      <c r="C5443">
        <v>2</v>
      </c>
      <c r="D5443">
        <v>1</v>
      </c>
      <c r="E5443">
        <v>2</v>
      </c>
      <c r="F5443" s="15">
        <v>46230</v>
      </c>
      <c r="G5443" s="19" t="s">
        <v>658</v>
      </c>
      <c r="H5443">
        <v>4</v>
      </c>
      <c r="I5443">
        <v>2026</v>
      </c>
      <c r="J5443">
        <v>7</v>
      </c>
      <c r="K5443" s="19" t="s">
        <v>282</v>
      </c>
      <c r="L5443" s="19" t="s">
        <v>19</v>
      </c>
      <c r="M5443" s="19" t="s">
        <v>6</v>
      </c>
      <c r="N5443" t="b">
        <v>0</v>
      </c>
      <c r="O5443">
        <v>1</v>
      </c>
      <c r="P5443">
        <v>0</v>
      </c>
      <c r="Q5443">
        <v>0</v>
      </c>
      <c r="R5443">
        <v>0</v>
      </c>
    </row>
    <row r="5444" spans="1:18" x14ac:dyDescent="0.25">
      <c r="A5444" s="19" t="s">
        <v>578</v>
      </c>
      <c r="B5444" s="19" t="s">
        <v>6</v>
      </c>
      <c r="C5444">
        <v>3</v>
      </c>
      <c r="D5444">
        <v>1</v>
      </c>
      <c r="E5444">
        <v>2</v>
      </c>
      <c r="F5444" s="15">
        <v>46230</v>
      </c>
      <c r="G5444" s="19" t="s">
        <v>658</v>
      </c>
      <c r="H5444">
        <v>4</v>
      </c>
      <c r="I5444">
        <v>2026</v>
      </c>
      <c r="J5444">
        <v>7</v>
      </c>
      <c r="K5444" s="19" t="s">
        <v>282</v>
      </c>
      <c r="L5444" s="19" t="s">
        <v>325</v>
      </c>
      <c r="M5444" s="19" t="s">
        <v>6</v>
      </c>
      <c r="N5444" t="b">
        <v>0</v>
      </c>
      <c r="O5444">
        <v>0</v>
      </c>
      <c r="P5444">
        <v>1</v>
      </c>
      <c r="Q5444">
        <v>0</v>
      </c>
      <c r="R5444">
        <v>0</v>
      </c>
    </row>
    <row r="5445" spans="1:18" x14ac:dyDescent="0.25">
      <c r="A5445" s="19" t="s">
        <v>578</v>
      </c>
      <c r="B5445" s="19" t="s">
        <v>6</v>
      </c>
      <c r="C5445">
        <v>3</v>
      </c>
      <c r="D5445">
        <v>1</v>
      </c>
      <c r="E5445">
        <v>2</v>
      </c>
      <c r="F5445" s="15">
        <v>46230</v>
      </c>
      <c r="G5445" s="19" t="s">
        <v>658</v>
      </c>
      <c r="H5445">
        <v>4</v>
      </c>
      <c r="I5445">
        <v>2026</v>
      </c>
      <c r="J5445">
        <v>7</v>
      </c>
      <c r="K5445" s="19" t="s">
        <v>282</v>
      </c>
      <c r="L5445" s="19" t="s">
        <v>28</v>
      </c>
      <c r="M5445" s="19" t="s">
        <v>8</v>
      </c>
      <c r="N5445" t="b">
        <v>0</v>
      </c>
      <c r="O5445">
        <v>0</v>
      </c>
      <c r="P5445">
        <v>1</v>
      </c>
      <c r="Q5445">
        <v>0</v>
      </c>
      <c r="R5445">
        <v>1</v>
      </c>
    </row>
    <row r="5446" spans="1:18" x14ac:dyDescent="0.25">
      <c r="A5446" s="19" t="s">
        <v>578</v>
      </c>
      <c r="B5446" s="19" t="s">
        <v>6</v>
      </c>
      <c r="C5446">
        <v>3</v>
      </c>
      <c r="D5446">
        <v>1</v>
      </c>
      <c r="E5446">
        <v>2</v>
      </c>
      <c r="F5446" s="15">
        <v>46230</v>
      </c>
      <c r="G5446" s="19" t="s">
        <v>658</v>
      </c>
      <c r="H5446">
        <v>4</v>
      </c>
      <c r="I5446">
        <v>2026</v>
      </c>
      <c r="J5446">
        <v>7</v>
      </c>
      <c r="K5446" s="19" t="s">
        <v>282</v>
      </c>
      <c r="L5446" s="19" t="s">
        <v>19</v>
      </c>
      <c r="M5446" s="19" t="s">
        <v>6</v>
      </c>
      <c r="N5446" t="b">
        <v>0</v>
      </c>
      <c r="O5446">
        <v>0</v>
      </c>
      <c r="P5446">
        <v>1</v>
      </c>
      <c r="Q5446">
        <v>0</v>
      </c>
      <c r="R5446">
        <v>0</v>
      </c>
    </row>
    <row r="5447" spans="1:18" x14ac:dyDescent="0.25">
      <c r="A5447" s="19" t="s">
        <v>19</v>
      </c>
      <c r="B5447" s="19" t="s">
        <v>6</v>
      </c>
      <c r="C5447">
        <v>4</v>
      </c>
      <c r="D5447">
        <v>1</v>
      </c>
      <c r="E5447">
        <v>2</v>
      </c>
      <c r="F5447" s="15">
        <v>46230</v>
      </c>
      <c r="G5447" s="19" t="s">
        <v>658</v>
      </c>
      <c r="H5447">
        <v>4</v>
      </c>
      <c r="I5447">
        <v>2026</v>
      </c>
      <c r="J5447">
        <v>7</v>
      </c>
      <c r="K5447" s="19" t="s">
        <v>282</v>
      </c>
      <c r="L5447" s="19" t="s">
        <v>325</v>
      </c>
      <c r="M5447" s="19" t="s">
        <v>6</v>
      </c>
      <c r="N5447" t="b">
        <v>0</v>
      </c>
      <c r="O5447">
        <v>0</v>
      </c>
      <c r="P5447">
        <v>1</v>
      </c>
      <c r="Q5447">
        <v>0</v>
      </c>
      <c r="R5447">
        <v>0</v>
      </c>
    </row>
    <row r="5448" spans="1:18" x14ac:dyDescent="0.25">
      <c r="A5448" s="19" t="s">
        <v>19</v>
      </c>
      <c r="B5448" s="19" t="s">
        <v>6</v>
      </c>
      <c r="C5448">
        <v>4</v>
      </c>
      <c r="D5448">
        <v>1</v>
      </c>
      <c r="E5448">
        <v>2</v>
      </c>
      <c r="F5448" s="15">
        <v>46230</v>
      </c>
      <c r="G5448" s="19" t="s">
        <v>658</v>
      </c>
      <c r="H5448">
        <v>4</v>
      </c>
      <c r="I5448">
        <v>2026</v>
      </c>
      <c r="J5448">
        <v>7</v>
      </c>
      <c r="K5448" s="19" t="s">
        <v>282</v>
      </c>
      <c r="L5448" s="19" t="s">
        <v>28</v>
      </c>
      <c r="M5448" s="19" t="s">
        <v>8</v>
      </c>
      <c r="N5448" t="b">
        <v>0</v>
      </c>
      <c r="O5448">
        <v>0</v>
      </c>
      <c r="P5448">
        <v>1</v>
      </c>
      <c r="Q5448">
        <v>0</v>
      </c>
      <c r="R5448">
        <v>1</v>
      </c>
    </row>
    <row r="5449" spans="1:18" x14ac:dyDescent="0.25">
      <c r="A5449" s="19" t="s">
        <v>19</v>
      </c>
      <c r="B5449" s="19" t="s">
        <v>6</v>
      </c>
      <c r="C5449">
        <v>4</v>
      </c>
      <c r="D5449">
        <v>1</v>
      </c>
      <c r="E5449">
        <v>2</v>
      </c>
      <c r="F5449" s="15">
        <v>46230</v>
      </c>
      <c r="G5449" s="19" t="s">
        <v>658</v>
      </c>
      <c r="H5449">
        <v>4</v>
      </c>
      <c r="I5449">
        <v>2026</v>
      </c>
      <c r="J5449">
        <v>7</v>
      </c>
      <c r="K5449" s="19" t="s">
        <v>282</v>
      </c>
      <c r="L5449" s="19" t="s">
        <v>578</v>
      </c>
      <c r="M5449" s="19" t="s">
        <v>6</v>
      </c>
      <c r="N5449" t="b">
        <v>0</v>
      </c>
      <c r="O5449">
        <v>0</v>
      </c>
      <c r="P5449">
        <v>1</v>
      </c>
      <c r="Q5449">
        <v>0</v>
      </c>
      <c r="R5449">
        <v>0</v>
      </c>
    </row>
    <row r="5450" spans="1:18" x14ac:dyDescent="0.25">
      <c r="A5450" s="19" t="s">
        <v>352</v>
      </c>
      <c r="B5450" s="19" t="s">
        <v>63</v>
      </c>
      <c r="C5450">
        <v>1</v>
      </c>
      <c r="D5450">
        <v>2</v>
      </c>
      <c r="E5450">
        <v>2</v>
      </c>
      <c r="F5450" s="15">
        <v>46230</v>
      </c>
      <c r="G5450" s="19" t="s">
        <v>659</v>
      </c>
      <c r="H5450">
        <v>4</v>
      </c>
      <c r="I5450">
        <v>2026</v>
      </c>
      <c r="J5450">
        <v>7</v>
      </c>
      <c r="K5450" s="19" t="s">
        <v>282</v>
      </c>
      <c r="L5450" s="19" t="s">
        <v>13</v>
      </c>
      <c r="M5450" s="19" t="s">
        <v>63</v>
      </c>
      <c r="N5450" t="b">
        <v>0</v>
      </c>
      <c r="O5450">
        <v>0</v>
      </c>
      <c r="P5450">
        <v>0</v>
      </c>
      <c r="Q5450">
        <v>1</v>
      </c>
      <c r="R5450">
        <v>0</v>
      </c>
    </row>
    <row r="5451" spans="1:18" x14ac:dyDescent="0.25">
      <c r="A5451" s="19" t="s">
        <v>352</v>
      </c>
      <c r="B5451" s="19" t="s">
        <v>63</v>
      </c>
      <c r="C5451">
        <v>1</v>
      </c>
      <c r="D5451">
        <v>2</v>
      </c>
      <c r="E5451">
        <v>2</v>
      </c>
      <c r="F5451" s="15">
        <v>46230</v>
      </c>
      <c r="G5451" s="19" t="s">
        <v>659</v>
      </c>
      <c r="H5451">
        <v>4</v>
      </c>
      <c r="I5451">
        <v>2026</v>
      </c>
      <c r="J5451">
        <v>7</v>
      </c>
      <c r="K5451" s="19" t="s">
        <v>282</v>
      </c>
      <c r="L5451" s="19" t="s">
        <v>17</v>
      </c>
      <c r="M5451" s="19" t="s">
        <v>63</v>
      </c>
      <c r="N5451" t="b">
        <v>0</v>
      </c>
      <c r="O5451">
        <v>0</v>
      </c>
      <c r="P5451">
        <v>0</v>
      </c>
      <c r="Q5451">
        <v>1</v>
      </c>
      <c r="R5451">
        <v>0</v>
      </c>
    </row>
    <row r="5452" spans="1:18" x14ac:dyDescent="0.25">
      <c r="A5452" s="19" t="s">
        <v>352</v>
      </c>
      <c r="B5452" s="19" t="s">
        <v>63</v>
      </c>
      <c r="C5452">
        <v>1</v>
      </c>
      <c r="D5452">
        <v>2</v>
      </c>
      <c r="E5452">
        <v>2</v>
      </c>
      <c r="F5452" s="15">
        <v>46230</v>
      </c>
      <c r="G5452" s="19" t="s">
        <v>659</v>
      </c>
      <c r="H5452">
        <v>4</v>
      </c>
      <c r="I5452">
        <v>2026</v>
      </c>
      <c r="J5452">
        <v>7</v>
      </c>
      <c r="K5452" s="19" t="s">
        <v>282</v>
      </c>
      <c r="L5452" s="19" t="s">
        <v>326</v>
      </c>
      <c r="M5452" s="19" t="s">
        <v>63</v>
      </c>
      <c r="N5452" t="b">
        <v>0</v>
      </c>
      <c r="O5452">
        <v>0</v>
      </c>
      <c r="P5452">
        <v>0</v>
      </c>
      <c r="Q5452">
        <v>1</v>
      </c>
      <c r="R5452">
        <v>0</v>
      </c>
    </row>
    <row r="5453" spans="1:18" x14ac:dyDescent="0.25">
      <c r="A5453" s="19" t="s">
        <v>13</v>
      </c>
      <c r="B5453" s="19" t="s">
        <v>63</v>
      </c>
      <c r="C5453">
        <v>2</v>
      </c>
      <c r="D5453">
        <v>2</v>
      </c>
      <c r="E5453">
        <v>2</v>
      </c>
      <c r="F5453" s="15">
        <v>46230</v>
      </c>
      <c r="G5453" s="19" t="s">
        <v>659</v>
      </c>
      <c r="H5453">
        <v>4</v>
      </c>
      <c r="I5453">
        <v>2026</v>
      </c>
      <c r="J5453">
        <v>7</v>
      </c>
      <c r="K5453" s="19" t="s">
        <v>282</v>
      </c>
      <c r="L5453" s="19" t="s">
        <v>352</v>
      </c>
      <c r="M5453" s="19" t="s">
        <v>63</v>
      </c>
      <c r="N5453" t="b">
        <v>0</v>
      </c>
      <c r="O5453">
        <v>0</v>
      </c>
      <c r="P5453">
        <v>0</v>
      </c>
      <c r="Q5453">
        <v>1</v>
      </c>
      <c r="R5453">
        <v>0</v>
      </c>
    </row>
    <row r="5454" spans="1:18" x14ac:dyDescent="0.25">
      <c r="A5454" s="19" t="s">
        <v>13</v>
      </c>
      <c r="B5454" s="19" t="s">
        <v>63</v>
      </c>
      <c r="C5454">
        <v>2</v>
      </c>
      <c r="D5454">
        <v>2</v>
      </c>
      <c r="E5454">
        <v>2</v>
      </c>
      <c r="F5454" s="15">
        <v>46230</v>
      </c>
      <c r="G5454" s="19" t="s">
        <v>659</v>
      </c>
      <c r="H5454">
        <v>4</v>
      </c>
      <c r="I5454">
        <v>2026</v>
      </c>
      <c r="J5454">
        <v>7</v>
      </c>
      <c r="K5454" s="19" t="s">
        <v>282</v>
      </c>
      <c r="L5454" s="19" t="s">
        <v>17</v>
      </c>
      <c r="M5454" s="19" t="s">
        <v>63</v>
      </c>
      <c r="N5454" t="b">
        <v>0</v>
      </c>
      <c r="O5454">
        <v>0</v>
      </c>
      <c r="P5454">
        <v>0</v>
      </c>
      <c r="Q5454">
        <v>1</v>
      </c>
      <c r="R5454">
        <v>0</v>
      </c>
    </row>
    <row r="5455" spans="1:18" x14ac:dyDescent="0.25">
      <c r="A5455" s="19" t="s">
        <v>13</v>
      </c>
      <c r="B5455" s="19" t="s">
        <v>63</v>
      </c>
      <c r="C5455">
        <v>2</v>
      </c>
      <c r="D5455">
        <v>2</v>
      </c>
      <c r="E5455">
        <v>2</v>
      </c>
      <c r="F5455" s="15">
        <v>46230</v>
      </c>
      <c r="G5455" s="19" t="s">
        <v>659</v>
      </c>
      <c r="H5455">
        <v>4</v>
      </c>
      <c r="I5455">
        <v>2026</v>
      </c>
      <c r="J5455">
        <v>7</v>
      </c>
      <c r="K5455" s="19" t="s">
        <v>282</v>
      </c>
      <c r="L5455" s="19" t="s">
        <v>326</v>
      </c>
      <c r="M5455" s="19" t="s">
        <v>63</v>
      </c>
      <c r="N5455" t="b">
        <v>0</v>
      </c>
      <c r="O5455">
        <v>0</v>
      </c>
      <c r="P5455">
        <v>0</v>
      </c>
      <c r="Q5455">
        <v>1</v>
      </c>
      <c r="R5455">
        <v>0</v>
      </c>
    </row>
    <row r="5456" spans="1:18" x14ac:dyDescent="0.25">
      <c r="A5456" s="19" t="s">
        <v>17</v>
      </c>
      <c r="B5456" s="19" t="s">
        <v>63</v>
      </c>
      <c r="C5456">
        <v>3</v>
      </c>
      <c r="D5456">
        <v>2</v>
      </c>
      <c r="E5456">
        <v>2</v>
      </c>
      <c r="F5456" s="15">
        <v>46230</v>
      </c>
      <c r="G5456" s="19" t="s">
        <v>659</v>
      </c>
      <c r="H5456">
        <v>4</v>
      </c>
      <c r="I5456">
        <v>2026</v>
      </c>
      <c r="J5456">
        <v>7</v>
      </c>
      <c r="K5456" s="19" t="s">
        <v>282</v>
      </c>
      <c r="L5456" s="19" t="s">
        <v>352</v>
      </c>
      <c r="M5456" s="19" t="s">
        <v>63</v>
      </c>
      <c r="N5456" t="b">
        <v>0</v>
      </c>
      <c r="O5456">
        <v>0</v>
      </c>
      <c r="P5456">
        <v>0</v>
      </c>
      <c r="Q5456">
        <v>1</v>
      </c>
      <c r="R5456">
        <v>0</v>
      </c>
    </row>
    <row r="5457" spans="1:18" x14ac:dyDescent="0.25">
      <c r="A5457" s="19" t="s">
        <v>17</v>
      </c>
      <c r="B5457" s="19" t="s">
        <v>63</v>
      </c>
      <c r="C5457">
        <v>3</v>
      </c>
      <c r="D5457">
        <v>2</v>
      </c>
      <c r="E5457">
        <v>2</v>
      </c>
      <c r="F5457" s="15">
        <v>46230</v>
      </c>
      <c r="G5457" s="19" t="s">
        <v>659</v>
      </c>
      <c r="H5457">
        <v>4</v>
      </c>
      <c r="I5457">
        <v>2026</v>
      </c>
      <c r="J5457">
        <v>7</v>
      </c>
      <c r="K5457" s="19" t="s">
        <v>282</v>
      </c>
      <c r="L5457" s="19" t="s">
        <v>13</v>
      </c>
      <c r="M5457" s="19" t="s">
        <v>63</v>
      </c>
      <c r="N5457" t="b">
        <v>0</v>
      </c>
      <c r="O5457">
        <v>0</v>
      </c>
      <c r="P5457">
        <v>0</v>
      </c>
      <c r="Q5457">
        <v>1</v>
      </c>
      <c r="R5457">
        <v>0</v>
      </c>
    </row>
    <row r="5458" spans="1:18" x14ac:dyDescent="0.25">
      <c r="A5458" s="19" t="s">
        <v>17</v>
      </c>
      <c r="B5458" s="19" t="s">
        <v>63</v>
      </c>
      <c r="C5458">
        <v>3</v>
      </c>
      <c r="D5458">
        <v>2</v>
      </c>
      <c r="E5458">
        <v>2</v>
      </c>
      <c r="F5458" s="15">
        <v>46230</v>
      </c>
      <c r="G5458" s="19" t="s">
        <v>659</v>
      </c>
      <c r="H5458">
        <v>4</v>
      </c>
      <c r="I5458">
        <v>2026</v>
      </c>
      <c r="J5458">
        <v>7</v>
      </c>
      <c r="K5458" s="19" t="s">
        <v>282</v>
      </c>
      <c r="L5458" s="19" t="s">
        <v>326</v>
      </c>
      <c r="M5458" s="19" t="s">
        <v>63</v>
      </c>
      <c r="N5458" t="b">
        <v>0</v>
      </c>
      <c r="O5458">
        <v>0</v>
      </c>
      <c r="P5458">
        <v>0</v>
      </c>
      <c r="Q5458">
        <v>1</v>
      </c>
      <c r="R5458">
        <v>0</v>
      </c>
    </row>
    <row r="5459" spans="1:18" x14ac:dyDescent="0.25">
      <c r="A5459" s="19" t="s">
        <v>326</v>
      </c>
      <c r="B5459" s="19" t="s">
        <v>63</v>
      </c>
      <c r="C5459">
        <v>4</v>
      </c>
      <c r="D5459">
        <v>2</v>
      </c>
      <c r="E5459">
        <v>2</v>
      </c>
      <c r="F5459" s="15">
        <v>46230</v>
      </c>
      <c r="G5459" s="19" t="s">
        <v>659</v>
      </c>
      <c r="H5459">
        <v>4</v>
      </c>
      <c r="I5459">
        <v>2026</v>
      </c>
      <c r="J5459">
        <v>7</v>
      </c>
      <c r="K5459" s="19" t="s">
        <v>282</v>
      </c>
      <c r="L5459" s="19" t="s">
        <v>352</v>
      </c>
      <c r="M5459" s="19" t="s">
        <v>63</v>
      </c>
      <c r="N5459" t="b">
        <v>0</v>
      </c>
      <c r="O5459">
        <v>0</v>
      </c>
      <c r="P5459">
        <v>0</v>
      </c>
      <c r="Q5459">
        <v>1</v>
      </c>
      <c r="R5459">
        <v>0</v>
      </c>
    </row>
    <row r="5460" spans="1:18" x14ac:dyDescent="0.25">
      <c r="A5460" s="19" t="s">
        <v>326</v>
      </c>
      <c r="B5460" s="19" t="s">
        <v>63</v>
      </c>
      <c r="C5460">
        <v>4</v>
      </c>
      <c r="D5460">
        <v>2</v>
      </c>
      <c r="E5460">
        <v>2</v>
      </c>
      <c r="F5460" s="15">
        <v>46230</v>
      </c>
      <c r="G5460" s="19" t="s">
        <v>659</v>
      </c>
      <c r="H5460">
        <v>4</v>
      </c>
      <c r="I5460">
        <v>2026</v>
      </c>
      <c r="J5460">
        <v>7</v>
      </c>
      <c r="K5460" s="19" t="s">
        <v>282</v>
      </c>
      <c r="L5460" s="19" t="s">
        <v>13</v>
      </c>
      <c r="M5460" s="19" t="s">
        <v>63</v>
      </c>
      <c r="N5460" t="b">
        <v>0</v>
      </c>
      <c r="O5460">
        <v>0</v>
      </c>
      <c r="P5460">
        <v>0</v>
      </c>
      <c r="Q5460">
        <v>1</v>
      </c>
      <c r="R5460">
        <v>0</v>
      </c>
    </row>
    <row r="5461" spans="1:18" x14ac:dyDescent="0.25">
      <c r="A5461" s="19" t="s">
        <v>326</v>
      </c>
      <c r="B5461" s="19" t="s">
        <v>63</v>
      </c>
      <c r="C5461">
        <v>4</v>
      </c>
      <c r="D5461">
        <v>2</v>
      </c>
      <c r="E5461">
        <v>2</v>
      </c>
      <c r="F5461" s="15">
        <v>46230</v>
      </c>
      <c r="G5461" s="19" t="s">
        <v>659</v>
      </c>
      <c r="H5461">
        <v>4</v>
      </c>
      <c r="I5461">
        <v>2026</v>
      </c>
      <c r="J5461">
        <v>7</v>
      </c>
      <c r="K5461" s="19" t="s">
        <v>282</v>
      </c>
      <c r="L5461" s="19" t="s">
        <v>17</v>
      </c>
      <c r="M5461" s="19" t="s">
        <v>63</v>
      </c>
      <c r="N5461" t="b">
        <v>0</v>
      </c>
      <c r="O5461">
        <v>0</v>
      </c>
      <c r="P5461">
        <v>0</v>
      </c>
      <c r="Q5461">
        <v>1</v>
      </c>
      <c r="R5461">
        <v>0</v>
      </c>
    </row>
    <row r="5462" spans="1:18" x14ac:dyDescent="0.25">
      <c r="A5462" s="19" t="s">
        <v>7</v>
      </c>
      <c r="B5462" s="19" t="s">
        <v>6</v>
      </c>
      <c r="C5462">
        <v>1</v>
      </c>
      <c r="D5462">
        <v>3</v>
      </c>
      <c r="E5462">
        <v>2</v>
      </c>
      <c r="F5462" s="15">
        <v>46230</v>
      </c>
      <c r="G5462" s="19" t="s">
        <v>660</v>
      </c>
      <c r="H5462">
        <v>4</v>
      </c>
      <c r="I5462">
        <v>2026</v>
      </c>
      <c r="J5462">
        <v>7</v>
      </c>
      <c r="K5462" s="19" t="s">
        <v>282</v>
      </c>
      <c r="L5462" s="19" t="s">
        <v>405</v>
      </c>
      <c r="M5462" s="19" t="s">
        <v>8</v>
      </c>
      <c r="N5462" t="b">
        <v>0</v>
      </c>
      <c r="O5462">
        <v>0</v>
      </c>
      <c r="P5462">
        <v>1</v>
      </c>
      <c r="Q5462">
        <v>0</v>
      </c>
      <c r="R5462">
        <v>1</v>
      </c>
    </row>
    <row r="5463" spans="1:18" x14ac:dyDescent="0.25">
      <c r="A5463" s="19" t="s">
        <v>7</v>
      </c>
      <c r="B5463" s="19" t="s">
        <v>6</v>
      </c>
      <c r="C5463">
        <v>1</v>
      </c>
      <c r="D5463">
        <v>3</v>
      </c>
      <c r="E5463">
        <v>2</v>
      </c>
      <c r="F5463" s="15">
        <v>46230</v>
      </c>
      <c r="G5463" s="19" t="s">
        <v>660</v>
      </c>
      <c r="H5463">
        <v>4</v>
      </c>
      <c r="I5463">
        <v>2026</v>
      </c>
      <c r="J5463">
        <v>7</v>
      </c>
      <c r="K5463" s="19" t="s">
        <v>282</v>
      </c>
      <c r="L5463" s="19" t="s">
        <v>14</v>
      </c>
      <c r="M5463" s="19" t="s">
        <v>6</v>
      </c>
      <c r="N5463" t="b">
        <v>0</v>
      </c>
      <c r="O5463">
        <v>0</v>
      </c>
      <c r="P5463">
        <v>1</v>
      </c>
      <c r="Q5463">
        <v>0</v>
      </c>
      <c r="R5463">
        <v>0</v>
      </c>
    </row>
    <row r="5464" spans="1:18" x14ac:dyDescent="0.25">
      <c r="A5464" s="19" t="s">
        <v>7</v>
      </c>
      <c r="B5464" s="19" t="s">
        <v>6</v>
      </c>
      <c r="C5464">
        <v>1</v>
      </c>
      <c r="D5464">
        <v>3</v>
      </c>
      <c r="E5464">
        <v>2</v>
      </c>
      <c r="F5464" s="15">
        <v>46230</v>
      </c>
      <c r="G5464" s="19" t="s">
        <v>660</v>
      </c>
      <c r="H5464">
        <v>4</v>
      </c>
      <c r="I5464">
        <v>2026</v>
      </c>
      <c r="J5464">
        <v>7</v>
      </c>
      <c r="K5464" s="19" t="s">
        <v>282</v>
      </c>
      <c r="L5464" s="19" t="s">
        <v>27</v>
      </c>
      <c r="M5464" s="19" t="s">
        <v>6</v>
      </c>
      <c r="N5464" t="b">
        <v>0</v>
      </c>
      <c r="O5464">
        <v>0</v>
      </c>
      <c r="P5464">
        <v>1</v>
      </c>
      <c r="Q5464">
        <v>0</v>
      </c>
      <c r="R5464">
        <v>0</v>
      </c>
    </row>
    <row r="5465" spans="1:18" x14ac:dyDescent="0.25">
      <c r="A5465" s="19" t="s">
        <v>405</v>
      </c>
      <c r="B5465" s="19" t="s">
        <v>8</v>
      </c>
      <c r="C5465">
        <v>2</v>
      </c>
      <c r="D5465">
        <v>3</v>
      </c>
      <c r="E5465">
        <v>2</v>
      </c>
      <c r="F5465" s="15">
        <v>46230</v>
      </c>
      <c r="G5465" s="19" t="s">
        <v>660</v>
      </c>
      <c r="H5465">
        <v>4</v>
      </c>
      <c r="I5465">
        <v>2026</v>
      </c>
      <c r="J5465">
        <v>7</v>
      </c>
      <c r="K5465" s="19" t="s">
        <v>282</v>
      </c>
      <c r="L5465" s="19" t="s">
        <v>7</v>
      </c>
      <c r="M5465" s="19" t="s">
        <v>6</v>
      </c>
      <c r="N5465" t="b">
        <v>0</v>
      </c>
      <c r="O5465">
        <v>1</v>
      </c>
      <c r="P5465">
        <v>0</v>
      </c>
      <c r="Q5465">
        <v>0</v>
      </c>
      <c r="R5465">
        <v>0</v>
      </c>
    </row>
    <row r="5466" spans="1:18" x14ac:dyDescent="0.25">
      <c r="A5466" s="19" t="s">
        <v>405</v>
      </c>
      <c r="B5466" s="19" t="s">
        <v>8</v>
      </c>
      <c r="C5466">
        <v>2</v>
      </c>
      <c r="D5466">
        <v>3</v>
      </c>
      <c r="E5466">
        <v>2</v>
      </c>
      <c r="F5466" s="15">
        <v>46230</v>
      </c>
      <c r="G5466" s="19" t="s">
        <v>660</v>
      </c>
      <c r="H5466">
        <v>4</v>
      </c>
      <c r="I5466">
        <v>2026</v>
      </c>
      <c r="J5466">
        <v>7</v>
      </c>
      <c r="K5466" s="19" t="s">
        <v>282</v>
      </c>
      <c r="L5466" s="19" t="s">
        <v>14</v>
      </c>
      <c r="M5466" s="19" t="s">
        <v>6</v>
      </c>
      <c r="N5466" t="b">
        <v>0</v>
      </c>
      <c r="O5466">
        <v>1</v>
      </c>
      <c r="P5466">
        <v>0</v>
      </c>
      <c r="Q5466">
        <v>0</v>
      </c>
      <c r="R5466">
        <v>0</v>
      </c>
    </row>
    <row r="5467" spans="1:18" x14ac:dyDescent="0.25">
      <c r="A5467" s="19" t="s">
        <v>405</v>
      </c>
      <c r="B5467" s="19" t="s">
        <v>8</v>
      </c>
      <c r="C5467">
        <v>2</v>
      </c>
      <c r="D5467">
        <v>3</v>
      </c>
      <c r="E5467">
        <v>2</v>
      </c>
      <c r="F5467" s="15">
        <v>46230</v>
      </c>
      <c r="G5467" s="19" t="s">
        <v>660</v>
      </c>
      <c r="H5467">
        <v>4</v>
      </c>
      <c r="I5467">
        <v>2026</v>
      </c>
      <c r="J5467">
        <v>7</v>
      </c>
      <c r="K5467" s="19" t="s">
        <v>282</v>
      </c>
      <c r="L5467" s="19" t="s">
        <v>27</v>
      </c>
      <c r="M5467" s="19" t="s">
        <v>6</v>
      </c>
      <c r="N5467" t="b">
        <v>0</v>
      </c>
      <c r="O5467">
        <v>1</v>
      </c>
      <c r="P5467">
        <v>0</v>
      </c>
      <c r="Q5467">
        <v>0</v>
      </c>
      <c r="R5467">
        <v>0</v>
      </c>
    </row>
    <row r="5468" spans="1:18" x14ac:dyDescent="0.25">
      <c r="A5468" s="19" t="s">
        <v>14</v>
      </c>
      <c r="B5468" s="19" t="s">
        <v>6</v>
      </c>
      <c r="C5468">
        <v>3</v>
      </c>
      <c r="D5468">
        <v>3</v>
      </c>
      <c r="E5468">
        <v>2</v>
      </c>
      <c r="F5468" s="15">
        <v>46230</v>
      </c>
      <c r="G5468" s="19" t="s">
        <v>660</v>
      </c>
      <c r="H5468">
        <v>4</v>
      </c>
      <c r="I5468">
        <v>2026</v>
      </c>
      <c r="J5468">
        <v>7</v>
      </c>
      <c r="K5468" s="19" t="s">
        <v>282</v>
      </c>
      <c r="L5468" s="19" t="s">
        <v>7</v>
      </c>
      <c r="M5468" s="19" t="s">
        <v>6</v>
      </c>
      <c r="N5468" t="b">
        <v>0</v>
      </c>
      <c r="O5468">
        <v>0</v>
      </c>
      <c r="P5468">
        <v>1</v>
      </c>
      <c r="Q5468">
        <v>0</v>
      </c>
      <c r="R5468">
        <v>0</v>
      </c>
    </row>
    <row r="5469" spans="1:18" x14ac:dyDescent="0.25">
      <c r="A5469" s="19" t="s">
        <v>14</v>
      </c>
      <c r="B5469" s="19" t="s">
        <v>6</v>
      </c>
      <c r="C5469">
        <v>3</v>
      </c>
      <c r="D5469">
        <v>3</v>
      </c>
      <c r="E5469">
        <v>2</v>
      </c>
      <c r="F5469" s="15">
        <v>46230</v>
      </c>
      <c r="G5469" s="19" t="s">
        <v>660</v>
      </c>
      <c r="H5469">
        <v>4</v>
      </c>
      <c r="I5469">
        <v>2026</v>
      </c>
      <c r="J5469">
        <v>7</v>
      </c>
      <c r="K5469" s="19" t="s">
        <v>282</v>
      </c>
      <c r="L5469" s="19" t="s">
        <v>405</v>
      </c>
      <c r="M5469" s="19" t="s">
        <v>8</v>
      </c>
      <c r="N5469" t="b">
        <v>0</v>
      </c>
      <c r="O5469">
        <v>0</v>
      </c>
      <c r="P5469">
        <v>1</v>
      </c>
      <c r="Q5469">
        <v>0</v>
      </c>
      <c r="R5469">
        <v>1</v>
      </c>
    </row>
    <row r="5470" spans="1:18" x14ac:dyDescent="0.25">
      <c r="A5470" s="19" t="s">
        <v>14</v>
      </c>
      <c r="B5470" s="19" t="s">
        <v>6</v>
      </c>
      <c r="C5470">
        <v>3</v>
      </c>
      <c r="D5470">
        <v>3</v>
      </c>
      <c r="E5470">
        <v>2</v>
      </c>
      <c r="F5470" s="15">
        <v>46230</v>
      </c>
      <c r="G5470" s="19" t="s">
        <v>660</v>
      </c>
      <c r="H5470">
        <v>4</v>
      </c>
      <c r="I5470">
        <v>2026</v>
      </c>
      <c r="J5470">
        <v>7</v>
      </c>
      <c r="K5470" s="19" t="s">
        <v>282</v>
      </c>
      <c r="L5470" s="19" t="s">
        <v>27</v>
      </c>
      <c r="M5470" s="19" t="s">
        <v>6</v>
      </c>
      <c r="N5470" t="b">
        <v>0</v>
      </c>
      <c r="O5470">
        <v>0</v>
      </c>
      <c r="P5470">
        <v>1</v>
      </c>
      <c r="Q5470">
        <v>0</v>
      </c>
      <c r="R5470">
        <v>0</v>
      </c>
    </row>
    <row r="5471" spans="1:18" x14ac:dyDescent="0.25">
      <c r="A5471" s="19" t="s">
        <v>27</v>
      </c>
      <c r="B5471" s="19" t="s">
        <v>6</v>
      </c>
      <c r="C5471">
        <v>4</v>
      </c>
      <c r="D5471">
        <v>3</v>
      </c>
      <c r="E5471">
        <v>2</v>
      </c>
      <c r="F5471" s="15">
        <v>46230</v>
      </c>
      <c r="G5471" s="19" t="s">
        <v>660</v>
      </c>
      <c r="H5471">
        <v>4</v>
      </c>
      <c r="I5471">
        <v>2026</v>
      </c>
      <c r="J5471">
        <v>7</v>
      </c>
      <c r="K5471" s="19" t="s">
        <v>282</v>
      </c>
      <c r="L5471" s="19" t="s">
        <v>7</v>
      </c>
      <c r="M5471" s="19" t="s">
        <v>6</v>
      </c>
      <c r="N5471" t="b">
        <v>0</v>
      </c>
      <c r="O5471">
        <v>0</v>
      </c>
      <c r="P5471">
        <v>1</v>
      </c>
      <c r="Q5471">
        <v>0</v>
      </c>
      <c r="R5471">
        <v>0</v>
      </c>
    </row>
    <row r="5472" spans="1:18" x14ac:dyDescent="0.25">
      <c r="A5472" s="19" t="s">
        <v>27</v>
      </c>
      <c r="B5472" s="19" t="s">
        <v>6</v>
      </c>
      <c r="C5472">
        <v>4</v>
      </c>
      <c r="D5472">
        <v>3</v>
      </c>
      <c r="E5472">
        <v>2</v>
      </c>
      <c r="F5472" s="15">
        <v>46230</v>
      </c>
      <c r="G5472" s="19" t="s">
        <v>660</v>
      </c>
      <c r="H5472">
        <v>4</v>
      </c>
      <c r="I5472">
        <v>2026</v>
      </c>
      <c r="J5472">
        <v>7</v>
      </c>
      <c r="K5472" s="19" t="s">
        <v>282</v>
      </c>
      <c r="L5472" s="19" t="s">
        <v>405</v>
      </c>
      <c r="M5472" s="19" t="s">
        <v>8</v>
      </c>
      <c r="N5472" t="b">
        <v>0</v>
      </c>
      <c r="O5472">
        <v>0</v>
      </c>
      <c r="P5472">
        <v>1</v>
      </c>
      <c r="Q5472">
        <v>0</v>
      </c>
      <c r="R5472">
        <v>1</v>
      </c>
    </row>
    <row r="5473" spans="1:18" x14ac:dyDescent="0.25">
      <c r="A5473" s="19" t="s">
        <v>27</v>
      </c>
      <c r="B5473" s="19" t="s">
        <v>6</v>
      </c>
      <c r="C5473">
        <v>4</v>
      </c>
      <c r="D5473">
        <v>3</v>
      </c>
      <c r="E5473">
        <v>2</v>
      </c>
      <c r="F5473" s="15">
        <v>46230</v>
      </c>
      <c r="G5473" s="19" t="s">
        <v>660</v>
      </c>
      <c r="H5473">
        <v>4</v>
      </c>
      <c r="I5473">
        <v>2026</v>
      </c>
      <c r="J5473">
        <v>7</v>
      </c>
      <c r="K5473" s="19" t="s">
        <v>282</v>
      </c>
      <c r="L5473" s="19" t="s">
        <v>14</v>
      </c>
      <c r="M5473" s="19" t="s">
        <v>6</v>
      </c>
      <c r="N5473" t="b">
        <v>0</v>
      </c>
      <c r="O5473">
        <v>0</v>
      </c>
      <c r="P5473">
        <v>1</v>
      </c>
      <c r="Q5473">
        <v>0</v>
      </c>
      <c r="R5473">
        <v>0</v>
      </c>
    </row>
    <row r="5474" spans="1:18" x14ac:dyDescent="0.25">
      <c r="A5474" s="19" t="s">
        <v>519</v>
      </c>
      <c r="B5474" s="19" t="s">
        <v>8</v>
      </c>
      <c r="C5474">
        <v>1</v>
      </c>
      <c r="D5474">
        <v>4</v>
      </c>
      <c r="E5474">
        <v>2</v>
      </c>
      <c r="F5474" s="15">
        <v>46230</v>
      </c>
      <c r="G5474" s="19" t="s">
        <v>661</v>
      </c>
      <c r="H5474">
        <v>3</v>
      </c>
      <c r="I5474">
        <v>2026</v>
      </c>
      <c r="J5474">
        <v>7</v>
      </c>
      <c r="K5474" s="19" t="s">
        <v>282</v>
      </c>
      <c r="L5474" s="19" t="s">
        <v>540</v>
      </c>
      <c r="M5474" s="19" t="s">
        <v>6</v>
      </c>
      <c r="N5474" t="b">
        <v>0</v>
      </c>
      <c r="O5474">
        <v>1</v>
      </c>
      <c r="P5474">
        <v>0</v>
      </c>
      <c r="Q5474">
        <v>0</v>
      </c>
      <c r="R5474">
        <v>0</v>
      </c>
    </row>
    <row r="5475" spans="1:18" x14ac:dyDescent="0.25">
      <c r="A5475" s="19" t="s">
        <v>519</v>
      </c>
      <c r="B5475" s="19" t="s">
        <v>8</v>
      </c>
      <c r="C5475">
        <v>1</v>
      </c>
      <c r="D5475">
        <v>4</v>
      </c>
      <c r="E5475">
        <v>2</v>
      </c>
      <c r="F5475" s="15">
        <v>46230</v>
      </c>
      <c r="G5475" s="19" t="s">
        <v>661</v>
      </c>
      <c r="H5475">
        <v>3</v>
      </c>
      <c r="I5475">
        <v>2026</v>
      </c>
      <c r="J5475">
        <v>7</v>
      </c>
      <c r="K5475" s="19" t="s">
        <v>282</v>
      </c>
      <c r="L5475" s="19" t="s">
        <v>51</v>
      </c>
      <c r="M5475" s="19" t="s">
        <v>6</v>
      </c>
      <c r="N5475" t="b">
        <v>0</v>
      </c>
      <c r="O5475">
        <v>1</v>
      </c>
      <c r="P5475">
        <v>0</v>
      </c>
      <c r="Q5475">
        <v>0</v>
      </c>
      <c r="R5475">
        <v>0</v>
      </c>
    </row>
    <row r="5476" spans="1:18" x14ac:dyDescent="0.25">
      <c r="A5476" s="19" t="s">
        <v>540</v>
      </c>
      <c r="B5476" s="19" t="s">
        <v>6</v>
      </c>
      <c r="C5476">
        <v>2</v>
      </c>
      <c r="D5476">
        <v>4</v>
      </c>
      <c r="E5476">
        <v>2</v>
      </c>
      <c r="F5476" s="15">
        <v>46230</v>
      </c>
      <c r="G5476" s="19" t="s">
        <v>661</v>
      </c>
      <c r="H5476">
        <v>3</v>
      </c>
      <c r="I5476">
        <v>2026</v>
      </c>
      <c r="J5476">
        <v>7</v>
      </c>
      <c r="K5476" s="19" t="s">
        <v>282</v>
      </c>
      <c r="L5476" s="19" t="s">
        <v>519</v>
      </c>
      <c r="M5476" s="19" t="s">
        <v>8</v>
      </c>
      <c r="N5476" t="b">
        <v>0</v>
      </c>
      <c r="O5476">
        <v>0</v>
      </c>
      <c r="P5476">
        <v>1</v>
      </c>
      <c r="Q5476">
        <v>0</v>
      </c>
      <c r="R5476">
        <v>1</v>
      </c>
    </row>
    <row r="5477" spans="1:18" x14ac:dyDescent="0.25">
      <c r="A5477" s="19" t="s">
        <v>540</v>
      </c>
      <c r="B5477" s="19" t="s">
        <v>6</v>
      </c>
      <c r="C5477">
        <v>2</v>
      </c>
      <c r="D5477">
        <v>4</v>
      </c>
      <c r="E5477">
        <v>2</v>
      </c>
      <c r="F5477" s="15">
        <v>46230</v>
      </c>
      <c r="G5477" s="19" t="s">
        <v>661</v>
      </c>
      <c r="H5477">
        <v>3</v>
      </c>
      <c r="I5477">
        <v>2026</v>
      </c>
      <c r="J5477">
        <v>7</v>
      </c>
      <c r="K5477" s="19" t="s">
        <v>282</v>
      </c>
      <c r="L5477" s="19" t="s">
        <v>51</v>
      </c>
      <c r="M5477" s="19" t="s">
        <v>6</v>
      </c>
      <c r="N5477" t="b">
        <v>0</v>
      </c>
      <c r="O5477">
        <v>0</v>
      </c>
      <c r="P5477">
        <v>1</v>
      </c>
      <c r="Q5477">
        <v>0</v>
      </c>
      <c r="R5477">
        <v>0</v>
      </c>
    </row>
    <row r="5478" spans="1:18" x14ac:dyDescent="0.25">
      <c r="A5478" s="19" t="s">
        <v>51</v>
      </c>
      <c r="B5478" s="19" t="s">
        <v>6</v>
      </c>
      <c r="C5478">
        <v>3</v>
      </c>
      <c r="D5478">
        <v>4</v>
      </c>
      <c r="E5478">
        <v>2</v>
      </c>
      <c r="F5478" s="15">
        <v>46230</v>
      </c>
      <c r="G5478" s="19" t="s">
        <v>661</v>
      </c>
      <c r="H5478">
        <v>3</v>
      </c>
      <c r="I5478">
        <v>2026</v>
      </c>
      <c r="J5478">
        <v>7</v>
      </c>
      <c r="K5478" s="19" t="s">
        <v>282</v>
      </c>
      <c r="L5478" s="19" t="s">
        <v>519</v>
      </c>
      <c r="M5478" s="19" t="s">
        <v>8</v>
      </c>
      <c r="N5478" t="b">
        <v>0</v>
      </c>
      <c r="O5478">
        <v>0</v>
      </c>
      <c r="P5478">
        <v>1</v>
      </c>
      <c r="Q5478">
        <v>0</v>
      </c>
      <c r="R5478">
        <v>1</v>
      </c>
    </row>
    <row r="5479" spans="1:18" x14ac:dyDescent="0.25">
      <c r="A5479" s="19" t="s">
        <v>51</v>
      </c>
      <c r="B5479" s="19" t="s">
        <v>6</v>
      </c>
      <c r="C5479">
        <v>3</v>
      </c>
      <c r="D5479">
        <v>4</v>
      </c>
      <c r="E5479">
        <v>2</v>
      </c>
      <c r="F5479" s="15">
        <v>46230</v>
      </c>
      <c r="G5479" s="19" t="s">
        <v>661</v>
      </c>
      <c r="H5479">
        <v>3</v>
      </c>
      <c r="I5479">
        <v>2026</v>
      </c>
      <c r="J5479">
        <v>7</v>
      </c>
      <c r="K5479" s="19" t="s">
        <v>282</v>
      </c>
      <c r="L5479" s="19" t="s">
        <v>540</v>
      </c>
      <c r="M5479" s="19" t="s">
        <v>6</v>
      </c>
      <c r="N5479" t="b">
        <v>0</v>
      </c>
      <c r="O5479">
        <v>0</v>
      </c>
      <c r="P5479">
        <v>1</v>
      </c>
      <c r="Q5479">
        <v>0</v>
      </c>
      <c r="R5479">
        <v>0</v>
      </c>
    </row>
    <row r="5480" spans="1:18" x14ac:dyDescent="0.25">
      <c r="A5480" s="19" t="s">
        <v>41</v>
      </c>
      <c r="B5480" s="19" t="s">
        <v>6</v>
      </c>
      <c r="C5480">
        <v>1</v>
      </c>
      <c r="D5480">
        <v>5</v>
      </c>
      <c r="E5480">
        <v>2</v>
      </c>
      <c r="F5480" s="15">
        <v>46230</v>
      </c>
      <c r="G5480" s="19" t="s">
        <v>662</v>
      </c>
      <c r="H5480">
        <v>3</v>
      </c>
      <c r="I5480">
        <v>2026</v>
      </c>
      <c r="J5480">
        <v>7</v>
      </c>
      <c r="K5480" s="19" t="s">
        <v>282</v>
      </c>
      <c r="L5480" s="19" t="s">
        <v>609</v>
      </c>
      <c r="M5480" s="19" t="s">
        <v>6</v>
      </c>
      <c r="N5480" t="b">
        <v>0</v>
      </c>
      <c r="O5480">
        <v>0</v>
      </c>
      <c r="P5480">
        <v>1</v>
      </c>
      <c r="Q5480">
        <v>0</v>
      </c>
      <c r="R5480">
        <v>0</v>
      </c>
    </row>
    <row r="5481" spans="1:18" x14ac:dyDescent="0.25">
      <c r="A5481" s="19" t="s">
        <v>41</v>
      </c>
      <c r="B5481" s="19" t="s">
        <v>6</v>
      </c>
      <c r="C5481">
        <v>1</v>
      </c>
      <c r="D5481">
        <v>5</v>
      </c>
      <c r="E5481">
        <v>2</v>
      </c>
      <c r="F5481" s="15">
        <v>46230</v>
      </c>
      <c r="G5481" s="19" t="s">
        <v>662</v>
      </c>
      <c r="H5481">
        <v>3</v>
      </c>
      <c r="I5481">
        <v>2026</v>
      </c>
      <c r="J5481">
        <v>7</v>
      </c>
      <c r="K5481" s="19" t="s">
        <v>282</v>
      </c>
      <c r="L5481" s="19" t="s">
        <v>351</v>
      </c>
      <c r="M5481" s="19" t="s">
        <v>8</v>
      </c>
      <c r="N5481" t="b">
        <v>0</v>
      </c>
      <c r="O5481">
        <v>0</v>
      </c>
      <c r="P5481">
        <v>1</v>
      </c>
      <c r="Q5481">
        <v>0</v>
      </c>
      <c r="R5481">
        <v>1</v>
      </c>
    </row>
    <row r="5482" spans="1:18" x14ac:dyDescent="0.25">
      <c r="A5482" s="19" t="s">
        <v>609</v>
      </c>
      <c r="B5482" s="19" t="s">
        <v>6</v>
      </c>
      <c r="C5482">
        <v>2</v>
      </c>
      <c r="D5482">
        <v>5</v>
      </c>
      <c r="E5482">
        <v>2</v>
      </c>
      <c r="F5482" s="15">
        <v>46230</v>
      </c>
      <c r="G5482" s="19" t="s">
        <v>662</v>
      </c>
      <c r="H5482">
        <v>3</v>
      </c>
      <c r="I5482">
        <v>2026</v>
      </c>
      <c r="J5482">
        <v>7</v>
      </c>
      <c r="K5482" s="19" t="s">
        <v>282</v>
      </c>
      <c r="L5482" s="19" t="s">
        <v>41</v>
      </c>
      <c r="M5482" s="19" t="s">
        <v>6</v>
      </c>
      <c r="N5482" t="b">
        <v>0</v>
      </c>
      <c r="O5482">
        <v>0</v>
      </c>
      <c r="P5482">
        <v>1</v>
      </c>
      <c r="Q5482">
        <v>0</v>
      </c>
      <c r="R5482">
        <v>0</v>
      </c>
    </row>
    <row r="5483" spans="1:18" x14ac:dyDescent="0.25">
      <c r="A5483" s="19" t="s">
        <v>609</v>
      </c>
      <c r="B5483" s="19" t="s">
        <v>6</v>
      </c>
      <c r="C5483">
        <v>2</v>
      </c>
      <c r="D5483">
        <v>5</v>
      </c>
      <c r="E5483">
        <v>2</v>
      </c>
      <c r="F5483" s="15">
        <v>46230</v>
      </c>
      <c r="G5483" s="19" t="s">
        <v>662</v>
      </c>
      <c r="H5483">
        <v>3</v>
      </c>
      <c r="I5483">
        <v>2026</v>
      </c>
      <c r="J5483">
        <v>7</v>
      </c>
      <c r="K5483" s="19" t="s">
        <v>282</v>
      </c>
      <c r="L5483" s="19" t="s">
        <v>351</v>
      </c>
      <c r="M5483" s="19" t="s">
        <v>8</v>
      </c>
      <c r="N5483" t="b">
        <v>0</v>
      </c>
      <c r="O5483">
        <v>0</v>
      </c>
      <c r="P5483">
        <v>1</v>
      </c>
      <c r="Q5483">
        <v>0</v>
      </c>
      <c r="R5483">
        <v>1</v>
      </c>
    </row>
    <row r="5484" spans="1:18" x14ac:dyDescent="0.25">
      <c r="A5484" s="19" t="s">
        <v>351</v>
      </c>
      <c r="B5484" s="19" t="s">
        <v>8</v>
      </c>
      <c r="C5484">
        <v>3</v>
      </c>
      <c r="D5484">
        <v>5</v>
      </c>
      <c r="E5484">
        <v>2</v>
      </c>
      <c r="F5484" s="15">
        <v>46230</v>
      </c>
      <c r="G5484" s="19" t="s">
        <v>662</v>
      </c>
      <c r="H5484">
        <v>3</v>
      </c>
      <c r="I5484">
        <v>2026</v>
      </c>
      <c r="J5484">
        <v>7</v>
      </c>
      <c r="K5484" s="19" t="s">
        <v>282</v>
      </c>
      <c r="L5484" s="19" t="s">
        <v>41</v>
      </c>
      <c r="M5484" s="19" t="s">
        <v>6</v>
      </c>
      <c r="N5484" t="b">
        <v>0</v>
      </c>
      <c r="O5484">
        <v>1</v>
      </c>
      <c r="P5484">
        <v>0</v>
      </c>
      <c r="Q5484">
        <v>0</v>
      </c>
      <c r="R5484">
        <v>0</v>
      </c>
    </row>
    <row r="5485" spans="1:18" x14ac:dyDescent="0.25">
      <c r="A5485" s="19" t="s">
        <v>351</v>
      </c>
      <c r="B5485" s="19" t="s">
        <v>8</v>
      </c>
      <c r="C5485">
        <v>3</v>
      </c>
      <c r="D5485">
        <v>5</v>
      </c>
      <c r="E5485">
        <v>2</v>
      </c>
      <c r="F5485" s="15">
        <v>46230</v>
      </c>
      <c r="G5485" s="19" t="s">
        <v>662</v>
      </c>
      <c r="H5485">
        <v>3</v>
      </c>
      <c r="I5485">
        <v>2026</v>
      </c>
      <c r="J5485">
        <v>7</v>
      </c>
      <c r="K5485" s="19" t="s">
        <v>282</v>
      </c>
      <c r="L5485" s="19" t="s">
        <v>609</v>
      </c>
      <c r="M5485" s="19" t="s">
        <v>6</v>
      </c>
      <c r="N5485" t="b">
        <v>0</v>
      </c>
      <c r="O5485">
        <v>1</v>
      </c>
      <c r="P5485">
        <v>0</v>
      </c>
      <c r="Q5485">
        <v>0</v>
      </c>
      <c r="R5485">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2026-07-28T18:00:41Z</dcterms:modified>
</cp:coreProperties>
</file>