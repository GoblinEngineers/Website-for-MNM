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E26CAA05-74AF-4D6F-888D-61E868BD4076}"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Matchups!$A$1:$R$6523</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85" i="1" l="1"/>
  <c r="I2285" i="1"/>
  <c r="J2285" i="1"/>
  <c r="K2285" i="1"/>
  <c r="G2284" i="1"/>
  <c r="I2284" i="1"/>
  <c r="J2284" i="1"/>
  <c r="K2284" i="1"/>
  <c r="G2283" i="1"/>
  <c r="I2283" i="1"/>
  <c r="J2283" i="1"/>
  <c r="K2283" i="1"/>
  <c r="G2282" i="1"/>
  <c r="I2282" i="1"/>
  <c r="J2282" i="1"/>
  <c r="K2282" i="1"/>
  <c r="G2281" i="1"/>
  <c r="I2281" i="1"/>
  <c r="J2281" i="1"/>
  <c r="K2281" i="1"/>
  <c r="G2280" i="1"/>
  <c r="I2280" i="1"/>
  <c r="J2280" i="1"/>
  <c r="K2280" i="1"/>
  <c r="G2279" i="1"/>
  <c r="I2279" i="1"/>
  <c r="J2279" i="1"/>
  <c r="K2279" i="1"/>
  <c r="G2278" i="1"/>
  <c r="I2278" i="1"/>
  <c r="J2278" i="1"/>
  <c r="K2278" i="1"/>
  <c r="G2277" i="1"/>
  <c r="I2277" i="1"/>
  <c r="J2277" i="1"/>
  <c r="K2277" i="1"/>
  <c r="G2276" i="1"/>
  <c r="I2276" i="1"/>
  <c r="J2276" i="1"/>
  <c r="K2276" i="1"/>
  <c r="G2275" i="1"/>
  <c r="I2275" i="1"/>
  <c r="J2275" i="1"/>
  <c r="K2275" i="1"/>
  <c r="G2274" i="1"/>
  <c r="I2274" i="1"/>
  <c r="J2274" i="1"/>
  <c r="K2274" i="1"/>
  <c r="G2273" i="1"/>
  <c r="I2273" i="1"/>
  <c r="J2273" i="1"/>
  <c r="K2273" i="1"/>
  <c r="G2272" i="1"/>
  <c r="I2272" i="1"/>
  <c r="J2272" i="1"/>
  <c r="K2272" i="1"/>
  <c r="G2271" i="1"/>
  <c r="I2271" i="1"/>
  <c r="J2271" i="1"/>
  <c r="K2271" i="1"/>
  <c r="G2270" i="1"/>
  <c r="I2270" i="1"/>
  <c r="J2270" i="1"/>
  <c r="K2270" i="1"/>
  <c r="G2269" i="1"/>
  <c r="I2269" i="1"/>
  <c r="J2269" i="1"/>
  <c r="K2269" i="1"/>
  <c r="G2268" i="1"/>
  <c r="I2268" i="1"/>
  <c r="J2268" i="1"/>
  <c r="K2268" i="1"/>
  <c r="G2267" i="1"/>
  <c r="I2267" i="1"/>
  <c r="J2267" i="1"/>
  <c r="K2267" i="1"/>
  <c r="G2266" i="1"/>
  <c r="I2266" i="1"/>
  <c r="J2266" i="1"/>
  <c r="K2266" i="1"/>
  <c r="G2265" i="1"/>
  <c r="I2265" i="1"/>
  <c r="J2265" i="1"/>
  <c r="K2265" i="1"/>
  <c r="G2264" i="1"/>
  <c r="I2264" i="1"/>
  <c r="J2264" i="1"/>
  <c r="K2264" i="1"/>
  <c r="G2263" i="1"/>
  <c r="I2263" i="1"/>
  <c r="J2263" i="1"/>
  <c r="K2263" i="1"/>
  <c r="G2262" i="1"/>
  <c r="I2262" i="1"/>
  <c r="J2262" i="1"/>
  <c r="K2262" i="1"/>
  <c r="G2261" i="1"/>
  <c r="I2261" i="1"/>
  <c r="J2261" i="1"/>
  <c r="K2261" i="1"/>
  <c r="G2260" i="1"/>
  <c r="I2260" i="1"/>
  <c r="J2260" i="1"/>
  <c r="K2260" i="1"/>
  <c r="G2259" i="1"/>
  <c r="I2259" i="1"/>
  <c r="J2259" i="1"/>
  <c r="K2259" i="1"/>
  <c r="G2258" i="1"/>
  <c r="I2258" i="1"/>
  <c r="J2258" i="1"/>
  <c r="K2258" i="1"/>
  <c r="G2257" i="1"/>
  <c r="I2257" i="1"/>
  <c r="J2257" i="1"/>
  <c r="K2257" i="1"/>
  <c r="G2256" i="1"/>
  <c r="I2256" i="1"/>
  <c r="J2256" i="1"/>
  <c r="K2256" i="1"/>
  <c r="G2255" i="1"/>
  <c r="I2255" i="1"/>
  <c r="J2255" i="1"/>
  <c r="K2255" i="1"/>
  <c r="G2254" i="1"/>
  <c r="I2254" i="1"/>
  <c r="J2254" i="1"/>
  <c r="K2254" i="1"/>
  <c r="G2253" i="1"/>
  <c r="I2253" i="1"/>
  <c r="J2253" i="1"/>
  <c r="K2253" i="1"/>
  <c r="G2252" i="1"/>
  <c r="I2252" i="1"/>
  <c r="J2252" i="1"/>
  <c r="K2252" i="1"/>
  <c r="G2251" i="1"/>
  <c r="I2251" i="1"/>
  <c r="J2251" i="1"/>
  <c r="K2251" i="1"/>
  <c r="G2250" i="1"/>
  <c r="I2250" i="1"/>
  <c r="J2250" i="1"/>
  <c r="K2250" i="1"/>
  <c r="G2249" i="1"/>
  <c r="I2249" i="1"/>
  <c r="J2249" i="1"/>
  <c r="K2249" i="1"/>
  <c r="G2248" i="1"/>
  <c r="I2248" i="1"/>
  <c r="J2248" i="1"/>
  <c r="K2248" i="1"/>
  <c r="G2247" i="1"/>
  <c r="I2247" i="1"/>
  <c r="J2247" i="1"/>
  <c r="K2247" i="1"/>
  <c r="G2246" i="1"/>
  <c r="I2246" i="1"/>
  <c r="J2246" i="1"/>
  <c r="K2246" i="1"/>
  <c r="G2245" i="1"/>
  <c r="I2245" i="1"/>
  <c r="J2245" i="1"/>
  <c r="K2245" i="1"/>
  <c r="G2244" i="1"/>
  <c r="I2244" i="1"/>
  <c r="J2244" i="1"/>
  <c r="K2244" i="1"/>
  <c r="G2243" i="1"/>
  <c r="I2243" i="1"/>
  <c r="J2243" i="1"/>
  <c r="K2243" i="1"/>
  <c r="G2242" i="1"/>
  <c r="I2242" i="1"/>
  <c r="J2242" i="1"/>
  <c r="K2242" i="1"/>
  <c r="G2241" i="1"/>
  <c r="I2241" i="1"/>
  <c r="J2241" i="1"/>
  <c r="K2241" i="1"/>
  <c r="G2240" i="1"/>
  <c r="I2240" i="1"/>
  <c r="J2240" i="1"/>
  <c r="K2240" i="1"/>
  <c r="G2239" i="1"/>
  <c r="I2239" i="1"/>
  <c r="J2239" i="1"/>
  <c r="K2239" i="1"/>
  <c r="G2238" i="1"/>
  <c r="I2238" i="1"/>
  <c r="J2238" i="1"/>
  <c r="K2238" i="1"/>
  <c r="G2237" i="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5" i="2"/>
  <c r="H45" i="2"/>
  <c r="I45" i="2"/>
  <c r="K45" i="2"/>
  <c r="L45" i="2"/>
  <c r="M45"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2" i="2"/>
  <c r="H92" i="2"/>
  <c r="I92" i="2"/>
  <c r="K92" i="2"/>
  <c r="L92" i="2"/>
  <c r="M92"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6" i="2"/>
  <c r="H106" i="2"/>
  <c r="I106" i="2"/>
  <c r="K106" i="2"/>
  <c r="L106" i="2"/>
  <c r="M106" i="2"/>
  <c r="G102" i="2"/>
  <c r="H102" i="2"/>
  <c r="I102" i="2"/>
  <c r="K102" i="2"/>
  <c r="L102" i="2"/>
  <c r="M102" i="2"/>
  <c r="G101" i="2"/>
  <c r="H101" i="2"/>
  <c r="I101" i="2"/>
  <c r="K101" i="2"/>
  <c r="L101" i="2"/>
  <c r="M101" i="2"/>
  <c r="G100" i="2"/>
  <c r="H100" i="2"/>
  <c r="I100" i="2"/>
  <c r="K100" i="2"/>
  <c r="L100" i="2"/>
  <c r="M100" i="2"/>
  <c r="G107" i="2"/>
  <c r="H107" i="2"/>
  <c r="I107" i="2"/>
  <c r="K107" i="2"/>
  <c r="L107" i="2"/>
  <c r="M107"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105" i="2"/>
  <c r="H105" i="2"/>
  <c r="I105" i="2"/>
  <c r="K105" i="2"/>
  <c r="L105" i="2"/>
  <c r="M105" i="2"/>
  <c r="G56" i="2"/>
  <c r="H56" i="2"/>
  <c r="I56" i="2"/>
  <c r="K56" i="2"/>
  <c r="L56" i="2"/>
  <c r="M56" i="2"/>
  <c r="G20" i="2"/>
  <c r="H20" i="2"/>
  <c r="I20" i="2"/>
  <c r="K20" i="2"/>
  <c r="L20" i="2"/>
  <c r="M20" i="2"/>
  <c r="G94" i="2"/>
  <c r="H94" i="2"/>
  <c r="I94" i="2"/>
  <c r="K94" i="2"/>
  <c r="L94" i="2"/>
  <c r="M94" i="2"/>
  <c r="G83" i="2"/>
  <c r="H83" i="2"/>
  <c r="I83" i="2"/>
  <c r="K83" i="2"/>
  <c r="L83" i="2"/>
  <c r="M83"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7" i="2"/>
  <c r="H97" i="2"/>
  <c r="I97" i="2"/>
  <c r="K97" i="2"/>
  <c r="L97" i="2"/>
  <c r="M97"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6" i="2"/>
  <c r="K69" i="2"/>
  <c r="M6" i="2"/>
  <c r="G96" i="2"/>
  <c r="K62" i="2"/>
  <c r="K35" i="2"/>
  <c r="M79" i="2"/>
  <c r="H70" i="2"/>
  <c r="I31" i="2"/>
  <c r="I5" i="2"/>
  <c r="H17" i="2"/>
  <c r="M77" i="2"/>
  <c r="H5" i="2"/>
  <c r="M7" i="2"/>
  <c r="M90" i="2"/>
  <c r="M5" i="2"/>
  <c r="H58" i="2"/>
  <c r="G75" i="2"/>
  <c r="L54" i="2"/>
  <c r="K65" i="2"/>
  <c r="G72" i="2"/>
  <c r="K79" i="2"/>
  <c r="G17" i="2"/>
  <c r="L82" i="2"/>
  <c r="K23" i="2"/>
  <c r="H60" i="2"/>
  <c r="I12"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9" i="2"/>
  <c r="I7" i="2"/>
  <c r="I65" i="2"/>
  <c r="L37" i="2"/>
  <c r="M37" i="2"/>
  <c r="M70" i="2"/>
  <c r="G68" i="2"/>
  <c r="G60" i="2"/>
  <c r="L7" i="2"/>
  <c r="L63" i="2"/>
  <c r="M63" i="2"/>
  <c r="H15" i="2"/>
  <c r="H31" i="2"/>
  <c r="M40" i="2"/>
  <c r="M62" i="2"/>
  <c r="G67" i="2"/>
  <c r="H64" i="2"/>
  <c r="L71" i="2"/>
  <c r="H55" i="2"/>
  <c r="L50" i="2"/>
  <c r="H74" i="2"/>
  <c r="K63" i="2"/>
  <c r="G73" i="2"/>
  <c r="K67" i="2"/>
  <c r="G74" i="2"/>
  <c r="K12" i="2"/>
  <c r="I64" i="2"/>
  <c r="L31" i="2"/>
  <c r="H103" i="2"/>
  <c r="H40" i="2"/>
  <c r="L69" i="2"/>
  <c r="M65" i="2"/>
  <c r="H35" i="2"/>
  <c r="G63" i="2"/>
  <c r="H7" i="2"/>
  <c r="G65" i="2"/>
  <c r="K77" i="2"/>
  <c r="I76" i="2"/>
  <c r="I59" i="2"/>
  <c r="M31" i="2"/>
  <c r="H62" i="2"/>
  <c r="M72" i="2"/>
  <c r="I99" i="2"/>
  <c r="I57" i="2"/>
  <c r="H79" i="2"/>
  <c r="G69" i="2"/>
  <c r="I90" i="2"/>
  <c r="H67" i="2"/>
  <c r="I60" i="2"/>
  <c r="M67" i="2"/>
  <c r="H37" i="2"/>
  <c r="L15" i="2"/>
  <c r="L53" i="2"/>
  <c r="G90" i="2"/>
  <c r="L30" i="2"/>
  <c r="I75" i="2"/>
  <c r="G53" i="2"/>
  <c r="G76" i="2"/>
  <c r="L5" i="2"/>
  <c r="L48" i="2"/>
  <c r="H6" i="2"/>
  <c r="I79" i="2"/>
  <c r="L17" i="2"/>
  <c r="G58" i="2"/>
  <c r="G99" i="2"/>
  <c r="M12" i="2"/>
  <c r="K99" i="2"/>
  <c r="I96" i="2"/>
  <c r="M74" i="2"/>
  <c r="G5" i="2"/>
  <c r="K73" i="2"/>
  <c r="I69" i="2"/>
  <c r="M50" i="2"/>
  <c r="G30" i="2"/>
  <c r="I77" i="2"/>
  <c r="K71" i="2"/>
  <c r="L78" i="2"/>
  <c r="M55" i="2"/>
  <c r="H50" i="2"/>
  <c r="H96" i="2"/>
  <c r="G71" i="2"/>
  <c r="I70" i="2"/>
  <c r="M9" i="2"/>
  <c r="I82" i="2"/>
  <c r="K5" i="2"/>
  <c r="G70" i="2"/>
  <c r="I52" i="2"/>
  <c r="G7" i="2"/>
  <c r="H53" i="2"/>
  <c r="H73" i="2"/>
  <c r="L99" i="2"/>
  <c r="M78" i="2"/>
  <c r="M23" i="2"/>
  <c r="L62" i="2"/>
  <c r="L68" i="2"/>
  <c r="K55" i="2"/>
  <c r="M82" i="2"/>
  <c r="L64" i="2"/>
  <c r="G9" i="2"/>
  <c r="M35" i="2"/>
  <c r="L72" i="2"/>
  <c r="L67" i="2"/>
  <c r="I62" i="2"/>
  <c r="K52" i="2"/>
  <c r="G103" i="2"/>
  <c r="G82" i="2"/>
  <c r="G15" i="2"/>
  <c r="M30" i="2"/>
  <c r="M61" i="2"/>
  <c r="G57" i="2"/>
  <c r="L103" i="2"/>
  <c r="K61" i="2"/>
  <c r="G54" i="2"/>
  <c r="L59" i="2"/>
  <c r="K40" i="2"/>
  <c r="L57" i="2"/>
  <c r="I9" i="2"/>
  <c r="G78" i="2"/>
  <c r="K74" i="2"/>
  <c r="K54" i="2"/>
  <c r="G40" i="2"/>
  <c r="L52" i="2"/>
  <c r="H75" i="2"/>
  <c r="M60" i="2"/>
  <c r="I55" i="2"/>
  <c r="G12" i="2"/>
  <c r="I68" i="2"/>
  <c r="L75" i="2"/>
  <c r="K9" i="2"/>
  <c r="K103" i="2"/>
  <c r="H30" i="2"/>
  <c r="M48" i="2"/>
  <c r="M69" i="2"/>
  <c r="G23" i="2"/>
  <c r="K17" i="2"/>
  <c r="K30" i="2"/>
  <c r="H54" i="2"/>
  <c r="M99" i="2"/>
  <c r="L40" i="2"/>
  <c r="I53" i="2"/>
  <c r="I48" i="2"/>
  <c r="K57" i="2"/>
  <c r="G55" i="2"/>
  <c r="M17" i="2"/>
  <c r="L90" i="2"/>
  <c r="H65" i="2"/>
  <c r="I103" i="2"/>
  <c r="G79" i="2"/>
  <c r="I74" i="2"/>
  <c r="L73" i="2"/>
  <c r="K50" i="2"/>
  <c r="H71" i="2"/>
  <c r="L61" i="2"/>
  <c r="G6" i="2"/>
  <c r="K6" i="2"/>
  <c r="M57" i="2"/>
  <c r="G31" i="2"/>
  <c r="L70" i="2"/>
  <c r="G64" i="2"/>
  <c r="G37" i="2"/>
  <c r="M64" i="2"/>
  <c r="K90" i="2"/>
  <c r="M59" i="2"/>
  <c r="K37" i="2"/>
  <c r="I40" i="2"/>
  <c r="L35" i="2"/>
  <c r="H9" i="2"/>
  <c r="H63" i="2"/>
  <c r="I23" i="2"/>
  <c r="H12" i="2"/>
  <c r="M58" i="2"/>
  <c r="I30" i="2"/>
  <c r="K75" i="2"/>
  <c r="K15" i="2"/>
  <c r="K70" i="2"/>
  <c r="L6" i="2"/>
  <c r="H90" i="2"/>
  <c r="K82" i="2"/>
  <c r="M52" i="2"/>
  <c r="G59" i="2"/>
  <c r="H61" i="2"/>
  <c r="H69" i="2"/>
  <c r="K60" i="2"/>
  <c r="H82" i="2"/>
  <c r="I17" i="2"/>
  <c r="H78" i="2"/>
  <c r="L96" i="2"/>
  <c r="I58" i="2"/>
  <c r="H23" i="2"/>
  <c r="I15" i="2"/>
  <c r="I72" i="2"/>
  <c r="G35" i="2"/>
  <c r="K96" i="2"/>
  <c r="K58" i="2"/>
  <c r="K59" i="2"/>
  <c r="M75" i="2"/>
  <c r="K72" i="2"/>
  <c r="K48" i="2"/>
  <c r="K53" i="2"/>
  <c r="K31" i="2"/>
  <c r="M53" i="2"/>
  <c r="K68" i="2"/>
  <c r="G52" i="2"/>
  <c r="K76" i="2"/>
  <c r="I35" i="2"/>
  <c r="J45" i="2" l="1"/>
  <c r="N45" i="2"/>
  <c r="O45" i="2"/>
  <c r="J92" i="2"/>
  <c r="N92" i="2"/>
  <c r="O92" i="2"/>
  <c r="H54" i="14"/>
  <c r="H56" i="14"/>
  <c r="G54" i="14"/>
  <c r="G56" i="14"/>
  <c r="J38" i="2"/>
  <c r="N38" i="2"/>
  <c r="O38" i="2" s="1"/>
  <c r="J104" i="2"/>
  <c r="N104" i="2"/>
  <c r="O104" i="2" s="1"/>
  <c r="J16" i="2"/>
  <c r="N16" i="2"/>
  <c r="O16" i="2" s="1"/>
  <c r="J106" i="2"/>
  <c r="N106" i="2"/>
  <c r="O106" i="2" s="1"/>
  <c r="J102" i="2"/>
  <c r="N102" i="2"/>
  <c r="O102" i="2" s="1"/>
  <c r="J101" i="2"/>
  <c r="N101" i="2"/>
  <c r="O101" i="2" s="1"/>
  <c r="J100" i="2"/>
  <c r="N100" i="2"/>
  <c r="O100" i="2" s="1"/>
  <c r="J107" i="2"/>
  <c r="N107" i="2"/>
  <c r="O107" i="2" s="1"/>
  <c r="J43" i="2"/>
  <c r="N43" i="2"/>
  <c r="O43" i="2" s="1"/>
  <c r="H55" i="14"/>
  <c r="J34" i="2"/>
  <c r="N34" i="2"/>
  <c r="O34" i="2" s="1"/>
  <c r="J105" i="2"/>
  <c r="N105" i="2"/>
  <c r="O105" i="2" s="1"/>
  <c r="J56" i="2"/>
  <c r="N56" i="2"/>
  <c r="O56" i="2" s="1"/>
  <c r="J20" i="2"/>
  <c r="N20" i="2"/>
  <c r="O20" i="2" s="1"/>
  <c r="J94" i="2"/>
  <c r="N94" i="2"/>
  <c r="O94" i="2" s="1"/>
  <c r="J83" i="2"/>
  <c r="N83" i="2"/>
  <c r="O83" i="2" s="1"/>
  <c r="G55" i="14"/>
  <c r="J80" i="2"/>
  <c r="F80" i="2" s="1"/>
  <c r="N80" i="2"/>
  <c r="O80" i="2" s="1"/>
  <c r="J51" i="2"/>
  <c r="F51" i="2" s="1"/>
  <c r="N51" i="2"/>
  <c r="J85" i="2"/>
  <c r="F85" i="2" s="1"/>
  <c r="N85" i="2"/>
  <c r="J84" i="2"/>
  <c r="F84" i="2" s="1"/>
  <c r="N84" i="2"/>
  <c r="O84" i="2" s="1"/>
  <c r="J10" i="2"/>
  <c r="F10" i="2" s="1"/>
  <c r="N10" i="2"/>
  <c r="H53" i="14"/>
  <c r="J91" i="2"/>
  <c r="F91" i="2" s="1"/>
  <c r="N91" i="2"/>
  <c r="J89" i="2"/>
  <c r="N89" i="2"/>
  <c r="O89" i="2" s="1"/>
  <c r="J88" i="2"/>
  <c r="N88" i="2"/>
  <c r="J87" i="2"/>
  <c r="N87" i="2"/>
  <c r="J86" i="2"/>
  <c r="N86" i="2"/>
  <c r="J49" i="2"/>
  <c r="N49" i="2"/>
  <c r="O49" i="2" s="1"/>
  <c r="J47" i="2"/>
  <c r="N47" i="2"/>
  <c r="O47" i="2" s="1"/>
  <c r="J97" i="2"/>
  <c r="N97" i="2"/>
  <c r="J81" i="2"/>
  <c r="N81" i="2"/>
  <c r="O81" i="2" s="1"/>
  <c r="N99" i="2"/>
  <c r="O99" i="2" s="1"/>
  <c r="J99" i="2"/>
  <c r="F99"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90" i="2"/>
  <c r="O90" i="2" s="1"/>
  <c r="J90" i="2"/>
  <c r="F90"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6" i="2"/>
  <c r="O96" i="2" s="1"/>
  <c r="J96" i="2"/>
  <c r="F96"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285"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4" i="2"/>
  <c r="L46" i="2"/>
  <c r="K93" i="2"/>
  <c r="I25" i="2"/>
  <c r="C6" i="5"/>
  <c r="H33" i="2"/>
  <c r="G42" i="2"/>
  <c r="M8" i="2"/>
  <c r="M13" i="2"/>
  <c r="M32" i="2"/>
  <c r="I11" i="2"/>
  <c r="G8" i="2"/>
  <c r="H25" i="2"/>
  <c r="K24" i="2"/>
  <c r="G95" i="2"/>
  <c r="M14" i="2"/>
  <c r="L11" i="2"/>
  <c r="M33" i="2"/>
  <c r="L93" i="2"/>
  <c r="L98" i="2"/>
  <c r="L66" i="2"/>
  <c r="H26" i="2"/>
  <c r="G93" i="2"/>
  <c r="I18" i="2"/>
  <c r="H93" i="2"/>
  <c r="I93" i="2"/>
  <c r="G14" i="2"/>
  <c r="M27" i="2"/>
  <c r="I29" i="2"/>
  <c r="L21" i="2"/>
  <c r="K21" i="2"/>
  <c r="C9" i="5"/>
  <c r="K32" i="2"/>
  <c r="H46" i="2"/>
  <c r="I24" i="2"/>
  <c r="G66" i="2"/>
  <c r="H24" i="2"/>
  <c r="H18" i="2"/>
  <c r="K26" i="2"/>
  <c r="L26" i="2"/>
  <c r="H21" i="2"/>
  <c r="K29" i="2"/>
  <c r="G36" i="2"/>
  <c r="I19" i="2"/>
  <c r="H66" i="2"/>
  <c r="M95" i="2"/>
  <c r="L24" i="2"/>
  <c r="L8" i="2"/>
  <c r="M44" i="2"/>
  <c r="M29" i="2"/>
  <c r="G25" i="2"/>
  <c r="K11" i="2"/>
  <c r="K27" i="2"/>
  <c r="I8" i="2"/>
  <c r="G46" i="2"/>
  <c r="M66" i="2"/>
  <c r="H36" i="2"/>
  <c r="K41" i="2"/>
  <c r="I36" i="2"/>
  <c r="I95" i="2"/>
  <c r="C5" i="5"/>
  <c r="I22" i="2"/>
  <c r="M39" i="2"/>
  <c r="G32" i="2"/>
  <c r="G27" i="2"/>
  <c r="G39" i="2"/>
  <c r="I21" i="2"/>
  <c r="M46" i="2"/>
  <c r="K14" i="2"/>
  <c r="I39" i="2"/>
  <c r="G11" i="2"/>
  <c r="H28" i="2"/>
  <c r="L13" i="2"/>
  <c r="G29" i="2"/>
  <c r="M18" i="2"/>
  <c r="L41" i="2"/>
  <c r="L22" i="2"/>
  <c r="G44" i="2"/>
  <c r="I27" i="2"/>
  <c r="L29" i="2"/>
  <c r="K18" i="2"/>
  <c r="I98" i="2"/>
  <c r="M24" i="2"/>
  <c r="G22" i="2"/>
  <c r="M11" i="2"/>
  <c r="H14" i="2"/>
  <c r="G13" i="2"/>
  <c r="H42" i="2"/>
  <c r="G21" i="2"/>
  <c r="M41" i="2"/>
  <c r="K25" i="2"/>
  <c r="M93" i="2"/>
  <c r="L42" i="2"/>
  <c r="H22" i="2"/>
  <c r="H32" i="2"/>
  <c r="I26" i="2"/>
  <c r="K42" i="2"/>
  <c r="M42" i="2"/>
  <c r="H44" i="2"/>
  <c r="L33" i="2"/>
  <c r="I66" i="2"/>
  <c r="C16" i="5"/>
  <c r="I33" i="2"/>
  <c r="I42" i="2"/>
  <c r="M21" i="2"/>
  <c r="K95" i="2"/>
  <c r="K36" i="2"/>
  <c r="I28" i="2"/>
  <c r="K8" i="2"/>
  <c r="H8" i="2"/>
  <c r="H29" i="2"/>
  <c r="L36" i="2"/>
  <c r="H11" i="2"/>
  <c r="M26" i="2"/>
  <c r="C7" i="5"/>
  <c r="K13" i="2"/>
  <c r="C10" i="5"/>
  <c r="G24" i="2"/>
  <c r="K39" i="2"/>
  <c r="I44" i="2"/>
  <c r="H98" i="2"/>
  <c r="G33" i="2"/>
  <c r="L32" i="2"/>
  <c r="K66" i="2"/>
  <c r="G41" i="2"/>
  <c r="L14" i="2"/>
  <c r="H27" i="2"/>
  <c r="M98" i="2"/>
  <c r="I13" i="2"/>
  <c r="M22" i="2"/>
  <c r="L18" i="2"/>
  <c r="G18" i="2"/>
  <c r="M19" i="2"/>
  <c r="L39" i="2"/>
  <c r="L25" i="2"/>
  <c r="L27" i="2"/>
  <c r="H19" i="2"/>
  <c r="H13" i="2"/>
  <c r="K28" i="2"/>
  <c r="K98" i="2"/>
  <c r="M28" i="2"/>
  <c r="H95" i="2"/>
  <c r="K44" i="2"/>
  <c r="C8" i="5"/>
  <c r="L19" i="2"/>
  <c r="G98" i="2"/>
  <c r="I32" i="2"/>
  <c r="K33" i="2"/>
  <c r="G26" i="2"/>
  <c r="G19" i="2"/>
  <c r="L95" i="2"/>
  <c r="I14" i="2"/>
  <c r="K46" i="2"/>
  <c r="I46" i="2"/>
  <c r="G28" i="2"/>
  <c r="L28" i="2"/>
  <c r="K22" i="2"/>
  <c r="M25" i="2"/>
  <c r="M36" i="2"/>
  <c r="H2284" i="1" l="1"/>
  <c r="H2282" i="1"/>
  <c r="H2283" i="1"/>
  <c r="H2281" i="1"/>
  <c r="H2280" i="1"/>
  <c r="H2278" i="1"/>
  <c r="H2279" i="1"/>
  <c r="H2277" i="1"/>
  <c r="H2276" i="1"/>
  <c r="H2275" i="1"/>
  <c r="H2273" i="1"/>
  <c r="H2274" i="1"/>
  <c r="H2272" i="1"/>
  <c r="H2271" i="1"/>
  <c r="H2270" i="1"/>
  <c r="H2269" i="1"/>
  <c r="H2268" i="1"/>
  <c r="H2267" i="1"/>
  <c r="H2266" i="1"/>
  <c r="H2264" i="1"/>
  <c r="H2265" i="1"/>
  <c r="H2262" i="1"/>
  <c r="H2263" i="1"/>
  <c r="H2261" i="1"/>
  <c r="H2260" i="1"/>
  <c r="H2259" i="1"/>
  <c r="H2258" i="1"/>
  <c r="H2257" i="1"/>
  <c r="H2256" i="1"/>
  <c r="H2255" i="1"/>
  <c r="H2254" i="1"/>
  <c r="H2253" i="1"/>
  <c r="H2251" i="1"/>
  <c r="H2252" i="1"/>
  <c r="H2250" i="1"/>
  <c r="H2249" i="1"/>
  <c r="H2248" i="1"/>
  <c r="H2247" i="1"/>
  <c r="H2246" i="1"/>
  <c r="H2245" i="1"/>
  <c r="H2243" i="1"/>
  <c r="H2244" i="1"/>
  <c r="H2242" i="1"/>
  <c r="H2241" i="1"/>
  <c r="H2240" i="1"/>
  <c r="H2239" i="1"/>
  <c r="H2238" i="1"/>
  <c r="H2237" i="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5" i="2"/>
  <c r="E45"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2" i="2"/>
  <c r="E92"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6" i="2"/>
  <c r="E106" i="2"/>
  <c r="F102" i="2"/>
  <c r="E102" i="2"/>
  <c r="F101" i="2"/>
  <c r="E101" i="2"/>
  <c r="F100" i="2"/>
  <c r="E100" i="2"/>
  <c r="F107" i="2"/>
  <c r="E107"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105" i="2"/>
  <c r="E105" i="2"/>
  <c r="F56" i="2"/>
  <c r="E56" i="2"/>
  <c r="F20" i="2"/>
  <c r="E20" i="2"/>
  <c r="F94" i="2"/>
  <c r="E94" i="2"/>
  <c r="F83" i="2"/>
  <c r="E83"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7" i="2"/>
  <c r="E97"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90" i="2"/>
  <c r="E59" i="2"/>
  <c r="E58" i="2"/>
  <c r="E57" i="2"/>
  <c r="E103" i="2"/>
  <c r="E55" i="2"/>
  <c r="E54" i="2"/>
  <c r="E53" i="2"/>
  <c r="E52" i="2"/>
  <c r="E6" i="2"/>
  <c r="E50" i="2"/>
  <c r="E12" i="2"/>
  <c r="E96"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5" i="2"/>
  <c r="O95" i="2" s="1"/>
  <c r="J11" i="2"/>
  <c r="F11" i="2" s="1"/>
  <c r="J18" i="2"/>
  <c r="F18" i="2" s="1"/>
  <c r="J41" i="2"/>
  <c r="F41" i="2" s="1"/>
  <c r="J22" i="2"/>
  <c r="F22" i="2" s="1"/>
  <c r="J66" i="2"/>
  <c r="F66" i="2" s="1"/>
  <c r="N18" i="2"/>
  <c r="O18" i="2" s="1"/>
  <c r="N11" i="2"/>
  <c r="O11" i="2" s="1"/>
  <c r="N39" i="2"/>
  <c r="O39" i="2" s="1"/>
  <c r="N8" i="2"/>
  <c r="O8" i="2" s="1"/>
  <c r="J32" i="2"/>
  <c r="F32" i="2" s="1"/>
  <c r="N98" i="2"/>
  <c r="O98"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44" i="2"/>
  <c r="O44" i="2" s="1"/>
  <c r="J44" i="2"/>
  <c r="F44" i="2" s="1"/>
  <c r="N24" i="2"/>
  <c r="O24" i="2" s="1"/>
  <c r="N66" i="2"/>
  <c r="O66" i="2" s="1"/>
  <c r="J27" i="2"/>
  <c r="F27" i="2" s="1"/>
  <c r="N21" i="2"/>
  <c r="O21" i="2" s="1"/>
  <c r="N27" i="2"/>
  <c r="O27" i="2" s="1"/>
  <c r="J24" i="2"/>
  <c r="F24" i="2" s="1"/>
  <c r="N13" i="2"/>
  <c r="O13" i="2" s="1"/>
  <c r="N22" i="2"/>
  <c r="O22" i="2" s="1"/>
  <c r="N36" i="2"/>
  <c r="O36" i="2" s="1"/>
  <c r="N14" i="2"/>
  <c r="O14" i="2" s="1"/>
  <c r="N32" i="2"/>
  <c r="O32" i="2" s="1"/>
  <c r="N93" i="2"/>
  <c r="O9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5" i="2"/>
  <c r="F95" i="2" s="1"/>
  <c r="J13" i="2"/>
  <c r="F13" i="2" s="1"/>
  <c r="J21" i="2"/>
  <c r="F21" i="2" s="1"/>
  <c r="J93" i="2"/>
  <c r="F93" i="2" s="1"/>
  <c r="J14" i="2"/>
  <c r="F14" i="2" s="1"/>
  <c r="J98" i="2"/>
  <c r="F98" i="2" s="1"/>
  <c r="C13" i="5"/>
  <c r="D9" i="5"/>
  <c r="G20" i="5"/>
  <c r="G17" i="5"/>
  <c r="G19" i="5"/>
  <c r="G16" i="5"/>
  <c r="G18" i="5"/>
  <c r="G21" i="5" s="1"/>
  <c r="P45" i="2" l="1"/>
  <c r="P92" i="2"/>
  <c r="P38" i="2"/>
  <c r="P104" i="2"/>
  <c r="P16" i="2"/>
  <c r="P106" i="2"/>
  <c r="P102" i="2"/>
  <c r="P101" i="2"/>
  <c r="P100" i="2"/>
  <c r="P107" i="2"/>
  <c r="P43" i="2"/>
  <c r="P34" i="2"/>
  <c r="P105" i="2"/>
  <c r="P56" i="2"/>
  <c r="P20" i="2"/>
  <c r="P94" i="2"/>
  <c r="P83" i="2"/>
  <c r="P80" i="2"/>
  <c r="P51" i="2"/>
  <c r="P85" i="2"/>
  <c r="P84" i="2"/>
  <c r="P10" i="2"/>
  <c r="P91" i="2"/>
  <c r="P89" i="2"/>
  <c r="P88" i="2"/>
  <c r="P87" i="2"/>
  <c r="P86" i="2"/>
  <c r="P47" i="2"/>
  <c r="P49" i="2"/>
  <c r="P97" i="2"/>
  <c r="P81" i="2"/>
  <c r="P99" i="2"/>
  <c r="P31" i="2"/>
  <c r="P79" i="2"/>
  <c r="P9" i="2"/>
  <c r="P77" i="2"/>
  <c r="P78" i="2"/>
  <c r="P75" i="2"/>
  <c r="P76" i="2"/>
  <c r="P73" i="2"/>
  <c r="P74" i="2"/>
  <c r="P72" i="2"/>
  <c r="P69" i="2"/>
  <c r="P71" i="2"/>
  <c r="P70" i="2"/>
  <c r="P67" i="2"/>
  <c r="P68" i="2"/>
  <c r="P65" i="2"/>
  <c r="P5" i="2"/>
  <c r="P63" i="2"/>
  <c r="P64" i="2"/>
  <c r="P62" i="2"/>
  <c r="P30" i="2"/>
  <c r="P60" i="2"/>
  <c r="P61" i="2"/>
  <c r="P59" i="2"/>
  <c r="P90" i="2"/>
  <c r="P57" i="2"/>
  <c r="P58" i="2"/>
  <c r="P55" i="2"/>
  <c r="P103" i="2"/>
  <c r="P53" i="2"/>
  <c r="P54" i="2"/>
  <c r="P6" i="2"/>
  <c r="P52" i="2"/>
  <c r="P12" i="2"/>
  <c r="P50" i="2"/>
  <c r="P48" i="2"/>
  <c r="P96" i="2"/>
  <c r="P35" i="2"/>
  <c r="P40" i="2"/>
  <c r="E11" i="2"/>
  <c r="P37" i="2"/>
  <c r="P17" i="2"/>
  <c r="E44" i="2"/>
  <c r="E26" i="2"/>
  <c r="E32" i="2"/>
  <c r="P23" i="2"/>
  <c r="P7" i="2"/>
  <c r="P82" i="2"/>
  <c r="E18" i="2"/>
  <c r="E22" i="2"/>
  <c r="E27" i="2"/>
  <c r="E41" i="2"/>
  <c r="E46" i="2"/>
  <c r="P15" i="2"/>
  <c r="E29" i="2"/>
  <c r="E39" i="2"/>
  <c r="E19" i="2"/>
  <c r="E28" i="2"/>
  <c r="E66" i="2"/>
  <c r="E42" i="2"/>
  <c r="E33" i="2"/>
  <c r="E24" i="2"/>
  <c r="E25" i="2"/>
  <c r="P25" i="2"/>
  <c r="P44" i="2"/>
  <c r="P42" i="2"/>
  <c r="P33" i="2"/>
  <c r="P24" i="2"/>
  <c r="P32" i="2"/>
  <c r="P26" i="2"/>
  <c r="P39" i="2"/>
  <c r="P66" i="2"/>
  <c r="P18" i="2"/>
  <c r="P29" i="2"/>
  <c r="P11" i="2"/>
  <c r="P28" i="2"/>
  <c r="P19" i="2"/>
  <c r="P46" i="2"/>
  <c r="P41" i="2"/>
  <c r="P22" i="2"/>
  <c r="P27" i="2"/>
  <c r="E14" i="2"/>
  <c r="E8" i="2"/>
  <c r="E36" i="2"/>
  <c r="E93" i="2"/>
  <c r="E13" i="2"/>
  <c r="E21" i="2"/>
  <c r="E98"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5" i="2"/>
  <c r="D10" i="5"/>
  <c r="D7" i="5"/>
  <c r="D6" i="5"/>
  <c r="D5" i="5"/>
  <c r="C14" i="5"/>
  <c r="D45" i="2" l="1"/>
  <c r="C45" i="2" s="1"/>
  <c r="D92" i="2"/>
  <c r="C92" i="2" s="1"/>
  <c r="D38" i="2"/>
  <c r="C38" i="2" s="1"/>
  <c r="D104" i="2"/>
  <c r="C104" i="2" s="1"/>
  <c r="D16" i="2"/>
  <c r="C16" i="2" s="1"/>
  <c r="D106" i="2"/>
  <c r="C106" i="2" s="1"/>
  <c r="D102" i="2"/>
  <c r="C102" i="2" s="1"/>
  <c r="D101" i="2"/>
  <c r="C101" i="2" s="1"/>
  <c r="D100" i="2"/>
  <c r="C100" i="2" s="1"/>
  <c r="D107" i="2"/>
  <c r="C107" i="2" s="1"/>
  <c r="D43" i="2"/>
  <c r="C43" i="2" s="1"/>
  <c r="D34" i="2"/>
  <c r="C34" i="2" s="1"/>
  <c r="D105" i="2"/>
  <c r="C105" i="2" s="1"/>
  <c r="D56" i="2"/>
  <c r="C56" i="2" s="1"/>
  <c r="D20" i="2"/>
  <c r="C20" i="2" s="1"/>
  <c r="D83" i="2"/>
  <c r="C83" i="2" s="1"/>
  <c r="D94" i="2"/>
  <c r="C94" i="2" s="1"/>
  <c r="D80" i="2"/>
  <c r="C80" i="2" s="1"/>
  <c r="D85" i="2"/>
  <c r="C85" i="2" s="1"/>
  <c r="D51" i="2"/>
  <c r="C51" i="2" s="1"/>
  <c r="D10" i="2"/>
  <c r="C10" i="2" s="1"/>
  <c r="D84" i="2"/>
  <c r="C84" i="2" s="1"/>
  <c r="D91" i="2"/>
  <c r="C91" i="2" s="1"/>
  <c r="D89" i="2"/>
  <c r="C89" i="2" s="1"/>
  <c r="D88" i="2"/>
  <c r="C88" i="2" s="1"/>
  <c r="D87" i="2"/>
  <c r="C87" i="2" s="1"/>
  <c r="D86" i="2"/>
  <c r="C86" i="2" s="1"/>
  <c r="D47" i="2"/>
  <c r="C47" i="2" s="1"/>
  <c r="D49" i="2"/>
  <c r="C49" i="2" s="1"/>
  <c r="D81" i="2"/>
  <c r="C81" i="2" s="1"/>
  <c r="D97" i="2"/>
  <c r="C97" i="2" s="1"/>
  <c r="D99" i="2"/>
  <c r="C99"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90" i="2"/>
  <c r="C90" i="2" s="1"/>
  <c r="D57" i="2"/>
  <c r="C57" i="2" s="1"/>
  <c r="D58" i="2"/>
  <c r="C58" i="2" s="1"/>
  <c r="D55" i="2"/>
  <c r="C55" i="2" s="1"/>
  <c r="D103" i="2"/>
  <c r="C103" i="2" s="1"/>
  <c r="D53" i="2"/>
  <c r="C53" i="2" s="1"/>
  <c r="D54" i="2"/>
  <c r="C54" i="2" s="1"/>
  <c r="D6" i="2"/>
  <c r="C6" i="2" s="1"/>
  <c r="D52" i="2"/>
  <c r="C52" i="2" s="1"/>
  <c r="D12" i="2"/>
  <c r="C12" i="2" s="1"/>
  <c r="D50" i="2"/>
  <c r="C50" i="2" s="1"/>
  <c r="D48" i="2"/>
  <c r="C48" i="2" s="1"/>
  <c r="D96" i="2"/>
  <c r="C96" i="2" s="1"/>
  <c r="D35" i="2"/>
  <c r="C35" i="2" s="1"/>
  <c r="D40" i="2"/>
  <c r="C40" i="2" s="1"/>
  <c r="D17" i="2"/>
  <c r="C17" i="2" s="1"/>
  <c r="D37" i="2"/>
  <c r="C37" i="2" s="1"/>
  <c r="D23" i="2"/>
  <c r="C23" i="2" s="1"/>
  <c r="D7" i="2"/>
  <c r="C7" i="2" s="1"/>
  <c r="D82" i="2"/>
  <c r="C82" i="2" s="1"/>
  <c r="D15" i="2"/>
  <c r="C15" i="2" s="1"/>
  <c r="D25" i="2"/>
  <c r="C25" i="2" s="1"/>
  <c r="D44" i="2"/>
  <c r="C44" i="2" s="1"/>
  <c r="D42" i="2"/>
  <c r="C42" i="2" s="1"/>
  <c r="D33" i="2"/>
  <c r="C33" i="2" s="1"/>
  <c r="D24" i="2"/>
  <c r="C24" i="2" s="1"/>
  <c r="D32" i="2"/>
  <c r="C32" i="2" s="1"/>
  <c r="D26" i="2"/>
  <c r="C26" i="2" s="1"/>
  <c r="D39" i="2"/>
  <c r="C39" i="2" s="1"/>
  <c r="D66" i="2"/>
  <c r="C66" i="2" s="1"/>
  <c r="D18" i="2"/>
  <c r="C18" i="2" s="1"/>
  <c r="D28" i="2"/>
  <c r="C28" i="2" s="1"/>
  <c r="D29" i="2"/>
  <c r="C29" i="2" s="1"/>
  <c r="D11" i="2"/>
  <c r="C11" i="2" s="1"/>
  <c r="D19" i="2"/>
  <c r="C19" i="2" s="1"/>
  <c r="D46" i="2"/>
  <c r="C46" i="2" s="1"/>
  <c r="D41" i="2"/>
  <c r="C41" i="2" s="1"/>
  <c r="D22" i="2"/>
  <c r="C22" i="2" s="1"/>
  <c r="D27" i="2"/>
  <c r="C27" i="2" s="1"/>
  <c r="C15" i="5"/>
  <c r="D36" i="2"/>
  <c r="D95" i="2"/>
  <c r="D93" i="2"/>
  <c r="D21" i="2"/>
  <c r="D98" i="2"/>
  <c r="D8" i="2"/>
  <c r="D13" i="2"/>
  <c r="D14" i="2"/>
  <c r="G7" i="5"/>
  <c r="G5" i="5"/>
  <c r="G8" i="5" s="1"/>
  <c r="G6" i="5"/>
  <c r="G13" i="5"/>
  <c r="P21" i="2" l="1"/>
  <c r="C21" i="2" s="1"/>
  <c r="P98" i="2"/>
  <c r="C98" i="2" s="1"/>
  <c r="P95" i="2"/>
  <c r="C95" i="2" s="1"/>
  <c r="P93" i="2"/>
  <c r="C93"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<sst xmlns="http://schemas.openxmlformats.org/spreadsheetml/2006/main" count="44053" uniqueCount="767">
  <si>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</si>
  <si>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</si>
  <si>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</si>
  <si>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</si>
  <si>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</si>
  <si>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</si>
  <si>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</si>
  <si>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</si>
  <si>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</si>
  <si>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</si>
  <si>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</si>
  <si>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</si>
  <si>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</si>
  <si>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</si>
  <si>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</si>
  <si>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</si>
  <si>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</si>
  <si>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</si>
  <si>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</si>
  <si>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</si>
  <si>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</si>
  <si>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</si>
  <si>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</si>
  <si>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</si>
  <si>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</si>
  <si>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</si>
  <si>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</si>
  <si>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</si>
  <si>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</si>
  <si>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</si>
  <si>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</si>
  <si>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</si>
  <si>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</si>
  <si>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</si>
  <si>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</si>
  <si>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</si>
  <si>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</si>
  <si>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</si>
  <si>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</si>
  <si>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</si>
  <si>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</si>
  <si>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</si>
  <si>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</si>
  <si>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</si>
  <si>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</si>
  <si>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</si>
  <si>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</si>
  <si>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</si>
  <si>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</si>
  <si>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</si>
  <si>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</si>
  <si>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</si>
  <si>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</si>
  <si>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</si>
  <si>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</si>
  <si>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</si>
  <si>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</si>
  <si>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</si>
  <si>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</si>
  <si>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</si>
  <si>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</si>
  <si>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</si>
  <si>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</si>
  <si>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</si>
  <si>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</si>
  <si>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</si>
  <si>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</si>
  <si>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</si>
  <si>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</si>
  <si>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</si>
  <si>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</si>
  <si>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</si>
  <si>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</si>
  <si>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</si>
  <si>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</si>
  <si>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</si>
  <si>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</si>
  <si>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</si>
  <si>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</si>
  <si>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</si>
  <si>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</si>
  <si>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</si>
  <si>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</si>
  <si>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</si>
  <si>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</si>
  <si>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</si>
  <si>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</si>
  <si>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</si>
  <si>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</si>
  <si>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</si>
  <si>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</si>
  <si>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</si>
  <si>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</si>
  <si>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</si>
  <si>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</si>
  <si>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</si>
  <si>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</si>
  <si>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</si>
  <si>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</si>
  <si>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</si>
  <si>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</si>
  <si>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</si>
  <si>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</si>
  <si>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</si>
  <si>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</si>
  <si>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</si>
  <si>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</si>
  <si>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</si>
  <si>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</si>
  <si>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</si>
  <si>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</si>
  <si>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</si>
  <si>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</si>
  <si>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</si>
  <si>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</si>
  <si>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</si>
  <si>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</si>
  <si>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</si>
  <si>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</si>
  <si>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</si>
  <si>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</si>
  <si>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</si>
  <si>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</si>
  <si>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</si>
  <si>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</si>
  <si>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</si>
  <si>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</si>
  <si>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</si>
  <si>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</si>
  <si>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</si>
  <si>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</si>
  <si>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</si>
  <si>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</si>
  <si>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</si>
  <si>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</si>
  <si>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</si>
  <si>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</si>
  <si>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</si>
  <si>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</si>
  <si>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</si>
  <si>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</si>
  <si>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</si>
  <si>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</si>
  <si>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</si>
  <si>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</si>
  <si>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</si>
  <si>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</si>
  <si>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</si>
  <si>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</si>
  <si>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</si>
  <si>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</si>
  <si>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</si>
  <si>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</si>
  <si>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</si>
  <si>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</si>
  <si>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</si>
  <si>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</si>
  <si>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</si>
  <si>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</si>
  <si>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</si>
  <si>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</si>
  <si>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</si>
  <si>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</si>
  <si>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</si>
  <si>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</si>
  <si>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</si>
  <si>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</si>
  <si>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</si>
  <si>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</si>
  <si>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</si>
  <si>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</si>
  <si>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</si>
  <si>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</si>
  <si>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</si>
  <si>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</si>
  <si>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</si>
  <si>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</si>
  <si>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</si>
  <si>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</si>
  <si>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</si>
  <si>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</si>
  <si>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</si>
  <si>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</si>
  <si>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</si>
  <si>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</si>
  <si>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</si>
  <si>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</si>
  <si>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</si>
  <si>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</si>
  <si>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</si>
  <si>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</si>
  <si>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</si>
  <si>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</si>
  <si>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</si>
  <si>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</si>
  <si>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</si>
  <si>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</si>
  <si>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</si>
  <si>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</si>
  <si>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</si>
  <si>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</si>
  <si>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</si>
  <si>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</si>
  <si>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</si>
  <si>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</si>
  <si>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</si>
  <si>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</si>
  <si>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</si>
  <si>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</si>
  <si>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</si>
  <si>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</si>
  <si>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</si>
  <si>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</si>
  <si>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</si>
  <si>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</si>
  <si>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</si>
  <si>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</si>
  <si>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</si>
  <si>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</si>
  <si>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</si>
  <si>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</si>
  <si>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</si>
  <si>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</si>
  <si>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</si>
  <si>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</si>
  <si>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</si>
  <si>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</si>
  <si>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</si>
  <si>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</si>
  <si>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</si>
  <si>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</si>
  <si>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</si>
  <si>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</si>
  <si>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</si>
  <si>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</si>
  <si>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</si>
  <si>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</si>
  <si>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</si>
  <si>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</si>
  <si>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</si>
  <si>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</si>
  <si>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</si>
  <si>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</si>
  <si>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</si>
  <si>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</si>
  <si>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</si>
  <si>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</si>
  <si>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</si>
  <si>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</si>
  <si>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</si>
  <si>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</si>
  <si>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</si>
  <si>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</si>
  <si>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</si>
  <si>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</si>
  <si>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</si>
  <si>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</si>
  <si>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</si>
  <si>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</si>
  <si>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</si>
  <si>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</si>
  <si>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</si>
  <si>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</si>
  <si>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</si>
  <si>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</si>
  <si>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</si>
  <si>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</si>
  <si>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</si>
  <si>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</si>
  <si>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</si>
  <si>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</si>
  <si>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</si>
  <si>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</si>
  <si>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</si>
  <si>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</si>
  <si>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</si>
  <si>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</si>
  <si>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</si>
  <si>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</si>
  <si>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</si>
  <si>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</si>
  <si>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</si>
  <si>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</si>
  <si>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</si>
  <si>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</si>
  <si>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</si>
  <si>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</si>
  <si>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</si>
  <si>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</si>
  <si>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</si>
  <si>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</si>
  <si>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</si>
  <si>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</si>
  <si>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</si>
  <si>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</si>
  <si>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</si>
  <si>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</si>
  <si>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</si>
  <si>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</si>
  <si>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</si>
  <si>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</si>
  <si>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</si>
  <si>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</si>
  <si>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</si>
  <si>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</si>
  <si>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</si>
  <si>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</si>
  <si>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</si>
  <si>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</si>
  <si>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</si>
  <si>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</si>
  <si>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</si>
  <si>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</si>
  <si>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</si>
  <si>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</si>
  <si>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</si>
  <si>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</si>
  <si>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</si>
  <si>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</si>
  <si>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</si>
  <si>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</si>
  <si>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</si>
  <si>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</si>
  <si>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</si>
  <si>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</si>
  <si>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</si>
  <si>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</si>
  <si>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</si>
  <si>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</si>
  <si>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</si>
  <si>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</si>
  <si>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</si>
  <si>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</si>
  <si>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</si>
  <si>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</si>
  <si>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</si>
  <si>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</si>
  <si>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</si>
  <si>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</si>
  <si>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</si>
  <si>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</si>
  <si>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</si>
  <si>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</si>
  <si>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</si>
  <si>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</si>
  <si>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</si>
  <si>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</si>
  <si>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</si>
  <si>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</si>
  <si>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</si>
  <si>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</si>
  <si>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</si>
  <si>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</si>
  <si>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</si>
  <si>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</si>
  <si>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</si>
  <si>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</si>
  <si>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</si>
  <si>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</si>
  <si>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</si>
  <si>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</si>
  <si>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</si>
  <si>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</si>
  <si>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</si>
  <si>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</si>
  <si>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</si>
  <si>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</si>
  <si>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</si>
  <si>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</si>
  <si>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</si>
  <si>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</si>
  <si>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</si>
  <si>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</si>
  <si>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</si>
  <si>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</si>
  <si>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</si>
  <si>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</si>
  <si>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</si>
  <si>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</si>
  <si>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</si>
  <si>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</si>
  <si>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</si>
  <si>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</si>
  <si>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</si>
  <si>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</si>
  <si>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</si>
  <si>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</si>
  <si>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</si>
  <si>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</si>
  <si>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</si>
  <si>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</si>
  <si>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</si>
  <si>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</si>
  <si>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</si>
  <si>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</si>
  <si>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</si>
  <si>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</si>
  <si>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</si>
  <si>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</si>
  <si>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</si>
  <si>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</si>
  <si>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</si>
  <si>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</si>
  <si>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</si>
  <si>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</si>
  <si>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</si>
  <si>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</si>
  <si>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</si>
  <si>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</si>
  <si>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</si>
  <si>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</si>
  <si>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</si>
  <si>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</si>
  <si>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</si>
  <si>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</si>
  <si>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</si>
  <si>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</si>
  <si>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</si>
  <si>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</si>
  <si>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</si>
  <si>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</si>
  <si>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</si>
  <si>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</si>
  <si>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</si>
  <si>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</si>
  <si>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</si>
  <si>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</si>
  <si>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</si>
  <si>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</si>
  <si>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</si>
  <si>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</si>
  <si>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</si>
  <si>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</si>
  <si>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</si>
  <si>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</si>
  <si>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</si>
  <si>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</si>
  <si>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</si>
  <si>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</si>
  <si>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</si>
  <si>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</si>
  <si>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</si>
  <si>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</si>
  <si>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</si>
  <si>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</si>
  <si>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</si>
  <si>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</si>
  <si>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</si>
  <si>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</si>
  <si>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</si>
  <si>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</si>
  <si>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</si>
  <si>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</si>
  <si>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</si>
  <si>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</si>
  <si>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</si>
  <si>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</si>
  <si>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</si>
  <si>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</si>
  <si>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</si>
  <si>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</si>
  <si>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</si>
  <si>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</si>
  <si>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</si>
  <si>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</si>
  <si>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</si>
  <si>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</si>
  <si>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</si>
  <si>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</si>
  <si>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</si>
  <si>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</si>
  <si>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</si>
  <si>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</si>
  <si>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</si>
  <si>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</si>
  <si>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</si>
  <si>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</si>
  <si>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</si>
  <si>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</si>
  <si>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</si>
  <si>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</si>
  <si>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</si>
  <si>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</si>
  <si>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</si>
  <si>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</si>
  <si>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</si>
  <si>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</si>
  <si>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</si>
  <si>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</si>
  <si>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</si>
  <si>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</si>
  <si>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</si>
  <si>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</si>
  <si>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</si>
  <si>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</si>
  <si>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</si>
  <si>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</si>
  <si>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</si>
  <si>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</si>
  <si>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</si>
  <si>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</si>
  <si>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</si>
  <si>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</si>
  <si>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</si>
  <si>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</si>
  <si>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</si>
  <si>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</si>
  <si>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</si>
  <si>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</si>
  <si>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</si>
  <si>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</si>
  <si>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</si>
  <si>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</si>
  <si>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</si>
  <si>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</si>
  <si>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</si>
  <si>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</si>
  <si>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</si>
  <si>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</si>
  <si>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</si>
  <si>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</si>
  <si>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</si>
  <si>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</si>
  <si>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</si>
  <si>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</si>
  <si>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</si>
  <si>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</si>
  <si>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</si>
  <si>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</si>
  <si>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</si>
  <si>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</si>
  <si>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</si>
  <si>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</si>
  <si>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</si>
  <si>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</si>
  <si>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</si>
  <si>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</si>
  <si>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</si>
  <si>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</si>
  <si>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</si>
  <si>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</si>
  <si>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</si>
  <si>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</si>
  <si>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</si>
  <si>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</si>
  <si>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</si>
  <si>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</si>
  <si>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</si>
  <si>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</si>
  <si>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</si>
  <si>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</si>
  <si>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</si>
  <si>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</si>
  <si>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</si>
  <si>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</si>
  <si>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</si>
  <si>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</si>
  <si>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</si>
  <si>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</si>
  <si>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</si>
  <si>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</si>
  <si>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</si>
  <si>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</si>
  <si>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</si>
  <si>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</si>
  <si>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</si>
  <si>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</si>
  <si>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</si>
  <si>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</si>
  <si>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</si>
  <si>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</si>
  <si>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</si>
  <si>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</si>
  <si>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</si>
  <si>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</si>
  <si>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</si>
  <si>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</si>
  <si>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</si>
  <si>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</si>
  <si>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</si>
  <si>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</si>
  <si>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</si>
  <si>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</si>
  <si>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</si>
  <si>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</si>
  <si>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</si>
  <si>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</si>
  <si>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</si>
  <si>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</si>
  <si>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</si>
  <si>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</si>
  <si>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</si>
  <si>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</si>
  <si>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</si>
  <si>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</si>
  <si>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</si>
  <si>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</si>
  <si>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</si>
  <si>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</si>
  <si>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</si>
  <si>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</si>
  <si>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</si>
  <si>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</si>
  <si>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</si>
  <si>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</si>
  <si>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</si>
  <si>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</si>
  <si>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</si>
  <si>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</si>
  <si>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</si>
  <si>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</si>
  <si>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</si>
  <si>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</si>
  <si>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</si>
  <si>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</si>
  <si>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</si>
  <si>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</si>
  <si>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</si>
  <si>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</si>
  <si>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</si>
  <si>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</si>
  <si>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</si>
  <si>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</si>
  <si>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</si>
  <si>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</si>
  <si>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</si>
  <si>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</si>
  <si>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</si>
  <si>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</si>
  <si>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</si>
  <si>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</si>
  <si>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</si>
  <si>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</si>
  <si>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</si>
  <si>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</si>
  <si>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</si>
  <si>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</si>
  <si>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</si>
  <si>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</si>
  <si>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</si>
  <si>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</si>
  <si>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</si>
  <si>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</si>
  <si>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</si>
  <si>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</si>
  <si>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</si>
  <si>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</si>
  <si>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</si>
  <si>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</si>
  <si>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</si>
  <si>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</si>
  <si>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</si>
  <si>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</si>
  <si>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</si>
  <si>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</si>
  <si>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</si>
  <si>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</si>
  <si>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</si>
  <si>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</si>
  <si>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</si>
  <si>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</si>
  <si>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</si>
  <si>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</si>
  <si>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</si>
  <si>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</si>
  <si>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</si>
  <si>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</si>
  <si>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</si>
  <si>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</si>
  <si>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</si>
  <si>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</si>
  <si>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</si>
  <si>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</si>
  <si>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</si>
  <si>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</si>
  <si>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</si>
  <si>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</si>
  <si>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</si>
  <si>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</si>
  <si>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</si>
  <si>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</si>
  <si>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</si>
  <si>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</si>
  <si>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</si>
  <si>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</si>
  <si>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</si>
  <si>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</si>
  <si>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</si>
  <si>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</si>
  <si>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</si>
  <si>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</si>
  <si>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</si>
  <si>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</si>
  <si>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</si>
  <si>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</si>
  <si>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</si>
  <si>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</si>
  <si>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</si>
  <si>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</si>
  <si>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</si>
  <si>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</si>
  <si>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</si>
  <si>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</si>
  <si>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</si>
  <si>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</si>
  <si>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</si>
  <si>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</si>
  <si>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</si>
  <si>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</si>
  <si>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</si>
  <si>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</si>
  <si>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</si>
  <si>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</si>
  <si>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</si>
  <si>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</si>
  <si>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</si>
  <si>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</si>
  <si>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</si>
  <si>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</si>
  <si>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</si>
  <si>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</si>
  <si>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</si>
  <si>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</si>
  <si>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</si>
  <si>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</si>
  <si>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</si>
  <si>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</si>
  <si>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</si>
  <si>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</si>
  <si>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</si>
  <si>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</si>
  <si>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</si>
  <si>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</si>
  <si>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</si>
  <si>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</si>
  <si>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</si>
  <si>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</si>
  <si>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</si>
  <si>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</si>
  <si>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</si>
  <si>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</si>
  <si>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</si>
  <si>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</si>
  <si>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</si>
  <si>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</si>
  <si>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</si>
  <si>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</si>
  <si>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</si>
  <si>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</si>
  <si>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</si>
  <si>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</si>
  <si>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</si>
  <si>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</si>
  <si>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</si>
  <si>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</si>
  <si>
    <t>1|19000101|46300</t>
  </si>
  <si>
    <t>2|19000101|46300</t>
  </si>
  <si>
    <t>3|19000101|46300</t>
  </si>
  <si>
    <t>4|19000101|46300</t>
  </si>
  <si>
    <t>5|19000101|46300</t>
  </si>
  <si>
    <t>6|19000101|46300</t>
  </si>
  <si>
    <t>1|19000102|46300</t>
  </si>
  <si>
    <t>2|19000102|46300</t>
  </si>
  <si>
    <t>3|19000102|46300</t>
  </si>
  <si>
    <t>4|19000102|46300</t>
  </si>
  <si>
    <t>5|19000102|46300</t>
  </si>
  <si>
    <t>6|19000102|46300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</si>
</sst>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1.385339120374" createdVersion="8" refreshedVersion="8" minRefreshableVersion="3" recordCount="6378"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29T00:00:00" count="62">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d v="2026-09-28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29T00:00:00"/>
        <groupItems count="14">
          <s v="&lt;7/21/2025"/>
          <s v="Jan"/>
          <s v="Feb"/>
          <s v="Mar"/>
          <s v="Apr"/>
          <s v="May"/>
          <s v="Jun"/>
          <s v="Jul"/>
          <s v="Aug"/>
          <s v="Sep"/>
          <s v="Oct"/>
          <s v="Nov"/>
          <s v="Dec"/>
          <s v="&gt;9/29/2026"/>
        </groupItems>
      </fieldGroup>
    </cacheField>
    <cacheField name="Quarters (Date)" numFmtId="0" databaseField="0">
      <fieldGroup base="5">
        <rangePr groupBy="quarters" startDate="2025-07-21T00:00:00" endDate="2026-09-29T00:00:00"/>
        <groupItems count="6">
          <s v="&lt;7/21/2025"/>
          <s v="Qtr1"/>
          <s v="Qtr2"/>
          <s v="Qtr3"/>
          <s v="Qtr4"/>
          <s v="&gt;9/29/2026"/>
        </groupItems>
      </fieldGroup>
    </cacheField>
    <cacheField name="Years (Date)" numFmtId="0" databaseField="0">
      <fieldGroup base="5">
        <rangePr groupBy="years" startDate="2025-07-21T00:00:00" endDate="2026-09-29T00:00:00"/>
        <groupItems count="4">
          <s v="&lt;7/21/2025"/>
          <s v="2025"/>
          <s v="2026"/>
          <s v="&gt;9/29/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1.385339236112" createdVersion="8" refreshedVersion="8" minRefreshableVersion="3" recordCount="2284"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10-06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78">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Previous"/>
    <x v="2"/>
    <s v="Win"/>
    <b v="0"/>
    <n v="0"/>
    <n v="1"/>
    <n v="0"/>
    <n v="1"/>
  </r>
  <r>
    <x v="79"/>
    <s v="Loss"/>
    <n v="1"/>
    <n v="1"/>
    <n v="1"/>
    <x v="60"/>
    <s v="1|19000101|46286"/>
    <n v="4"/>
    <n v="2026"/>
    <n v="9"/>
    <s v="Previous"/>
    <x v="13"/>
    <s v="Loss"/>
    <b v="0"/>
    <n v="0"/>
    <n v="1"/>
    <n v="0"/>
    <n v="0"/>
  </r>
  <r>
    <x v="79"/>
    <s v="Loss"/>
    <n v="1"/>
    <n v="1"/>
    <n v="1"/>
    <x v="60"/>
    <s v="1|19000101|46286"/>
    <n v="4"/>
    <n v="2026"/>
    <n v="9"/>
    <s v="Previous"/>
    <x v="14"/>
    <s v="Loss"/>
    <b v="0"/>
    <n v="0"/>
    <n v="1"/>
    <n v="0"/>
    <n v="0"/>
  </r>
  <r>
    <x v="3"/>
    <s v="Win"/>
    <n v="2"/>
    <n v="1"/>
    <n v="1"/>
    <x v="60"/>
    <s v="1|19000101|46286"/>
    <n v="4"/>
    <n v="2026"/>
    <n v="9"/>
    <s v="Previous"/>
    <x v="79"/>
    <s v="Loss"/>
    <b v="0"/>
    <n v="1"/>
    <n v="0"/>
    <n v="0"/>
    <n v="0"/>
  </r>
  <r>
    <x v="3"/>
    <s v="Win"/>
    <n v="2"/>
    <n v="1"/>
    <n v="1"/>
    <x v="60"/>
    <s v="1|19000101|46286"/>
    <n v="4"/>
    <n v="2026"/>
    <n v="9"/>
    <s v="Previous"/>
    <x v="13"/>
    <s v="Loss"/>
    <b v="0"/>
    <n v="1"/>
    <n v="0"/>
    <n v="0"/>
    <n v="0"/>
  </r>
  <r>
    <x v="3"/>
    <s v="Win"/>
    <n v="2"/>
    <n v="1"/>
    <n v="1"/>
    <x v="60"/>
    <s v="1|19000101|46286"/>
    <n v="4"/>
    <n v="2026"/>
    <n v="9"/>
    <s v="Previous"/>
    <x v="14"/>
    <s v="Loss"/>
    <b v="0"/>
    <n v="1"/>
    <n v="0"/>
    <n v="0"/>
    <n v="0"/>
  </r>
  <r>
    <x v="13"/>
    <s v="Loss"/>
    <n v="3"/>
    <n v="1"/>
    <n v="1"/>
    <x v="60"/>
    <s v="1|19000101|46286"/>
    <n v="4"/>
    <n v="2026"/>
    <n v="9"/>
    <s v="Previous"/>
    <x v="79"/>
    <s v="Loss"/>
    <b v="0"/>
    <n v="0"/>
    <n v="1"/>
    <n v="0"/>
    <n v="0"/>
  </r>
  <r>
    <x v="13"/>
    <s v="Loss"/>
    <n v="3"/>
    <n v="1"/>
    <n v="1"/>
    <x v="60"/>
    <s v="1|19000101|46286"/>
    <n v="4"/>
    <n v="2026"/>
    <n v="9"/>
    <s v="Previous"/>
    <x v="2"/>
    <s v="Win"/>
    <b v="0"/>
    <n v="0"/>
    <n v="1"/>
    <n v="0"/>
    <n v="1"/>
  </r>
  <r>
    <x v="13"/>
    <s v="Loss"/>
    <n v="3"/>
    <n v="1"/>
    <n v="1"/>
    <x v="60"/>
    <s v="1|19000101|46286"/>
    <n v="4"/>
    <n v="2026"/>
    <n v="9"/>
    <s v="Previous"/>
    <x v="14"/>
    <s v="Loss"/>
    <b v="0"/>
    <n v="0"/>
    <n v="1"/>
    <n v="0"/>
    <n v="0"/>
  </r>
  <r>
    <x v="14"/>
    <s v="Loss"/>
    <n v="4"/>
    <n v="1"/>
    <n v="1"/>
    <x v="60"/>
    <s v="1|19000101|46286"/>
    <n v="4"/>
    <n v="2026"/>
    <n v="9"/>
    <s v="Previous"/>
    <x v="79"/>
    <s v="Loss"/>
    <b v="0"/>
    <n v="0"/>
    <n v="1"/>
    <n v="0"/>
    <n v="0"/>
  </r>
  <r>
    <x v="14"/>
    <s v="Loss"/>
    <n v="4"/>
    <n v="1"/>
    <n v="1"/>
    <x v="60"/>
    <s v="1|19000101|46286"/>
    <n v="4"/>
    <n v="2026"/>
    <n v="9"/>
    <s v="Previous"/>
    <x v="2"/>
    <s v="Win"/>
    <b v="0"/>
    <n v="0"/>
    <n v="1"/>
    <n v="0"/>
    <n v="1"/>
  </r>
  <r>
    <x v="14"/>
    <s v="Loss"/>
    <n v="4"/>
    <n v="1"/>
    <n v="1"/>
    <x v="60"/>
    <s v="1|19000101|46286"/>
    <n v="4"/>
    <n v="2026"/>
    <n v="9"/>
    <s v="Previous"/>
    <x v="13"/>
    <s v="Loss"/>
    <b v="0"/>
    <n v="0"/>
    <n v="1"/>
    <n v="0"/>
    <n v="0"/>
  </r>
  <r>
    <x v="44"/>
    <s v="Draw"/>
    <n v="1"/>
    <n v="2"/>
    <n v="1"/>
    <x v="60"/>
    <s v="2|19000101|46286"/>
    <n v="4"/>
    <n v="2026"/>
    <n v="9"/>
    <s v="Previous"/>
    <x v="20"/>
    <s v="Draw"/>
    <b v="0"/>
    <n v="0"/>
    <n v="0"/>
    <n v="1"/>
    <n v="0"/>
  </r>
  <r>
    <x v="44"/>
    <s v="Draw"/>
    <n v="1"/>
    <n v="2"/>
    <n v="1"/>
    <x v="60"/>
    <s v="2|19000101|46286"/>
    <n v="4"/>
    <n v="2026"/>
    <n v="9"/>
    <s v="Previous"/>
    <x v="96"/>
    <s v="Draw"/>
    <b v="0"/>
    <n v="0"/>
    <n v="0"/>
    <n v="1"/>
    <n v="0"/>
  </r>
  <r>
    <x v="44"/>
    <s v="Draw"/>
    <n v="1"/>
    <n v="2"/>
    <n v="1"/>
    <x v="60"/>
    <s v="2|19000101|46286"/>
    <n v="4"/>
    <n v="2026"/>
    <n v="9"/>
    <s v="Previous"/>
    <x v="66"/>
    <s v="Draw"/>
    <b v="0"/>
    <n v="0"/>
    <n v="0"/>
    <n v="1"/>
    <n v="0"/>
  </r>
  <r>
    <x v="20"/>
    <s v="Draw"/>
    <n v="2"/>
    <n v="2"/>
    <n v="1"/>
    <x v="60"/>
    <s v="2|19000101|46286"/>
    <n v="4"/>
    <n v="2026"/>
    <n v="9"/>
    <s v="Previous"/>
    <x v="44"/>
    <s v="Draw"/>
    <b v="0"/>
    <n v="0"/>
    <n v="0"/>
    <n v="1"/>
    <n v="0"/>
  </r>
  <r>
    <x v="20"/>
    <s v="Draw"/>
    <n v="2"/>
    <n v="2"/>
    <n v="1"/>
    <x v="60"/>
    <s v="2|19000101|46286"/>
    <n v="4"/>
    <n v="2026"/>
    <n v="9"/>
    <s v="Previous"/>
    <x v="96"/>
    <s v="Draw"/>
    <b v="0"/>
    <n v="0"/>
    <n v="0"/>
    <n v="1"/>
    <n v="0"/>
  </r>
  <r>
    <x v="20"/>
    <s v="Draw"/>
    <n v="2"/>
    <n v="2"/>
    <n v="1"/>
    <x v="60"/>
    <s v="2|19000101|46286"/>
    <n v="4"/>
    <n v="2026"/>
    <n v="9"/>
    <s v="Previous"/>
    <x v="66"/>
    <s v="Draw"/>
    <b v="0"/>
    <n v="0"/>
    <n v="0"/>
    <n v="1"/>
    <n v="0"/>
  </r>
  <r>
    <x v="96"/>
    <s v="Draw"/>
    <n v="3"/>
    <n v="2"/>
    <n v="1"/>
    <x v="60"/>
    <s v="2|19000101|46286"/>
    <n v="4"/>
    <n v="2026"/>
    <n v="9"/>
    <s v="Previous"/>
    <x v="44"/>
    <s v="Draw"/>
    <b v="0"/>
    <n v="0"/>
    <n v="0"/>
    <n v="1"/>
    <n v="0"/>
  </r>
  <r>
    <x v="96"/>
    <s v="Draw"/>
    <n v="3"/>
    <n v="2"/>
    <n v="1"/>
    <x v="60"/>
    <s v="2|19000101|46286"/>
    <n v="4"/>
    <n v="2026"/>
    <n v="9"/>
    <s v="Previous"/>
    <x v="20"/>
    <s v="Draw"/>
    <b v="0"/>
    <n v="0"/>
    <n v="0"/>
    <n v="1"/>
    <n v="0"/>
  </r>
  <r>
    <x v="96"/>
    <s v="Draw"/>
    <n v="3"/>
    <n v="2"/>
    <n v="1"/>
    <x v="60"/>
    <s v="2|19000101|46286"/>
    <n v="4"/>
    <n v="2026"/>
    <n v="9"/>
    <s v="Previous"/>
    <x v="66"/>
    <s v="Draw"/>
    <b v="0"/>
    <n v="0"/>
    <n v="0"/>
    <n v="1"/>
    <n v="0"/>
  </r>
  <r>
    <x v="67"/>
    <s v="Draw"/>
    <n v="4"/>
    <n v="2"/>
    <n v="1"/>
    <x v="60"/>
    <s v="2|19000101|46286"/>
    <n v="4"/>
    <n v="2026"/>
    <n v="9"/>
    <s v="Previous"/>
    <x v="44"/>
    <s v="Draw"/>
    <b v="0"/>
    <n v="0"/>
    <n v="0"/>
    <n v="1"/>
    <n v="0"/>
  </r>
  <r>
    <x v="67"/>
    <s v="Draw"/>
    <n v="4"/>
    <n v="2"/>
    <n v="1"/>
    <x v="60"/>
    <s v="2|19000101|46286"/>
    <n v="4"/>
    <n v="2026"/>
    <n v="9"/>
    <s v="Previous"/>
    <x v="20"/>
    <s v="Draw"/>
    <b v="0"/>
    <n v="0"/>
    <n v="0"/>
    <n v="1"/>
    <n v="0"/>
  </r>
  <r>
    <x v="67"/>
    <s v="Draw"/>
    <n v="4"/>
    <n v="2"/>
    <n v="1"/>
    <x v="60"/>
    <s v="2|19000101|46286"/>
    <n v="4"/>
    <n v="2026"/>
    <n v="9"/>
    <s v="Previous"/>
    <x v="96"/>
    <s v="Draw"/>
    <b v="0"/>
    <n v="0"/>
    <n v="0"/>
    <n v="1"/>
    <n v="0"/>
  </r>
  <r>
    <x v="5"/>
    <s v="Loss"/>
    <n v="1"/>
    <n v="3"/>
    <n v="1"/>
    <x v="60"/>
    <s v="3|19000101|46286"/>
    <n v="4"/>
    <n v="2026"/>
    <n v="9"/>
    <s v="Previous"/>
    <x v="84"/>
    <s v="Win"/>
    <b v="0"/>
    <n v="0"/>
    <n v="1"/>
    <n v="0"/>
    <n v="1"/>
  </r>
  <r>
    <x v="5"/>
    <s v="Loss"/>
    <n v="1"/>
    <n v="3"/>
    <n v="1"/>
    <x v="60"/>
    <s v="3|19000101|46286"/>
    <n v="4"/>
    <n v="2026"/>
    <n v="9"/>
    <s v="Previous"/>
    <x v="17"/>
    <s v="Loss"/>
    <b v="0"/>
    <n v="0"/>
    <n v="1"/>
    <n v="0"/>
    <n v="0"/>
  </r>
  <r>
    <x v="5"/>
    <s v="Loss"/>
    <n v="1"/>
    <n v="3"/>
    <n v="1"/>
    <x v="60"/>
    <s v="3|19000101|46286"/>
    <n v="4"/>
    <n v="2026"/>
    <n v="9"/>
    <s v="Previous"/>
    <x v="46"/>
    <s v="Loss"/>
    <b v="0"/>
    <n v="0"/>
    <n v="1"/>
    <n v="0"/>
    <n v="0"/>
  </r>
  <r>
    <x v="84"/>
    <s v="Win"/>
    <n v="2"/>
    <n v="3"/>
    <n v="1"/>
    <x v="60"/>
    <s v="3|19000101|46286"/>
    <n v="4"/>
    <n v="2026"/>
    <n v="9"/>
    <s v="Previous"/>
    <x v="5"/>
    <s v="Loss"/>
    <b v="0"/>
    <n v="1"/>
    <n v="0"/>
    <n v="0"/>
    <n v="0"/>
  </r>
  <r>
    <x v="84"/>
    <s v="Win"/>
    <n v="2"/>
    <n v="3"/>
    <n v="1"/>
    <x v="60"/>
    <s v="3|19000101|46286"/>
    <n v="4"/>
    <n v="2026"/>
    <n v="9"/>
    <s v="Previous"/>
    <x v="17"/>
    <s v="Loss"/>
    <b v="0"/>
    <n v="1"/>
    <n v="0"/>
    <n v="0"/>
    <n v="0"/>
  </r>
  <r>
    <x v="84"/>
    <s v="Win"/>
    <n v="2"/>
    <n v="3"/>
    <n v="1"/>
    <x v="60"/>
    <s v="3|19000101|46286"/>
    <n v="4"/>
    <n v="2026"/>
    <n v="9"/>
    <s v="Previous"/>
    <x v="46"/>
    <s v="Loss"/>
    <b v="0"/>
    <n v="1"/>
    <n v="0"/>
    <n v="0"/>
    <n v="0"/>
  </r>
  <r>
    <x v="17"/>
    <s v="Loss"/>
    <n v="3"/>
    <n v="3"/>
    <n v="1"/>
    <x v="60"/>
    <s v="3|19000101|46286"/>
    <n v="4"/>
    <n v="2026"/>
    <n v="9"/>
    <s v="Previous"/>
    <x v="5"/>
    <s v="Loss"/>
    <b v="0"/>
    <n v="0"/>
    <n v="1"/>
    <n v="0"/>
    <n v="0"/>
  </r>
  <r>
    <x v="17"/>
    <s v="Loss"/>
    <n v="3"/>
    <n v="3"/>
    <n v="1"/>
    <x v="60"/>
    <s v="3|19000101|46286"/>
    <n v="4"/>
    <n v="2026"/>
    <n v="9"/>
    <s v="Previous"/>
    <x v="84"/>
    <s v="Win"/>
    <b v="0"/>
    <n v="0"/>
    <n v="1"/>
    <n v="0"/>
    <n v="1"/>
  </r>
  <r>
    <x v="17"/>
    <s v="Loss"/>
    <n v="3"/>
    <n v="3"/>
    <n v="1"/>
    <x v="60"/>
    <s v="3|19000101|46286"/>
    <n v="4"/>
    <n v="2026"/>
    <n v="9"/>
    <s v="Previous"/>
    <x v="46"/>
    <s v="Loss"/>
    <b v="0"/>
    <n v="0"/>
    <n v="1"/>
    <n v="0"/>
    <n v="0"/>
  </r>
  <r>
    <x v="46"/>
    <s v="Loss"/>
    <n v="4"/>
    <n v="3"/>
    <n v="1"/>
    <x v="60"/>
    <s v="3|19000101|46286"/>
    <n v="4"/>
    <n v="2026"/>
    <n v="9"/>
    <s v="Previous"/>
    <x v="5"/>
    <s v="Loss"/>
    <b v="0"/>
    <n v="0"/>
    <n v="1"/>
    <n v="0"/>
    <n v="0"/>
  </r>
  <r>
    <x v="46"/>
    <s v="Loss"/>
    <n v="4"/>
    <n v="3"/>
    <n v="1"/>
    <x v="60"/>
    <s v="3|19000101|46286"/>
    <n v="4"/>
    <n v="2026"/>
    <n v="9"/>
    <s v="Previous"/>
    <x v="84"/>
    <s v="Win"/>
    <b v="0"/>
    <n v="0"/>
    <n v="1"/>
    <n v="0"/>
    <n v="1"/>
  </r>
  <r>
    <x v="46"/>
    <s v="Loss"/>
    <n v="4"/>
    <n v="3"/>
    <n v="1"/>
    <x v="60"/>
    <s v="3|19000101|46286"/>
    <n v="4"/>
    <n v="2026"/>
    <n v="9"/>
    <s v="Previous"/>
    <x v="17"/>
    <s v="Loss"/>
    <b v="0"/>
    <n v="0"/>
    <n v="1"/>
    <n v="0"/>
    <n v="0"/>
  </r>
  <r>
    <x v="90"/>
    <s v="Loss"/>
    <n v="1"/>
    <n v="4"/>
    <n v="1"/>
    <x v="60"/>
    <s v="4|19000101|46286"/>
    <n v="4"/>
    <n v="2026"/>
    <n v="9"/>
    <s v="Previous"/>
    <x v="18"/>
    <s v="Loss"/>
    <b v="0"/>
    <n v="0"/>
    <n v="1"/>
    <n v="0"/>
    <n v="0"/>
  </r>
  <r>
    <x v="90"/>
    <s v="Loss"/>
    <n v="1"/>
    <n v="4"/>
    <n v="1"/>
    <x v="60"/>
    <s v="4|19000101|46286"/>
    <n v="4"/>
    <n v="2026"/>
    <n v="9"/>
    <s v="Previous"/>
    <x v="80"/>
    <s v="Loss"/>
    <b v="0"/>
    <n v="0"/>
    <n v="1"/>
    <n v="0"/>
    <n v="0"/>
  </r>
  <r>
    <x v="90"/>
    <s v="Loss"/>
    <n v="1"/>
    <n v="4"/>
    <n v="1"/>
    <x v="60"/>
    <s v="4|19000101|46286"/>
    <n v="4"/>
    <n v="2026"/>
    <n v="9"/>
    <s v="Previous"/>
    <x v="4"/>
    <s v="Win"/>
    <b v="0"/>
    <n v="0"/>
    <n v="1"/>
    <n v="0"/>
    <n v="1"/>
  </r>
  <r>
    <x v="18"/>
    <s v="Loss"/>
    <n v="2"/>
    <n v="4"/>
    <n v="1"/>
    <x v="60"/>
    <s v="4|19000101|46286"/>
    <n v="4"/>
    <n v="2026"/>
    <n v="9"/>
    <s v="Previous"/>
    <x v="90"/>
    <s v="Loss"/>
    <b v="0"/>
    <n v="0"/>
    <n v="1"/>
    <n v="0"/>
    <n v="0"/>
  </r>
  <r>
    <x v="18"/>
    <s v="Loss"/>
    <n v="2"/>
    <n v="4"/>
    <n v="1"/>
    <x v="60"/>
    <s v="4|19000101|46286"/>
    <n v="4"/>
    <n v="2026"/>
    <n v="9"/>
    <s v="Previous"/>
    <x v="80"/>
    <s v="Loss"/>
    <b v="0"/>
    <n v="0"/>
    <n v="1"/>
    <n v="0"/>
    <n v="0"/>
  </r>
  <r>
    <x v="18"/>
    <s v="Loss"/>
    <n v="2"/>
    <n v="4"/>
    <n v="1"/>
    <x v="60"/>
    <s v="4|19000101|46286"/>
    <n v="4"/>
    <n v="2026"/>
    <n v="9"/>
    <s v="Previous"/>
    <x v="4"/>
    <s v="Win"/>
    <b v="0"/>
    <n v="0"/>
    <n v="1"/>
    <n v="0"/>
    <n v="1"/>
  </r>
  <r>
    <x v="80"/>
    <s v="Loss"/>
    <n v="3"/>
    <n v="4"/>
    <n v="1"/>
    <x v="60"/>
    <s v="4|19000101|46286"/>
    <n v="4"/>
    <n v="2026"/>
    <n v="9"/>
    <s v="Previous"/>
    <x v="90"/>
    <s v="Loss"/>
    <b v="0"/>
    <n v="0"/>
    <n v="1"/>
    <n v="0"/>
    <n v="0"/>
  </r>
  <r>
    <x v="80"/>
    <s v="Loss"/>
    <n v="3"/>
    <n v="4"/>
    <n v="1"/>
    <x v="60"/>
    <s v="4|19000101|46286"/>
    <n v="4"/>
    <n v="2026"/>
    <n v="9"/>
    <s v="Previous"/>
    <x v="18"/>
    <s v="Loss"/>
    <b v="0"/>
    <n v="0"/>
    <n v="1"/>
    <n v="0"/>
    <n v="0"/>
  </r>
  <r>
    <x v="80"/>
    <s v="Loss"/>
    <n v="3"/>
    <n v="4"/>
    <n v="1"/>
    <x v="60"/>
    <s v="4|19000101|46286"/>
    <n v="4"/>
    <n v="2026"/>
    <n v="9"/>
    <s v="Previous"/>
    <x v="4"/>
    <s v="Win"/>
    <b v="0"/>
    <n v="0"/>
    <n v="1"/>
    <n v="0"/>
    <n v="1"/>
  </r>
  <r>
    <x v="4"/>
    <s v="Win"/>
    <n v="4"/>
    <n v="4"/>
    <n v="1"/>
    <x v="60"/>
    <s v="4|19000101|46286"/>
    <n v="4"/>
    <n v="2026"/>
    <n v="9"/>
    <s v="Previous"/>
    <x v="90"/>
    <s v="Loss"/>
    <b v="0"/>
    <n v="1"/>
    <n v="0"/>
    <n v="0"/>
    <n v="0"/>
  </r>
  <r>
    <x v="4"/>
    <s v="Win"/>
    <n v="4"/>
    <n v="4"/>
    <n v="1"/>
    <x v="60"/>
    <s v="4|19000101|46286"/>
    <n v="4"/>
    <n v="2026"/>
    <n v="9"/>
    <s v="Previous"/>
    <x v="18"/>
    <s v="Loss"/>
    <b v="0"/>
    <n v="1"/>
    <n v="0"/>
    <n v="0"/>
    <n v="0"/>
  </r>
  <r>
    <x v="4"/>
    <s v="Win"/>
    <n v="4"/>
    <n v="4"/>
    <n v="1"/>
    <x v="60"/>
    <s v="4|19000101|46286"/>
    <n v="4"/>
    <n v="2026"/>
    <n v="9"/>
    <s v="Previous"/>
    <x v="80"/>
    <s v="Loss"/>
    <b v="0"/>
    <n v="1"/>
    <n v="0"/>
    <n v="0"/>
    <n v="0"/>
  </r>
  <r>
    <x v="92"/>
    <s v="Loss"/>
    <n v="1"/>
    <n v="5"/>
    <n v="1"/>
    <x v="60"/>
    <s v="5|19000101|46286"/>
    <n v="4"/>
    <n v="2026"/>
    <n v="9"/>
    <s v="Previous"/>
    <x v="7"/>
    <s v="Loss"/>
    <b v="0"/>
    <n v="0"/>
    <n v="1"/>
    <n v="0"/>
    <n v="0"/>
  </r>
  <r>
    <x v="92"/>
    <s v="Loss"/>
    <n v="1"/>
    <n v="5"/>
    <n v="1"/>
    <x v="60"/>
    <s v="5|19000101|46286"/>
    <n v="4"/>
    <n v="2026"/>
    <n v="9"/>
    <s v="Previous"/>
    <x v="11"/>
    <s v="Loss"/>
    <b v="0"/>
    <n v="0"/>
    <n v="1"/>
    <n v="0"/>
    <n v="0"/>
  </r>
  <r>
    <x v="92"/>
    <s v="Loss"/>
    <n v="1"/>
    <n v="5"/>
    <n v="1"/>
    <x v="60"/>
    <s v="5|19000101|46286"/>
    <n v="4"/>
    <n v="2026"/>
    <n v="9"/>
    <s v="Previous"/>
    <x v="10"/>
    <s v="Win"/>
    <b v="0"/>
    <n v="0"/>
    <n v="1"/>
    <n v="0"/>
    <n v="1"/>
  </r>
  <r>
    <x v="7"/>
    <s v="Loss"/>
    <n v="2"/>
    <n v="5"/>
    <n v="1"/>
    <x v="60"/>
    <s v="5|19000101|46286"/>
    <n v="4"/>
    <n v="2026"/>
    <n v="9"/>
    <s v="Previous"/>
    <x v="92"/>
    <s v="Loss"/>
    <b v="0"/>
    <n v="0"/>
    <n v="1"/>
    <n v="0"/>
    <n v="0"/>
  </r>
  <r>
    <x v="7"/>
    <s v="Loss"/>
    <n v="2"/>
    <n v="5"/>
    <n v="1"/>
    <x v="60"/>
    <s v="5|19000101|46286"/>
    <n v="4"/>
    <n v="2026"/>
    <n v="9"/>
    <s v="Previous"/>
    <x v="11"/>
    <s v="Loss"/>
    <b v="0"/>
    <n v="0"/>
    <n v="1"/>
    <n v="0"/>
    <n v="0"/>
  </r>
  <r>
    <x v="7"/>
    <s v="Loss"/>
    <n v="2"/>
    <n v="5"/>
    <n v="1"/>
    <x v="60"/>
    <s v="5|19000101|46286"/>
    <n v="4"/>
    <n v="2026"/>
    <n v="9"/>
    <s v="Previous"/>
    <x v="10"/>
    <s v="Win"/>
    <b v="0"/>
    <n v="0"/>
    <n v="1"/>
    <n v="0"/>
    <n v="1"/>
  </r>
  <r>
    <x v="11"/>
    <s v="Loss"/>
    <n v="3"/>
    <n v="5"/>
    <n v="1"/>
    <x v="60"/>
    <s v="5|19000101|46286"/>
    <n v="4"/>
    <n v="2026"/>
    <n v="9"/>
    <s v="Previous"/>
    <x v="92"/>
    <s v="Loss"/>
    <b v="0"/>
    <n v="0"/>
    <n v="1"/>
    <n v="0"/>
    <n v="0"/>
  </r>
  <r>
    <x v="11"/>
    <s v="Loss"/>
    <n v="3"/>
    <n v="5"/>
    <n v="1"/>
    <x v="60"/>
    <s v="5|19000101|46286"/>
    <n v="4"/>
    <n v="2026"/>
    <n v="9"/>
    <s v="Previous"/>
    <x v="7"/>
    <s v="Loss"/>
    <b v="0"/>
    <n v="0"/>
    <n v="1"/>
    <n v="0"/>
    <n v="0"/>
  </r>
  <r>
    <x v="11"/>
    <s v="Loss"/>
    <n v="3"/>
    <n v="5"/>
    <n v="1"/>
    <x v="60"/>
    <s v="5|19000101|46286"/>
    <n v="4"/>
    <n v="2026"/>
    <n v="9"/>
    <s v="Previous"/>
    <x v="10"/>
    <s v="Win"/>
    <b v="0"/>
    <n v="0"/>
    <n v="1"/>
    <n v="0"/>
    <n v="1"/>
  </r>
  <r>
    <x v="10"/>
    <s v="Win"/>
    <n v="4"/>
    <n v="5"/>
    <n v="1"/>
    <x v="60"/>
    <s v="5|19000101|46286"/>
    <n v="4"/>
    <n v="2026"/>
    <n v="9"/>
    <s v="Previous"/>
    <x v="92"/>
    <s v="Loss"/>
    <b v="0"/>
    <n v="1"/>
    <n v="0"/>
    <n v="0"/>
    <n v="0"/>
  </r>
  <r>
    <x v="10"/>
    <s v="Win"/>
    <n v="4"/>
    <n v="5"/>
    <n v="1"/>
    <x v="60"/>
    <s v="5|19000101|46286"/>
    <n v="4"/>
    <n v="2026"/>
    <n v="9"/>
    <s v="Previous"/>
    <x v="7"/>
    <s v="Loss"/>
    <b v="0"/>
    <n v="1"/>
    <n v="0"/>
    <n v="0"/>
    <n v="0"/>
  </r>
  <r>
    <x v="10"/>
    <s v="Win"/>
    <n v="4"/>
    <n v="5"/>
    <n v="1"/>
    <x v="60"/>
    <s v="5|19000101|46286"/>
    <n v="4"/>
    <n v="2026"/>
    <n v="9"/>
    <s v="Previous"/>
    <x v="11"/>
    <s v="Loss"/>
    <b v="0"/>
    <n v="1"/>
    <n v="0"/>
    <n v="0"/>
    <n v="0"/>
  </r>
  <r>
    <x v="97"/>
    <s v="Loss"/>
    <n v="1"/>
    <n v="6"/>
    <n v="1"/>
    <x v="60"/>
    <s v="6|19000101|46286"/>
    <n v="3"/>
    <n v="2026"/>
    <n v="9"/>
    <s v="Previous"/>
    <x v="1"/>
    <s v="Loss"/>
    <b v="0"/>
    <n v="0"/>
    <n v="1"/>
    <n v="0"/>
    <n v="0"/>
  </r>
  <r>
    <x v="97"/>
    <s v="Loss"/>
    <n v="1"/>
    <n v="6"/>
    <n v="1"/>
    <x v="60"/>
    <s v="6|19000101|46286"/>
    <n v="3"/>
    <n v="2026"/>
    <n v="9"/>
    <s v="Previous"/>
    <x v="0"/>
    <s v="Win"/>
    <b v="0"/>
    <n v="0"/>
    <n v="1"/>
    <n v="0"/>
    <n v="1"/>
  </r>
  <r>
    <x v="2"/>
    <s v="Loss"/>
    <n v="2"/>
    <n v="6"/>
    <n v="1"/>
    <x v="60"/>
    <s v="6|19000101|46286"/>
    <n v="3"/>
    <n v="2026"/>
    <n v="9"/>
    <s v="Previous"/>
    <x v="97"/>
    <s v="Loss"/>
    <b v="0"/>
    <n v="0"/>
    <n v="1"/>
    <n v="0"/>
    <n v="0"/>
  </r>
  <r>
    <x v="2"/>
    <s v="Loss"/>
    <n v="2"/>
    <n v="6"/>
    <n v="1"/>
    <x v="60"/>
    <s v="6|19000101|46286"/>
    <n v="3"/>
    <n v="2026"/>
    <n v="9"/>
    <s v="Previous"/>
    <x v="0"/>
    <s v="Win"/>
    <b v="0"/>
    <n v="0"/>
    <n v="1"/>
    <n v="0"/>
    <n v="1"/>
  </r>
  <r>
    <x v="1"/>
    <s v="Win"/>
    <n v="3"/>
    <n v="6"/>
    <n v="1"/>
    <x v="60"/>
    <s v="6|19000101|46286"/>
    <n v="3"/>
    <n v="2026"/>
    <n v="9"/>
    <s v="Previous"/>
    <x v="97"/>
    <s v="Loss"/>
    <b v="0"/>
    <n v="1"/>
    <n v="0"/>
    <n v="0"/>
    <n v="0"/>
  </r>
  <r>
    <x v="1"/>
    <s v="Win"/>
    <n v="3"/>
    <n v="6"/>
    <n v="1"/>
    <x v="60"/>
    <s v="6|19000101|46286"/>
    <n v="3"/>
    <n v="2026"/>
    <n v="9"/>
    <s v="Previous"/>
    <x v="1"/>
    <s v="Loss"/>
    <b v="0"/>
    <n v="1"/>
    <n v="0"/>
    <n v="0"/>
    <n v="0"/>
  </r>
  <r>
    <x v="17"/>
    <s v="Draw"/>
    <n v="1"/>
    <n v="1"/>
    <n v="2"/>
    <x v="60"/>
    <s v="1|19000102|46286"/>
    <n v="4"/>
    <n v="2026"/>
    <n v="9"/>
    <s v="Previous"/>
    <x v="80"/>
    <s v="Draw"/>
    <b v="0"/>
    <n v="0"/>
    <n v="0"/>
    <n v="1"/>
    <n v="0"/>
  </r>
  <r>
    <x v="17"/>
    <s v="Draw"/>
    <n v="1"/>
    <n v="1"/>
    <n v="2"/>
    <x v="60"/>
    <s v="1|19000102|46286"/>
    <n v="4"/>
    <n v="2026"/>
    <n v="9"/>
    <s v="Previous"/>
    <x v="0"/>
    <s v="Draw"/>
    <b v="0"/>
    <n v="0"/>
    <n v="0"/>
    <n v="1"/>
    <n v="0"/>
  </r>
  <r>
    <x v="17"/>
    <s v="Draw"/>
    <n v="1"/>
    <n v="1"/>
    <n v="2"/>
    <x v="60"/>
    <s v="1|19000102|46286"/>
    <n v="4"/>
    <n v="2026"/>
    <n v="9"/>
    <s v="Previous"/>
    <x v="20"/>
    <s v="Draw"/>
    <b v="0"/>
    <n v="0"/>
    <n v="0"/>
    <n v="1"/>
    <n v="0"/>
  </r>
  <r>
    <x v="80"/>
    <s v="Draw"/>
    <n v="2"/>
    <n v="1"/>
    <n v="2"/>
    <x v="60"/>
    <s v="1|19000102|46286"/>
    <n v="4"/>
    <n v="2026"/>
    <n v="9"/>
    <s v="Previous"/>
    <x v="17"/>
    <s v="Draw"/>
    <b v="0"/>
    <n v="0"/>
    <n v="0"/>
    <n v="1"/>
    <n v="0"/>
  </r>
  <r>
    <x v="80"/>
    <s v="Draw"/>
    <n v="2"/>
    <n v="1"/>
    <n v="2"/>
    <x v="60"/>
    <s v="1|19000102|46286"/>
    <n v="4"/>
    <n v="2026"/>
    <n v="9"/>
    <s v="Previous"/>
    <x v="0"/>
    <s v="Draw"/>
    <b v="0"/>
    <n v="0"/>
    <n v="0"/>
    <n v="1"/>
    <n v="0"/>
  </r>
  <r>
    <x v="80"/>
    <s v="Draw"/>
    <n v="2"/>
    <n v="1"/>
    <n v="2"/>
    <x v="60"/>
    <s v="1|19000102|46286"/>
    <n v="4"/>
    <n v="2026"/>
    <n v="9"/>
    <s v="Previous"/>
    <x v="20"/>
    <s v="Draw"/>
    <b v="0"/>
    <n v="0"/>
    <n v="0"/>
    <n v="1"/>
    <n v="0"/>
  </r>
  <r>
    <x v="1"/>
    <s v="Draw"/>
    <n v="3"/>
    <n v="1"/>
    <n v="2"/>
    <x v="60"/>
    <s v="1|19000102|46286"/>
    <n v="4"/>
    <n v="2026"/>
    <n v="9"/>
    <s v="Previous"/>
    <x v="17"/>
    <s v="Draw"/>
    <b v="0"/>
    <n v="0"/>
    <n v="0"/>
    <n v="1"/>
    <n v="0"/>
  </r>
  <r>
    <x v="1"/>
    <s v="Draw"/>
    <n v="3"/>
    <n v="1"/>
    <n v="2"/>
    <x v="60"/>
    <s v="1|19000102|46286"/>
    <n v="4"/>
    <n v="2026"/>
    <n v="9"/>
    <s v="Previous"/>
    <x v="80"/>
    <s v="Draw"/>
    <b v="0"/>
    <n v="0"/>
    <n v="0"/>
    <n v="1"/>
    <n v="0"/>
  </r>
  <r>
    <x v="1"/>
    <s v="Draw"/>
    <n v="3"/>
    <n v="1"/>
    <n v="2"/>
    <x v="60"/>
    <s v="1|19000102|46286"/>
    <n v="4"/>
    <n v="2026"/>
    <n v="9"/>
    <s v="Previous"/>
    <x v="20"/>
    <s v="Draw"/>
    <b v="0"/>
    <n v="0"/>
    <n v="0"/>
    <n v="1"/>
    <n v="0"/>
  </r>
  <r>
    <x v="20"/>
    <s v="Draw"/>
    <n v="4"/>
    <n v="1"/>
    <n v="2"/>
    <x v="60"/>
    <s v="1|19000102|46286"/>
    <n v="4"/>
    <n v="2026"/>
    <n v="9"/>
    <s v="Previous"/>
    <x v="17"/>
    <s v="Draw"/>
    <b v="0"/>
    <n v="0"/>
    <n v="0"/>
    <n v="1"/>
    <n v="0"/>
  </r>
  <r>
    <x v="20"/>
    <s v="Draw"/>
    <n v="4"/>
    <n v="1"/>
    <n v="2"/>
    <x v="60"/>
    <s v="1|19000102|46286"/>
    <n v="4"/>
    <n v="2026"/>
    <n v="9"/>
    <s v="Previous"/>
    <x v="80"/>
    <s v="Draw"/>
    <b v="0"/>
    <n v="0"/>
    <n v="0"/>
    <n v="1"/>
    <n v="0"/>
  </r>
  <r>
    <x v="20"/>
    <s v="Draw"/>
    <n v="4"/>
    <n v="1"/>
    <n v="2"/>
    <x v="60"/>
    <s v="1|19000102|46286"/>
    <n v="4"/>
    <n v="2026"/>
    <n v="9"/>
    <s v="Previous"/>
    <x v="0"/>
    <s v="Draw"/>
    <b v="0"/>
    <n v="0"/>
    <n v="0"/>
    <n v="1"/>
    <n v="0"/>
  </r>
  <r>
    <x v="2"/>
    <s v="Draw"/>
    <n v="1"/>
    <n v="2"/>
    <n v="2"/>
    <x v="60"/>
    <s v="2|19000102|46286"/>
    <n v="4"/>
    <n v="2026"/>
    <n v="9"/>
    <s v="Previous"/>
    <x v="7"/>
    <s v="Draw"/>
    <b v="0"/>
    <n v="0"/>
    <n v="0"/>
    <n v="1"/>
    <n v="0"/>
  </r>
  <r>
    <x v="2"/>
    <s v="Draw"/>
    <n v="1"/>
    <n v="2"/>
    <n v="2"/>
    <x v="60"/>
    <s v="2|19000102|46286"/>
    <n v="4"/>
    <n v="2026"/>
    <n v="9"/>
    <s v="Previous"/>
    <x v="2"/>
    <s v="Draw"/>
    <b v="0"/>
    <n v="0"/>
    <n v="0"/>
    <n v="1"/>
    <n v="0"/>
  </r>
  <r>
    <x v="2"/>
    <s v="Draw"/>
    <n v="1"/>
    <n v="2"/>
    <n v="2"/>
    <x v="60"/>
    <s v="2|19000102|46286"/>
    <n v="4"/>
    <n v="2026"/>
    <n v="9"/>
    <s v="Previous"/>
    <x v="44"/>
    <s v="Draw"/>
    <b v="0"/>
    <n v="0"/>
    <n v="0"/>
    <n v="1"/>
    <n v="0"/>
  </r>
  <r>
    <x v="7"/>
    <s v="Draw"/>
    <n v="2"/>
    <n v="2"/>
    <n v="2"/>
    <x v="60"/>
    <s v="2|19000102|46286"/>
    <n v="4"/>
    <n v="2026"/>
    <n v="9"/>
    <s v="Previous"/>
    <x v="1"/>
    <s v="Draw"/>
    <b v="0"/>
    <n v="0"/>
    <n v="0"/>
    <n v="1"/>
    <n v="0"/>
  </r>
  <r>
    <x v="7"/>
    <s v="Draw"/>
    <n v="2"/>
    <n v="2"/>
    <n v="2"/>
    <x v="60"/>
    <s v="2|19000102|46286"/>
    <n v="4"/>
    <n v="2026"/>
    <n v="9"/>
    <s v="Previous"/>
    <x v="2"/>
    <s v="Draw"/>
    <b v="0"/>
    <n v="0"/>
    <n v="0"/>
    <n v="1"/>
    <n v="0"/>
  </r>
  <r>
    <x v="7"/>
    <s v="Draw"/>
    <n v="2"/>
    <n v="2"/>
    <n v="2"/>
    <x v="60"/>
    <s v="2|19000102|46286"/>
    <n v="4"/>
    <n v="2026"/>
    <n v="9"/>
    <s v="Previous"/>
    <x v="44"/>
    <s v="Draw"/>
    <b v="0"/>
    <n v="0"/>
    <n v="0"/>
    <n v="1"/>
    <n v="0"/>
  </r>
  <r>
    <x v="3"/>
    <s v="Draw"/>
    <n v="3"/>
    <n v="2"/>
    <n v="2"/>
    <x v="60"/>
    <s v="2|19000102|46286"/>
    <n v="4"/>
    <n v="2026"/>
    <n v="9"/>
    <s v="Previous"/>
    <x v="1"/>
    <s v="Draw"/>
    <b v="0"/>
    <n v="0"/>
    <n v="0"/>
    <n v="1"/>
    <n v="0"/>
  </r>
  <r>
    <x v="3"/>
    <s v="Draw"/>
    <n v="3"/>
    <n v="2"/>
    <n v="2"/>
    <x v="60"/>
    <s v="2|19000102|46286"/>
    <n v="4"/>
    <n v="2026"/>
    <n v="9"/>
    <s v="Previous"/>
    <x v="7"/>
    <s v="Draw"/>
    <b v="0"/>
    <n v="0"/>
    <n v="0"/>
    <n v="1"/>
    <n v="0"/>
  </r>
  <r>
    <x v="3"/>
    <s v="Draw"/>
    <n v="3"/>
    <n v="2"/>
    <n v="2"/>
    <x v="60"/>
    <s v="2|19000102|46286"/>
    <n v="4"/>
    <n v="2026"/>
    <n v="9"/>
    <s v="Previous"/>
    <x v="44"/>
    <s v="Draw"/>
    <b v="0"/>
    <n v="0"/>
    <n v="0"/>
    <n v="1"/>
    <n v="0"/>
  </r>
  <r>
    <x v="44"/>
    <s v="Draw"/>
    <n v="4"/>
    <n v="2"/>
    <n v="2"/>
    <x v="60"/>
    <s v="2|19000102|46286"/>
    <n v="4"/>
    <n v="2026"/>
    <n v="9"/>
    <s v="Previous"/>
    <x v="1"/>
    <s v="Draw"/>
    <b v="0"/>
    <n v="0"/>
    <n v="0"/>
    <n v="1"/>
    <n v="0"/>
  </r>
  <r>
    <x v="44"/>
    <s v="Draw"/>
    <n v="4"/>
    <n v="2"/>
    <n v="2"/>
    <x v="60"/>
    <s v="2|19000102|46286"/>
    <n v="4"/>
    <n v="2026"/>
    <n v="9"/>
    <s v="Previous"/>
    <x v="7"/>
    <s v="Draw"/>
    <b v="0"/>
    <n v="0"/>
    <n v="0"/>
    <n v="1"/>
    <n v="0"/>
  </r>
  <r>
    <x v="44"/>
    <s v="Draw"/>
    <n v="4"/>
    <n v="2"/>
    <n v="2"/>
    <x v="60"/>
    <s v="2|19000102|46286"/>
    <n v="4"/>
    <n v="2026"/>
    <n v="9"/>
    <s v="Previous"/>
    <x v="2"/>
    <s v="Draw"/>
    <b v="0"/>
    <n v="0"/>
    <n v="0"/>
    <n v="1"/>
    <n v="0"/>
  </r>
  <r>
    <x v="96"/>
    <s v="Draw"/>
    <n v="1"/>
    <n v="3"/>
    <n v="2"/>
    <x v="60"/>
    <s v="3|19000102|46286"/>
    <n v="4"/>
    <n v="2026"/>
    <n v="9"/>
    <s v="Previous"/>
    <x v="46"/>
    <s v="Draw"/>
    <b v="0"/>
    <n v="0"/>
    <n v="0"/>
    <n v="1"/>
    <n v="0"/>
  </r>
  <r>
    <x v="96"/>
    <s v="Draw"/>
    <n v="1"/>
    <n v="3"/>
    <n v="2"/>
    <x v="60"/>
    <s v="3|19000102|46286"/>
    <n v="4"/>
    <n v="2026"/>
    <n v="9"/>
    <s v="Previous"/>
    <x v="4"/>
    <s v="Draw"/>
    <b v="0"/>
    <n v="0"/>
    <n v="0"/>
    <n v="1"/>
    <n v="0"/>
  </r>
  <r>
    <x v="96"/>
    <s v="Draw"/>
    <n v="1"/>
    <n v="3"/>
    <n v="2"/>
    <x v="60"/>
    <s v="3|19000102|46286"/>
    <n v="4"/>
    <n v="2026"/>
    <n v="9"/>
    <s v="Previous"/>
    <x v="97"/>
    <s v="Draw"/>
    <b v="0"/>
    <n v="0"/>
    <n v="0"/>
    <n v="1"/>
    <n v="0"/>
  </r>
  <r>
    <x v="46"/>
    <s v="Draw"/>
    <n v="2"/>
    <n v="3"/>
    <n v="2"/>
    <x v="60"/>
    <s v="3|19000102|46286"/>
    <n v="4"/>
    <n v="2026"/>
    <n v="9"/>
    <s v="Previous"/>
    <x v="96"/>
    <s v="Draw"/>
    <b v="0"/>
    <n v="0"/>
    <n v="0"/>
    <n v="1"/>
    <n v="0"/>
  </r>
  <r>
    <x v="46"/>
    <s v="Draw"/>
    <n v="2"/>
    <n v="3"/>
    <n v="2"/>
    <x v="60"/>
    <s v="3|19000102|46286"/>
    <n v="4"/>
    <n v="2026"/>
    <n v="9"/>
    <s v="Previous"/>
    <x v="4"/>
    <s v="Draw"/>
    <b v="0"/>
    <n v="0"/>
    <n v="0"/>
    <n v="1"/>
    <n v="0"/>
  </r>
  <r>
    <x v="46"/>
    <s v="Draw"/>
    <n v="2"/>
    <n v="3"/>
    <n v="2"/>
    <x v="60"/>
    <s v="3|19000102|46286"/>
    <n v="4"/>
    <n v="2026"/>
    <n v="9"/>
    <s v="Previous"/>
    <x v="97"/>
    <s v="Draw"/>
    <b v="0"/>
    <n v="0"/>
    <n v="0"/>
    <n v="1"/>
    <n v="0"/>
  </r>
  <r>
    <x v="4"/>
    <s v="Draw"/>
    <n v="3"/>
    <n v="3"/>
    <n v="2"/>
    <x v="60"/>
    <s v="3|19000102|46286"/>
    <n v="4"/>
    <n v="2026"/>
    <n v="9"/>
    <s v="Previous"/>
    <x v="96"/>
    <s v="Draw"/>
    <b v="0"/>
    <n v="0"/>
    <n v="0"/>
    <n v="1"/>
    <n v="0"/>
  </r>
  <r>
    <x v="4"/>
    <s v="Draw"/>
    <n v="3"/>
    <n v="3"/>
    <n v="2"/>
    <x v="60"/>
    <s v="3|19000102|46286"/>
    <n v="4"/>
    <n v="2026"/>
    <n v="9"/>
    <s v="Previous"/>
    <x v="46"/>
    <s v="Draw"/>
    <b v="0"/>
    <n v="0"/>
    <n v="0"/>
    <n v="1"/>
    <n v="0"/>
  </r>
  <r>
    <x v="4"/>
    <s v="Draw"/>
    <n v="3"/>
    <n v="3"/>
    <n v="2"/>
    <x v="60"/>
    <s v="3|19000102|46286"/>
    <n v="4"/>
    <n v="2026"/>
    <n v="9"/>
    <s v="Previous"/>
    <x v="97"/>
    <s v="Draw"/>
    <b v="0"/>
    <n v="0"/>
    <n v="0"/>
    <n v="1"/>
    <n v="0"/>
  </r>
  <r>
    <x v="97"/>
    <s v="Draw"/>
    <n v="4"/>
    <n v="3"/>
    <n v="2"/>
    <x v="60"/>
    <s v="3|19000102|46286"/>
    <n v="4"/>
    <n v="2026"/>
    <n v="9"/>
    <s v="Previous"/>
    <x v="96"/>
    <s v="Draw"/>
    <b v="0"/>
    <n v="0"/>
    <n v="0"/>
    <n v="1"/>
    <n v="0"/>
  </r>
  <r>
    <x v="97"/>
    <s v="Draw"/>
    <n v="4"/>
    <n v="3"/>
    <n v="2"/>
    <x v="60"/>
    <s v="3|19000102|46286"/>
    <n v="4"/>
    <n v="2026"/>
    <n v="9"/>
    <s v="Previous"/>
    <x v="46"/>
    <s v="Draw"/>
    <b v="0"/>
    <n v="0"/>
    <n v="0"/>
    <n v="1"/>
    <n v="0"/>
  </r>
  <r>
    <x v="97"/>
    <s v="Draw"/>
    <n v="4"/>
    <n v="3"/>
    <n v="2"/>
    <x v="60"/>
    <s v="3|19000102|46286"/>
    <n v="4"/>
    <n v="2026"/>
    <n v="9"/>
    <s v="Previous"/>
    <x v="4"/>
    <s v="Draw"/>
    <b v="0"/>
    <n v="0"/>
    <n v="0"/>
    <n v="1"/>
    <n v="0"/>
  </r>
  <r>
    <x v="67"/>
    <s v="Win"/>
    <n v="1"/>
    <n v="4"/>
    <n v="2"/>
    <x v="60"/>
    <s v="4|19000102|46286"/>
    <n v="4"/>
    <n v="2026"/>
    <n v="9"/>
    <s v="Previous"/>
    <x v="14"/>
    <s v="Loss"/>
    <b v="0"/>
    <n v="1"/>
    <n v="0"/>
    <n v="0"/>
    <n v="0"/>
  </r>
  <r>
    <x v="67"/>
    <s v="Win"/>
    <n v="1"/>
    <n v="4"/>
    <n v="2"/>
    <x v="60"/>
    <s v="4|19000102|46286"/>
    <n v="4"/>
    <n v="2026"/>
    <n v="9"/>
    <s v="Previous"/>
    <x v="84"/>
    <s v="Loss"/>
    <b v="0"/>
    <n v="1"/>
    <n v="0"/>
    <n v="0"/>
    <n v="0"/>
  </r>
  <r>
    <x v="67"/>
    <s v="Win"/>
    <n v="1"/>
    <n v="4"/>
    <n v="2"/>
    <x v="60"/>
    <s v="4|19000102|46286"/>
    <n v="4"/>
    <n v="2026"/>
    <n v="9"/>
    <s v="Previous"/>
    <x v="92"/>
    <s v="Loss"/>
    <b v="0"/>
    <n v="1"/>
    <n v="0"/>
    <n v="0"/>
    <n v="0"/>
  </r>
  <r>
    <x v="14"/>
    <s v="Loss"/>
    <n v="2"/>
    <n v="4"/>
    <n v="2"/>
    <x v="60"/>
    <s v="4|19000102|46286"/>
    <n v="4"/>
    <n v="2026"/>
    <n v="9"/>
    <s v="Previous"/>
    <x v="66"/>
    <s v="Win"/>
    <b v="0"/>
    <n v="0"/>
    <n v="1"/>
    <n v="0"/>
    <n v="1"/>
  </r>
  <r>
    <x v="14"/>
    <s v="Loss"/>
    <n v="2"/>
    <n v="4"/>
    <n v="2"/>
    <x v="60"/>
    <s v="4|19000102|46286"/>
    <n v="4"/>
    <n v="2026"/>
    <n v="9"/>
    <s v="Previous"/>
    <x v="84"/>
    <s v="Loss"/>
    <b v="0"/>
    <n v="0"/>
    <n v="1"/>
    <n v="0"/>
    <n v="0"/>
  </r>
  <r>
    <x v="14"/>
    <s v="Loss"/>
    <n v="2"/>
    <n v="4"/>
    <n v="2"/>
    <x v="60"/>
    <s v="4|19000102|46286"/>
    <n v="4"/>
    <n v="2026"/>
    <n v="9"/>
    <s v="Previous"/>
    <x v="92"/>
    <s v="Loss"/>
    <b v="0"/>
    <n v="0"/>
    <n v="1"/>
    <n v="0"/>
    <n v="0"/>
  </r>
  <r>
    <x v="84"/>
    <s v="Loss"/>
    <n v="3"/>
    <n v="4"/>
    <n v="2"/>
    <x v="60"/>
    <s v="4|19000102|46286"/>
    <n v="4"/>
    <n v="2026"/>
    <n v="9"/>
    <s v="Previous"/>
    <x v="66"/>
    <s v="Win"/>
    <b v="0"/>
    <n v="0"/>
    <n v="1"/>
    <n v="0"/>
    <n v="1"/>
  </r>
  <r>
    <x v="84"/>
    <s v="Loss"/>
    <n v="3"/>
    <n v="4"/>
    <n v="2"/>
    <x v="60"/>
    <s v="4|19000102|46286"/>
    <n v="4"/>
    <n v="2026"/>
    <n v="9"/>
    <s v="Previous"/>
    <x v="14"/>
    <s v="Loss"/>
    <b v="0"/>
    <n v="0"/>
    <n v="1"/>
    <n v="0"/>
    <n v="0"/>
  </r>
  <r>
    <x v="84"/>
    <s v="Loss"/>
    <n v="3"/>
    <n v="4"/>
    <n v="2"/>
    <x v="60"/>
    <s v="4|19000102|46286"/>
    <n v="4"/>
    <n v="2026"/>
    <n v="9"/>
    <s v="Previous"/>
    <x v="92"/>
    <s v="Loss"/>
    <b v="0"/>
    <n v="0"/>
    <n v="1"/>
    <n v="0"/>
    <n v="0"/>
  </r>
  <r>
    <x v="92"/>
    <s v="Loss"/>
    <n v="4"/>
    <n v="4"/>
    <n v="2"/>
    <x v="60"/>
    <s v="4|19000102|46286"/>
    <n v="4"/>
    <n v="2026"/>
    <n v="9"/>
    <s v="Previous"/>
    <x v="66"/>
    <s v="Win"/>
    <b v="0"/>
    <n v="0"/>
    <n v="1"/>
    <n v="0"/>
    <n v="1"/>
  </r>
  <r>
    <x v="92"/>
    <s v="Loss"/>
    <n v="4"/>
    <n v="4"/>
    <n v="2"/>
    <x v="60"/>
    <s v="4|19000102|46286"/>
    <n v="4"/>
    <n v="2026"/>
    <n v="9"/>
    <s v="Previous"/>
    <x v="14"/>
    <s v="Loss"/>
    <b v="0"/>
    <n v="0"/>
    <n v="1"/>
    <n v="0"/>
    <n v="0"/>
  </r>
  <r>
    <x v="92"/>
    <s v="Loss"/>
    <n v="4"/>
    <n v="4"/>
    <n v="2"/>
    <x v="60"/>
    <s v="4|19000102|46286"/>
    <n v="4"/>
    <n v="2026"/>
    <n v="9"/>
    <s v="Previous"/>
    <x v="84"/>
    <s v="Loss"/>
    <b v="0"/>
    <n v="0"/>
    <n v="1"/>
    <n v="0"/>
    <n v="0"/>
  </r>
  <r>
    <x v="10"/>
    <s v="Win"/>
    <n v="1"/>
    <n v="5"/>
    <n v="2"/>
    <x v="60"/>
    <s v="5|19000102|46286"/>
    <n v="4"/>
    <n v="2026"/>
    <n v="9"/>
    <s v="Previous"/>
    <x v="18"/>
    <s v="Loss"/>
    <b v="0"/>
    <n v="1"/>
    <n v="0"/>
    <n v="0"/>
    <n v="0"/>
  </r>
  <r>
    <x v="10"/>
    <s v="Win"/>
    <n v="1"/>
    <n v="5"/>
    <n v="2"/>
    <x v="60"/>
    <s v="5|19000102|46286"/>
    <n v="4"/>
    <n v="2026"/>
    <n v="9"/>
    <s v="Previous"/>
    <x v="5"/>
    <s v="Loss"/>
    <b v="0"/>
    <n v="1"/>
    <n v="0"/>
    <n v="0"/>
    <n v="0"/>
  </r>
  <r>
    <x v="10"/>
    <s v="Win"/>
    <n v="1"/>
    <n v="5"/>
    <n v="2"/>
    <x v="60"/>
    <s v="5|19000102|46286"/>
    <n v="4"/>
    <n v="2026"/>
    <n v="9"/>
    <s v="Previous"/>
    <x v="79"/>
    <s v="Loss"/>
    <b v="0"/>
    <n v="1"/>
    <n v="0"/>
    <n v="0"/>
    <n v="0"/>
  </r>
  <r>
    <x v="18"/>
    <s v="Loss"/>
    <n v="2"/>
    <n v="5"/>
    <n v="2"/>
    <x v="60"/>
    <s v="5|19000102|46286"/>
    <n v="4"/>
    <n v="2026"/>
    <n v="9"/>
    <s v="Previous"/>
    <x v="10"/>
    <s v="Win"/>
    <b v="0"/>
    <n v="0"/>
    <n v="1"/>
    <n v="0"/>
    <n v="1"/>
  </r>
  <r>
    <x v="18"/>
    <s v="Loss"/>
    <n v="2"/>
    <n v="5"/>
    <n v="2"/>
    <x v="60"/>
    <s v="5|19000102|46286"/>
    <n v="4"/>
    <n v="2026"/>
    <n v="9"/>
    <s v="Previous"/>
    <x v="5"/>
    <s v="Loss"/>
    <b v="0"/>
    <n v="0"/>
    <n v="1"/>
    <n v="0"/>
    <n v="0"/>
  </r>
  <r>
    <x v="18"/>
    <s v="Loss"/>
    <n v="2"/>
    <n v="5"/>
    <n v="2"/>
    <x v="60"/>
    <s v="5|19000102|46286"/>
    <n v="4"/>
    <n v="2026"/>
    <n v="9"/>
    <s v="Previous"/>
    <x v="79"/>
    <s v="Loss"/>
    <b v="0"/>
    <n v="0"/>
    <n v="1"/>
    <n v="0"/>
    <n v="0"/>
  </r>
  <r>
    <x v="5"/>
    <s v="Loss"/>
    <n v="3"/>
    <n v="5"/>
    <n v="2"/>
    <x v="60"/>
    <s v="5|19000102|46286"/>
    <n v="4"/>
    <n v="2026"/>
    <n v="9"/>
    <s v="Previous"/>
    <x v="10"/>
    <s v="Win"/>
    <b v="0"/>
    <n v="0"/>
    <n v="1"/>
    <n v="0"/>
    <n v="1"/>
  </r>
  <r>
    <x v="5"/>
    <s v="Loss"/>
    <n v="3"/>
    <n v="5"/>
    <n v="2"/>
    <x v="60"/>
    <s v="5|19000102|46286"/>
    <n v="4"/>
    <n v="2026"/>
    <n v="9"/>
    <s v="Previous"/>
    <x v="18"/>
    <s v="Loss"/>
    <b v="0"/>
    <n v="0"/>
    <n v="1"/>
    <n v="0"/>
    <n v="0"/>
  </r>
  <r>
    <x v="5"/>
    <s v="Loss"/>
    <n v="3"/>
    <n v="5"/>
    <n v="2"/>
    <x v="60"/>
    <s v="5|19000102|46286"/>
    <n v="4"/>
    <n v="2026"/>
    <n v="9"/>
    <s v="Previous"/>
    <x v="79"/>
    <s v="Loss"/>
    <b v="0"/>
    <n v="0"/>
    <n v="1"/>
    <n v="0"/>
    <n v="0"/>
  </r>
  <r>
    <x v="79"/>
    <s v="Loss"/>
    <n v="4"/>
    <n v="5"/>
    <n v="2"/>
    <x v="60"/>
    <s v="5|19000102|46286"/>
    <n v="4"/>
    <n v="2026"/>
    <n v="9"/>
    <s v="Previous"/>
    <x v="10"/>
    <s v="Win"/>
    <b v="0"/>
    <n v="0"/>
    <n v="1"/>
    <n v="0"/>
    <n v="1"/>
  </r>
  <r>
    <x v="79"/>
    <s v="Loss"/>
    <n v="4"/>
    <n v="5"/>
    <n v="2"/>
    <x v="60"/>
    <s v="5|19000102|46286"/>
    <n v="4"/>
    <n v="2026"/>
    <n v="9"/>
    <s v="Previous"/>
    <x v="18"/>
    <s v="Loss"/>
    <b v="0"/>
    <n v="0"/>
    <n v="1"/>
    <n v="0"/>
    <n v="0"/>
  </r>
  <r>
    <x v="79"/>
    <s v="Loss"/>
    <n v="4"/>
    <n v="5"/>
    <n v="2"/>
    <x v="60"/>
    <s v="5|19000102|46286"/>
    <n v="4"/>
    <n v="2026"/>
    <n v="9"/>
    <s v="Previous"/>
    <x v="5"/>
    <s v="Loss"/>
    <b v="0"/>
    <n v="0"/>
    <n v="1"/>
    <n v="0"/>
    <n v="0"/>
  </r>
  <r>
    <x v="11"/>
    <s v="Loss"/>
    <n v="1"/>
    <n v="6"/>
    <n v="2"/>
    <x v="60"/>
    <s v="6|19000102|46286"/>
    <n v="3"/>
    <n v="2026"/>
    <n v="9"/>
    <s v="Previous"/>
    <x v="13"/>
    <s v="Win"/>
    <b v="0"/>
    <n v="0"/>
    <n v="1"/>
    <n v="0"/>
    <n v="1"/>
  </r>
  <r>
    <x v="11"/>
    <s v="Loss"/>
    <n v="1"/>
    <n v="6"/>
    <n v="2"/>
    <x v="60"/>
    <s v="6|19000102|46286"/>
    <n v="3"/>
    <n v="2026"/>
    <n v="9"/>
    <s v="Previous"/>
    <x v="90"/>
    <s v="Loss"/>
    <b v="0"/>
    <n v="0"/>
    <n v="1"/>
    <n v="0"/>
    <n v="0"/>
  </r>
  <r>
    <x v="13"/>
    <s v="Win"/>
    <n v="2"/>
    <n v="6"/>
    <n v="2"/>
    <x v="60"/>
    <s v="6|19000102|46286"/>
    <n v="3"/>
    <n v="2026"/>
    <n v="9"/>
    <s v="Previous"/>
    <x v="11"/>
    <s v="Loss"/>
    <b v="0"/>
    <n v="1"/>
    <n v="0"/>
    <n v="0"/>
    <n v="0"/>
  </r>
  <r>
    <x v="13"/>
    <s v="Win"/>
    <n v="2"/>
    <n v="6"/>
    <n v="2"/>
    <x v="60"/>
    <s v="6|19000102|46286"/>
    <n v="3"/>
    <n v="2026"/>
    <n v="9"/>
    <s v="Previous"/>
    <x v="90"/>
    <s v="Loss"/>
    <b v="0"/>
    <n v="1"/>
    <n v="0"/>
    <n v="0"/>
    <n v="0"/>
  </r>
  <r>
    <x v="90"/>
    <s v="Loss"/>
    <n v="3"/>
    <n v="6"/>
    <n v="2"/>
    <x v="60"/>
    <s v="6|19000102|46286"/>
    <n v="3"/>
    <n v="2026"/>
    <n v="9"/>
    <s v="Previous"/>
    <x v="11"/>
    <s v="Loss"/>
    <b v="0"/>
    <n v="0"/>
    <n v="1"/>
    <n v="0"/>
    <n v="0"/>
  </r>
  <r>
    <x v="90"/>
    <s v="Loss"/>
    <n v="3"/>
    <n v="6"/>
    <n v="2"/>
    <x v="60"/>
    <s v="6|19000102|46286"/>
    <n v="3"/>
    <n v="2026"/>
    <n v="9"/>
    <s v="Previous"/>
    <x v="13"/>
    <s v="Win"/>
    <b v="0"/>
    <n v="0"/>
    <n v="1"/>
    <n v="0"/>
    <n v="1"/>
  </r>
  <r>
    <x v="32"/>
    <s v="Draw"/>
    <n v="1"/>
    <n v="1"/>
    <n v="1"/>
    <x v="61"/>
    <s v="1|19000101|46293"/>
    <n v="4"/>
    <n v="2026"/>
    <n v="9"/>
    <s v="Current"/>
    <x v="1"/>
    <s v="Draw"/>
    <b v="0"/>
    <n v="0"/>
    <n v="0"/>
    <n v="1"/>
    <n v="0"/>
  </r>
  <r>
    <x v="32"/>
    <s v="Draw"/>
    <n v="1"/>
    <n v="1"/>
    <n v="1"/>
    <x v="61"/>
    <s v="1|19000101|46293"/>
    <n v="4"/>
    <n v="2026"/>
    <n v="9"/>
    <s v="Current"/>
    <x v="34"/>
    <s v="Draw"/>
    <b v="0"/>
    <n v="0"/>
    <n v="0"/>
    <n v="1"/>
    <n v="0"/>
  </r>
  <r>
    <x v="32"/>
    <s v="Draw"/>
    <n v="1"/>
    <n v="1"/>
    <n v="1"/>
    <x v="61"/>
    <s v="1|19000101|46293"/>
    <n v="4"/>
    <n v="2026"/>
    <n v="9"/>
    <s v="Current"/>
    <x v="2"/>
    <s v="Draw"/>
    <b v="0"/>
    <n v="0"/>
    <n v="0"/>
    <n v="1"/>
    <n v="0"/>
  </r>
  <r>
    <x v="2"/>
    <s v="Draw"/>
    <n v="2"/>
    <n v="1"/>
    <n v="1"/>
    <x v="61"/>
    <s v="1|19000101|46293"/>
    <n v="4"/>
    <n v="2026"/>
    <n v="9"/>
    <s v="Current"/>
    <x v="32"/>
    <s v="Draw"/>
    <b v="0"/>
    <n v="0"/>
    <n v="0"/>
    <n v="1"/>
    <n v="0"/>
  </r>
  <r>
    <x v="2"/>
    <s v="Draw"/>
    <n v="2"/>
    <n v="1"/>
    <n v="1"/>
    <x v="61"/>
    <s v="1|19000101|46293"/>
    <n v="4"/>
    <n v="2026"/>
    <n v="9"/>
    <s v="Current"/>
    <x v="34"/>
    <s v="Draw"/>
    <b v="0"/>
    <n v="0"/>
    <n v="0"/>
    <n v="1"/>
    <n v="0"/>
  </r>
  <r>
    <x v="2"/>
    <s v="Draw"/>
    <n v="2"/>
    <n v="1"/>
    <n v="1"/>
    <x v="61"/>
    <s v="1|19000101|46293"/>
    <n v="4"/>
    <n v="2026"/>
    <n v="9"/>
    <s v="Current"/>
    <x v="2"/>
    <s v="Draw"/>
    <b v="0"/>
    <n v="0"/>
    <n v="0"/>
    <n v="1"/>
    <n v="0"/>
  </r>
  <r>
    <x v="34"/>
    <s v="Draw"/>
    <n v="3"/>
    <n v="1"/>
    <n v="1"/>
    <x v="61"/>
    <s v="1|19000101|46293"/>
    <n v="4"/>
    <n v="2026"/>
    <n v="9"/>
    <s v="Current"/>
    <x v="32"/>
    <s v="Draw"/>
    <b v="0"/>
    <n v="0"/>
    <n v="0"/>
    <n v="1"/>
    <n v="0"/>
  </r>
  <r>
    <x v="34"/>
    <s v="Draw"/>
    <n v="3"/>
    <n v="1"/>
    <n v="1"/>
    <x v="61"/>
    <s v="1|19000101|46293"/>
    <n v="4"/>
    <n v="2026"/>
    <n v="9"/>
    <s v="Current"/>
    <x v="1"/>
    <s v="Draw"/>
    <b v="0"/>
    <n v="0"/>
    <n v="0"/>
    <n v="1"/>
    <n v="0"/>
  </r>
  <r>
    <x v="34"/>
    <s v="Draw"/>
    <n v="3"/>
    <n v="1"/>
    <n v="1"/>
    <x v="61"/>
    <s v="1|19000101|46293"/>
    <n v="4"/>
    <n v="2026"/>
    <n v="9"/>
    <s v="Current"/>
    <x v="2"/>
    <s v="Draw"/>
    <b v="0"/>
    <n v="0"/>
    <n v="0"/>
    <n v="1"/>
    <n v="0"/>
  </r>
  <r>
    <x v="3"/>
    <s v="Draw"/>
    <n v="4"/>
    <n v="1"/>
    <n v="1"/>
    <x v="61"/>
    <s v="1|19000101|46293"/>
    <n v="4"/>
    <n v="2026"/>
    <n v="9"/>
    <s v="Current"/>
    <x v="32"/>
    <s v="Draw"/>
    <b v="0"/>
    <n v="0"/>
    <n v="0"/>
    <n v="1"/>
    <n v="0"/>
  </r>
  <r>
    <x v="3"/>
    <s v="Draw"/>
    <n v="4"/>
    <n v="1"/>
    <n v="1"/>
    <x v="61"/>
    <s v="1|19000101|46293"/>
    <n v="4"/>
    <n v="2026"/>
    <n v="9"/>
    <s v="Current"/>
    <x v="1"/>
    <s v="Draw"/>
    <b v="0"/>
    <n v="0"/>
    <n v="0"/>
    <n v="1"/>
    <n v="0"/>
  </r>
  <r>
    <x v="3"/>
    <s v="Draw"/>
    <n v="4"/>
    <n v="1"/>
    <n v="1"/>
    <x v="61"/>
    <s v="1|19000101|46293"/>
    <n v="4"/>
    <n v="2026"/>
    <n v="9"/>
    <s v="Current"/>
    <x v="34"/>
    <s v="Draw"/>
    <b v="0"/>
    <n v="0"/>
    <n v="0"/>
    <n v="1"/>
    <n v="0"/>
  </r>
  <r>
    <x v="5"/>
    <s v="Win"/>
    <n v="1"/>
    <n v="2"/>
    <n v="1"/>
    <x v="61"/>
    <s v="2|19000101|46293"/>
    <n v="4"/>
    <n v="2026"/>
    <n v="9"/>
    <s v="Current"/>
    <x v="13"/>
    <s v="Loss"/>
    <b v="0"/>
    <n v="1"/>
    <n v="0"/>
    <n v="0"/>
    <n v="0"/>
  </r>
  <r>
    <x v="5"/>
    <s v="Win"/>
    <n v="1"/>
    <n v="2"/>
    <n v="1"/>
    <x v="61"/>
    <s v="2|19000101|46293"/>
    <n v="4"/>
    <n v="2026"/>
    <n v="9"/>
    <s v="Current"/>
    <x v="97"/>
    <s v="Loss"/>
    <b v="0"/>
    <n v="1"/>
    <n v="0"/>
    <n v="0"/>
    <n v="0"/>
  </r>
  <r>
    <x v="5"/>
    <s v="Win"/>
    <n v="1"/>
    <n v="2"/>
    <n v="1"/>
    <x v="61"/>
    <s v="2|19000101|46293"/>
    <n v="4"/>
    <n v="2026"/>
    <n v="9"/>
    <s v="Current"/>
    <x v="21"/>
    <s v="Loss"/>
    <b v="0"/>
    <n v="1"/>
    <n v="0"/>
    <n v="0"/>
    <n v="0"/>
  </r>
  <r>
    <x v="13"/>
    <s v="Loss"/>
    <n v="2"/>
    <n v="2"/>
    <n v="1"/>
    <x v="61"/>
    <s v="2|19000101|46293"/>
    <n v="4"/>
    <n v="2026"/>
    <n v="9"/>
    <s v="Current"/>
    <x v="5"/>
    <s v="Win"/>
    <b v="0"/>
    <n v="0"/>
    <n v="1"/>
    <n v="0"/>
    <n v="1"/>
  </r>
  <r>
    <x v="13"/>
    <s v="Loss"/>
    <n v="2"/>
    <n v="2"/>
    <n v="1"/>
    <x v="61"/>
    <s v="2|19000101|46293"/>
    <n v="4"/>
    <n v="2026"/>
    <n v="9"/>
    <s v="Current"/>
    <x v="97"/>
    <s v="Loss"/>
    <b v="0"/>
    <n v="0"/>
    <n v="1"/>
    <n v="0"/>
    <n v="0"/>
  </r>
  <r>
    <x v="13"/>
    <s v="Loss"/>
    <n v="2"/>
    <n v="2"/>
    <n v="1"/>
    <x v="61"/>
    <s v="2|19000101|46293"/>
    <n v="4"/>
    <n v="2026"/>
    <n v="9"/>
    <s v="Current"/>
    <x v="21"/>
    <s v="Loss"/>
    <b v="0"/>
    <n v="0"/>
    <n v="1"/>
    <n v="0"/>
    <n v="0"/>
  </r>
  <r>
    <x v="97"/>
    <s v="Loss"/>
    <n v="3"/>
    <n v="2"/>
    <n v="1"/>
    <x v="61"/>
    <s v="2|19000101|46293"/>
    <n v="4"/>
    <n v="2026"/>
    <n v="9"/>
    <s v="Current"/>
    <x v="5"/>
    <s v="Win"/>
    <b v="0"/>
    <n v="0"/>
    <n v="1"/>
    <n v="0"/>
    <n v="1"/>
  </r>
  <r>
    <x v="97"/>
    <s v="Loss"/>
    <n v="3"/>
    <n v="2"/>
    <n v="1"/>
    <x v="61"/>
    <s v="2|19000101|46293"/>
    <n v="4"/>
    <n v="2026"/>
    <n v="9"/>
    <s v="Current"/>
    <x v="13"/>
    <s v="Loss"/>
    <b v="0"/>
    <n v="0"/>
    <n v="1"/>
    <n v="0"/>
    <n v="0"/>
  </r>
  <r>
    <x v="97"/>
    <s v="Loss"/>
    <n v="3"/>
    <n v="2"/>
    <n v="1"/>
    <x v="61"/>
    <s v="2|19000101|46293"/>
    <n v="4"/>
    <n v="2026"/>
    <n v="9"/>
    <s v="Current"/>
    <x v="21"/>
    <s v="Loss"/>
    <b v="0"/>
    <n v="0"/>
    <n v="1"/>
    <n v="0"/>
    <n v="0"/>
  </r>
  <r>
    <x v="21"/>
    <s v="Loss"/>
    <n v="4"/>
    <n v="2"/>
    <n v="1"/>
    <x v="61"/>
    <s v="2|19000101|46293"/>
    <n v="4"/>
    <n v="2026"/>
    <n v="9"/>
    <s v="Current"/>
    <x v="5"/>
    <s v="Win"/>
    <b v="0"/>
    <n v="0"/>
    <n v="1"/>
    <n v="0"/>
    <n v="1"/>
  </r>
  <r>
    <x v="21"/>
    <s v="Loss"/>
    <n v="4"/>
    <n v="2"/>
    <n v="1"/>
    <x v="61"/>
    <s v="2|19000101|46293"/>
    <n v="4"/>
    <n v="2026"/>
    <n v="9"/>
    <s v="Current"/>
    <x v="13"/>
    <s v="Loss"/>
    <b v="0"/>
    <n v="0"/>
    <n v="1"/>
    <n v="0"/>
    <n v="0"/>
  </r>
  <r>
    <x v="21"/>
    <s v="Loss"/>
    <n v="4"/>
    <n v="2"/>
    <n v="1"/>
    <x v="61"/>
    <s v="2|19000101|46293"/>
    <n v="4"/>
    <n v="2026"/>
    <n v="9"/>
    <s v="Current"/>
    <x v="97"/>
    <s v="Loss"/>
    <b v="0"/>
    <n v="0"/>
    <n v="1"/>
    <n v="0"/>
    <n v="0"/>
  </r>
  <r>
    <x v="14"/>
    <s v="Draw"/>
    <n v="1"/>
    <n v="3"/>
    <n v="1"/>
    <x v="61"/>
    <s v="3|19000101|46293"/>
    <n v="4"/>
    <n v="2026"/>
    <n v="9"/>
    <s v="Current"/>
    <x v="0"/>
    <s v="Draw"/>
    <b v="0"/>
    <n v="0"/>
    <n v="0"/>
    <n v="1"/>
    <n v="0"/>
  </r>
  <r>
    <x v="14"/>
    <s v="Draw"/>
    <n v="1"/>
    <n v="3"/>
    <n v="1"/>
    <x v="61"/>
    <s v="3|19000101|46293"/>
    <n v="4"/>
    <n v="2026"/>
    <n v="9"/>
    <s v="Current"/>
    <x v="70"/>
    <s v="Draw"/>
    <b v="0"/>
    <n v="0"/>
    <n v="0"/>
    <n v="1"/>
    <n v="0"/>
  </r>
  <r>
    <x v="14"/>
    <s v="Draw"/>
    <n v="1"/>
    <n v="3"/>
    <n v="1"/>
    <x v="61"/>
    <s v="3|19000101|46293"/>
    <n v="4"/>
    <n v="2026"/>
    <n v="9"/>
    <s v="Current"/>
    <x v="4"/>
    <s v="Draw"/>
    <b v="0"/>
    <n v="0"/>
    <n v="0"/>
    <n v="1"/>
    <n v="0"/>
  </r>
  <r>
    <x v="1"/>
    <s v="Draw"/>
    <n v="2"/>
    <n v="3"/>
    <n v="1"/>
    <x v="61"/>
    <s v="3|19000101|46293"/>
    <n v="4"/>
    <n v="2026"/>
    <n v="9"/>
    <s v="Current"/>
    <x v="14"/>
    <s v="Draw"/>
    <b v="0"/>
    <n v="0"/>
    <n v="0"/>
    <n v="1"/>
    <n v="0"/>
  </r>
  <r>
    <x v="1"/>
    <s v="Draw"/>
    <n v="2"/>
    <n v="3"/>
    <n v="1"/>
    <x v="61"/>
    <s v="3|19000101|46293"/>
    <n v="4"/>
    <n v="2026"/>
    <n v="9"/>
    <s v="Current"/>
    <x v="70"/>
    <s v="Draw"/>
    <b v="0"/>
    <n v="0"/>
    <n v="0"/>
    <n v="1"/>
    <n v="0"/>
  </r>
  <r>
    <x v="1"/>
    <s v="Draw"/>
    <n v="2"/>
    <n v="3"/>
    <n v="1"/>
    <x v="61"/>
    <s v="3|19000101|46293"/>
    <n v="4"/>
    <n v="2026"/>
    <n v="9"/>
    <s v="Current"/>
    <x v="4"/>
    <s v="Draw"/>
    <b v="0"/>
    <n v="0"/>
    <n v="0"/>
    <n v="1"/>
    <n v="0"/>
  </r>
  <r>
    <x v="70"/>
    <s v="Draw"/>
    <n v="3"/>
    <n v="3"/>
    <n v="1"/>
    <x v="61"/>
    <s v="3|19000101|46293"/>
    <n v="4"/>
    <n v="2026"/>
    <n v="9"/>
    <s v="Current"/>
    <x v="14"/>
    <s v="Draw"/>
    <b v="0"/>
    <n v="0"/>
    <n v="0"/>
    <n v="1"/>
    <n v="0"/>
  </r>
  <r>
    <x v="70"/>
    <s v="Draw"/>
    <n v="3"/>
    <n v="3"/>
    <n v="1"/>
    <x v="61"/>
    <s v="3|19000101|46293"/>
    <n v="4"/>
    <n v="2026"/>
    <n v="9"/>
    <s v="Current"/>
    <x v="0"/>
    <s v="Draw"/>
    <b v="0"/>
    <n v="0"/>
    <n v="0"/>
    <n v="1"/>
    <n v="0"/>
  </r>
  <r>
    <x v="70"/>
    <s v="Draw"/>
    <n v="3"/>
    <n v="3"/>
    <n v="1"/>
    <x v="61"/>
    <s v="3|19000101|46293"/>
    <n v="4"/>
    <n v="2026"/>
    <n v="9"/>
    <s v="Current"/>
    <x v="4"/>
    <s v="Draw"/>
    <b v="0"/>
    <n v="0"/>
    <n v="0"/>
    <n v="1"/>
    <n v="0"/>
  </r>
  <r>
    <x v="4"/>
    <s v="Draw"/>
    <n v="4"/>
    <n v="3"/>
    <n v="1"/>
    <x v="61"/>
    <s v="3|19000101|46293"/>
    <n v="4"/>
    <n v="2026"/>
    <n v="9"/>
    <s v="Current"/>
    <x v="14"/>
    <s v="Draw"/>
    <b v="0"/>
    <n v="0"/>
    <n v="0"/>
    <n v="1"/>
    <n v="0"/>
  </r>
  <r>
    <x v="4"/>
    <s v="Draw"/>
    <n v="4"/>
    <n v="3"/>
    <n v="1"/>
    <x v="61"/>
    <s v="3|19000101|46293"/>
    <n v="4"/>
    <n v="2026"/>
    <n v="9"/>
    <s v="Current"/>
    <x v="0"/>
    <s v="Draw"/>
    <b v="0"/>
    <n v="0"/>
    <n v="0"/>
    <n v="1"/>
    <n v="0"/>
  </r>
  <r>
    <x v="4"/>
    <s v="Draw"/>
    <n v="4"/>
    <n v="3"/>
    <n v="1"/>
    <x v="61"/>
    <s v="3|19000101|46293"/>
    <n v="4"/>
    <n v="2026"/>
    <n v="9"/>
    <s v="Current"/>
    <x v="70"/>
    <s v="Draw"/>
    <b v="0"/>
    <n v="0"/>
    <n v="0"/>
    <n v="1"/>
    <n v="0"/>
  </r>
  <r>
    <x v="44"/>
    <s v="Win"/>
    <n v="1"/>
    <n v="4"/>
    <n v="1"/>
    <x v="61"/>
    <s v="4|19000101|46293"/>
    <n v="3"/>
    <n v="2026"/>
    <n v="9"/>
    <s v="Current"/>
    <x v="17"/>
    <s v="Loss"/>
    <b v="0"/>
    <n v="1"/>
    <n v="0"/>
    <n v="0"/>
    <n v="0"/>
  </r>
  <r>
    <x v="44"/>
    <s v="Win"/>
    <n v="1"/>
    <n v="4"/>
    <n v="1"/>
    <x v="61"/>
    <s v="4|19000101|46293"/>
    <n v="3"/>
    <n v="2026"/>
    <n v="9"/>
    <s v="Current"/>
    <x v="96"/>
    <s v="Loss"/>
    <b v="0"/>
    <n v="1"/>
    <n v="0"/>
    <n v="0"/>
    <n v="0"/>
  </r>
  <r>
    <x v="17"/>
    <s v="Loss"/>
    <n v="2"/>
    <n v="4"/>
    <n v="1"/>
    <x v="61"/>
    <s v="4|19000101|46293"/>
    <n v="3"/>
    <n v="2026"/>
    <n v="9"/>
    <s v="Current"/>
    <x v="44"/>
    <s v="Win"/>
    <b v="0"/>
    <n v="0"/>
    <n v="1"/>
    <n v="0"/>
    <n v="1"/>
  </r>
  <r>
    <x v="17"/>
    <s v="Loss"/>
    <n v="2"/>
    <n v="4"/>
    <n v="1"/>
    <x v="61"/>
    <s v="4|19000101|46293"/>
    <n v="3"/>
    <n v="2026"/>
    <n v="9"/>
    <s v="Current"/>
    <x v="96"/>
    <s v="Loss"/>
    <b v="0"/>
    <n v="0"/>
    <n v="1"/>
    <n v="0"/>
    <n v="0"/>
  </r>
  <r>
    <x v="96"/>
    <s v="Loss"/>
    <n v="3"/>
    <n v="4"/>
    <n v="1"/>
    <x v="61"/>
    <s v="4|19000101|46293"/>
    <n v="3"/>
    <n v="2026"/>
    <n v="9"/>
    <s v="Current"/>
    <x v="44"/>
    <s v="Win"/>
    <b v="0"/>
    <n v="0"/>
    <n v="1"/>
    <n v="0"/>
    <n v="1"/>
  </r>
  <r>
    <x v="96"/>
    <s v="Loss"/>
    <n v="3"/>
    <n v="4"/>
    <n v="1"/>
    <x v="61"/>
    <s v="4|19000101|46293"/>
    <n v="3"/>
    <n v="2026"/>
    <n v="9"/>
    <s v="Current"/>
    <x v="17"/>
    <s v="Loss"/>
    <b v="0"/>
    <n v="0"/>
    <n v="1"/>
    <n v="0"/>
    <n v="0"/>
  </r>
  <r>
    <x v="4"/>
    <s v="Win"/>
    <n v="1"/>
    <n v="1"/>
    <n v="2"/>
    <x v="61"/>
    <s v="1|19000102|46293"/>
    <n v="4"/>
    <n v="2026"/>
    <n v="9"/>
    <s v="Current"/>
    <x v="5"/>
    <s v="Loss"/>
    <b v="0"/>
    <n v="1"/>
    <n v="0"/>
    <n v="0"/>
    <n v="0"/>
  </r>
  <r>
    <x v="4"/>
    <s v="Win"/>
    <n v="1"/>
    <n v="1"/>
    <n v="2"/>
    <x v="61"/>
    <s v="1|19000102|46293"/>
    <n v="4"/>
    <n v="2026"/>
    <n v="9"/>
    <s v="Current"/>
    <x v="44"/>
    <s v="Loss"/>
    <b v="0"/>
    <n v="1"/>
    <n v="0"/>
    <n v="0"/>
    <n v="0"/>
  </r>
  <r>
    <x v="4"/>
    <s v="Win"/>
    <n v="1"/>
    <n v="1"/>
    <n v="2"/>
    <x v="61"/>
    <s v="1|19000102|46293"/>
    <n v="4"/>
    <n v="2026"/>
    <n v="9"/>
    <s v="Current"/>
    <x v="32"/>
    <s v="Loss"/>
    <b v="0"/>
    <n v="1"/>
    <n v="0"/>
    <n v="0"/>
    <n v="0"/>
  </r>
  <r>
    <x v="5"/>
    <s v="Loss"/>
    <n v="2"/>
    <n v="1"/>
    <n v="2"/>
    <x v="61"/>
    <s v="1|19000102|46293"/>
    <n v="4"/>
    <n v="2026"/>
    <n v="9"/>
    <s v="Current"/>
    <x v="4"/>
    <s v="Win"/>
    <b v="0"/>
    <n v="0"/>
    <n v="1"/>
    <n v="0"/>
    <n v="1"/>
  </r>
  <r>
    <x v="5"/>
    <s v="Loss"/>
    <n v="2"/>
    <n v="1"/>
    <n v="2"/>
    <x v="61"/>
    <s v="1|19000102|46293"/>
    <n v="4"/>
    <n v="2026"/>
    <n v="9"/>
    <s v="Current"/>
    <x v="44"/>
    <s v="Loss"/>
    <b v="0"/>
    <n v="0"/>
    <n v="1"/>
    <n v="0"/>
    <n v="0"/>
  </r>
  <r>
    <x v="5"/>
    <s v="Loss"/>
    <n v="2"/>
    <n v="1"/>
    <n v="2"/>
    <x v="61"/>
    <s v="1|19000102|46293"/>
    <n v="4"/>
    <n v="2026"/>
    <n v="9"/>
    <s v="Current"/>
    <x v="32"/>
    <s v="Loss"/>
    <b v="0"/>
    <n v="0"/>
    <n v="1"/>
    <n v="0"/>
    <n v="0"/>
  </r>
  <r>
    <x v="44"/>
    <s v="Loss"/>
    <n v="3"/>
    <n v="1"/>
    <n v="2"/>
    <x v="61"/>
    <s v="1|19000102|46293"/>
    <n v="4"/>
    <n v="2026"/>
    <n v="9"/>
    <s v="Current"/>
    <x v="4"/>
    <s v="Win"/>
    <b v="0"/>
    <n v="0"/>
    <n v="1"/>
    <n v="0"/>
    <n v="1"/>
  </r>
  <r>
    <x v="44"/>
    <s v="Loss"/>
    <n v="3"/>
    <n v="1"/>
    <n v="2"/>
    <x v="61"/>
    <s v="1|19000102|46293"/>
    <n v="4"/>
    <n v="2026"/>
    <n v="9"/>
    <s v="Current"/>
    <x v="5"/>
    <s v="Loss"/>
    <b v="0"/>
    <n v="0"/>
    <n v="1"/>
    <n v="0"/>
    <n v="0"/>
  </r>
  <r>
    <x v="44"/>
    <s v="Loss"/>
    <n v="3"/>
    <n v="1"/>
    <n v="2"/>
    <x v="61"/>
    <s v="1|19000102|46293"/>
    <n v="4"/>
    <n v="2026"/>
    <n v="9"/>
    <s v="Current"/>
    <x v="32"/>
    <s v="Loss"/>
    <b v="0"/>
    <n v="0"/>
    <n v="1"/>
    <n v="0"/>
    <n v="0"/>
  </r>
  <r>
    <x v="32"/>
    <s v="Loss"/>
    <n v="4"/>
    <n v="1"/>
    <n v="2"/>
    <x v="61"/>
    <s v="1|19000102|46293"/>
    <n v="4"/>
    <n v="2026"/>
    <n v="9"/>
    <s v="Current"/>
    <x v="4"/>
    <s v="Win"/>
    <b v="0"/>
    <n v="0"/>
    <n v="1"/>
    <n v="0"/>
    <n v="1"/>
  </r>
  <r>
    <x v="32"/>
    <s v="Loss"/>
    <n v="4"/>
    <n v="1"/>
    <n v="2"/>
    <x v="61"/>
    <s v="1|19000102|46293"/>
    <n v="4"/>
    <n v="2026"/>
    <n v="9"/>
    <s v="Current"/>
    <x v="5"/>
    <s v="Loss"/>
    <b v="0"/>
    <n v="0"/>
    <n v="1"/>
    <n v="0"/>
    <n v="0"/>
  </r>
  <r>
    <x v="32"/>
    <s v="Loss"/>
    <n v="4"/>
    <n v="1"/>
    <n v="2"/>
    <x v="61"/>
    <s v="1|19000102|46293"/>
    <n v="4"/>
    <n v="2026"/>
    <n v="9"/>
    <s v="Current"/>
    <x v="44"/>
    <s v="Loss"/>
    <b v="0"/>
    <n v="0"/>
    <n v="1"/>
    <n v="0"/>
    <n v="0"/>
  </r>
  <r>
    <x v="3"/>
    <s v="Win"/>
    <n v="1"/>
    <n v="2"/>
    <n v="2"/>
    <x v="61"/>
    <s v="2|19000102|46293"/>
    <n v="4"/>
    <n v="2026"/>
    <n v="9"/>
    <s v="Current"/>
    <x v="96"/>
    <s v="Loss"/>
    <b v="0"/>
    <n v="1"/>
    <n v="0"/>
    <n v="0"/>
    <n v="0"/>
  </r>
  <r>
    <x v="3"/>
    <s v="Win"/>
    <n v="1"/>
    <n v="2"/>
    <n v="2"/>
    <x v="61"/>
    <s v="2|19000102|46293"/>
    <n v="4"/>
    <n v="2026"/>
    <n v="9"/>
    <s v="Current"/>
    <x v="13"/>
    <s v="Loss"/>
    <b v="0"/>
    <n v="1"/>
    <n v="0"/>
    <n v="0"/>
    <n v="0"/>
  </r>
  <r>
    <x v="3"/>
    <s v="Win"/>
    <n v="1"/>
    <n v="2"/>
    <n v="2"/>
    <x v="61"/>
    <s v="2|19000102|46293"/>
    <n v="4"/>
    <n v="2026"/>
    <n v="9"/>
    <s v="Current"/>
    <x v="14"/>
    <s v="Loss"/>
    <b v="0"/>
    <n v="1"/>
    <n v="0"/>
    <n v="0"/>
    <n v="0"/>
  </r>
  <r>
    <x v="96"/>
    <s v="Loss"/>
    <n v="2"/>
    <n v="2"/>
    <n v="2"/>
    <x v="61"/>
    <s v="2|19000102|46293"/>
    <n v="4"/>
    <n v="2026"/>
    <n v="9"/>
    <s v="Current"/>
    <x v="2"/>
    <s v="Win"/>
    <b v="0"/>
    <n v="0"/>
    <n v="1"/>
    <n v="0"/>
    <n v="1"/>
  </r>
  <r>
    <x v="96"/>
    <s v="Loss"/>
    <n v="2"/>
    <n v="2"/>
    <n v="2"/>
    <x v="61"/>
    <s v="2|19000102|46293"/>
    <n v="4"/>
    <n v="2026"/>
    <n v="9"/>
    <s v="Current"/>
    <x v="13"/>
    <s v="Loss"/>
    <b v="0"/>
    <n v="0"/>
    <n v="1"/>
    <n v="0"/>
    <n v="0"/>
  </r>
  <r>
    <x v="96"/>
    <s v="Loss"/>
    <n v="2"/>
    <n v="2"/>
    <n v="2"/>
    <x v="61"/>
    <s v="2|19000102|46293"/>
    <n v="4"/>
    <n v="2026"/>
    <n v="9"/>
    <s v="Current"/>
    <x v="14"/>
    <s v="Loss"/>
    <b v="0"/>
    <n v="0"/>
    <n v="1"/>
    <n v="0"/>
    <n v="0"/>
  </r>
  <r>
    <x v="13"/>
    <s v="Loss"/>
    <n v="3"/>
    <n v="2"/>
    <n v="2"/>
    <x v="61"/>
    <s v="2|19000102|46293"/>
    <n v="4"/>
    <n v="2026"/>
    <n v="9"/>
    <s v="Current"/>
    <x v="2"/>
    <s v="Win"/>
    <b v="0"/>
    <n v="0"/>
    <n v="1"/>
    <n v="0"/>
    <n v="1"/>
  </r>
  <r>
    <x v="13"/>
    <s v="Loss"/>
    <n v="3"/>
    <n v="2"/>
    <n v="2"/>
    <x v="61"/>
    <s v="2|19000102|46293"/>
    <n v="4"/>
    <n v="2026"/>
    <n v="9"/>
    <s v="Current"/>
    <x v="96"/>
    <s v="Loss"/>
    <b v="0"/>
    <n v="0"/>
    <n v="1"/>
    <n v="0"/>
    <n v="0"/>
  </r>
  <r>
    <x v="13"/>
    <s v="Loss"/>
    <n v="3"/>
    <n v="2"/>
    <n v="2"/>
    <x v="61"/>
    <s v="2|19000102|46293"/>
    <n v="4"/>
    <n v="2026"/>
    <n v="9"/>
    <s v="Current"/>
    <x v="14"/>
    <s v="Loss"/>
    <b v="0"/>
    <n v="0"/>
    <n v="1"/>
    <n v="0"/>
    <n v="0"/>
  </r>
  <r>
    <x v="14"/>
    <s v="Loss"/>
    <n v="4"/>
    <n v="2"/>
    <n v="2"/>
    <x v="61"/>
    <s v="2|19000102|46293"/>
    <n v="4"/>
    <n v="2026"/>
    <n v="9"/>
    <s v="Current"/>
    <x v="2"/>
    <s v="Win"/>
    <b v="0"/>
    <n v="0"/>
    <n v="1"/>
    <n v="0"/>
    <n v="1"/>
  </r>
  <r>
    <x v="14"/>
    <s v="Loss"/>
    <n v="4"/>
    <n v="2"/>
    <n v="2"/>
    <x v="61"/>
    <s v="2|19000102|46293"/>
    <n v="4"/>
    <n v="2026"/>
    <n v="9"/>
    <s v="Current"/>
    <x v="96"/>
    <s v="Loss"/>
    <b v="0"/>
    <n v="0"/>
    <n v="1"/>
    <n v="0"/>
    <n v="0"/>
  </r>
  <r>
    <x v="14"/>
    <s v="Loss"/>
    <n v="4"/>
    <n v="2"/>
    <n v="2"/>
    <x v="61"/>
    <s v="2|19000102|46293"/>
    <n v="4"/>
    <n v="2026"/>
    <n v="9"/>
    <s v="Current"/>
    <x v="13"/>
    <s v="Loss"/>
    <b v="0"/>
    <n v="0"/>
    <n v="1"/>
    <n v="0"/>
    <n v="0"/>
  </r>
  <r>
    <x v="2"/>
    <s v="Draw"/>
    <n v="1"/>
    <n v="3"/>
    <n v="2"/>
    <x v="61"/>
    <s v="3|19000102|46293"/>
    <n v="4"/>
    <n v="2026"/>
    <n v="9"/>
    <s v="Current"/>
    <x v="70"/>
    <s v="Draw"/>
    <b v="0"/>
    <n v="0"/>
    <n v="0"/>
    <n v="1"/>
    <n v="0"/>
  </r>
  <r>
    <x v="2"/>
    <s v="Draw"/>
    <n v="1"/>
    <n v="3"/>
    <n v="2"/>
    <x v="61"/>
    <s v="3|19000102|46293"/>
    <n v="4"/>
    <n v="2026"/>
    <n v="9"/>
    <s v="Current"/>
    <x v="17"/>
    <s v="Draw"/>
    <b v="0"/>
    <n v="0"/>
    <n v="0"/>
    <n v="1"/>
    <n v="0"/>
  </r>
  <r>
    <x v="2"/>
    <s v="Draw"/>
    <n v="1"/>
    <n v="3"/>
    <n v="2"/>
    <x v="61"/>
    <s v="3|19000102|46293"/>
    <n v="4"/>
    <n v="2026"/>
    <n v="9"/>
    <s v="Current"/>
    <x v="97"/>
    <s v="Draw"/>
    <b v="0"/>
    <n v="0"/>
    <n v="0"/>
    <n v="1"/>
    <n v="0"/>
  </r>
  <r>
    <x v="70"/>
    <s v="Draw"/>
    <n v="2"/>
    <n v="3"/>
    <n v="2"/>
    <x v="61"/>
    <s v="3|19000102|46293"/>
    <n v="4"/>
    <n v="2026"/>
    <n v="9"/>
    <s v="Current"/>
    <x v="1"/>
    <s v="Draw"/>
    <b v="0"/>
    <n v="0"/>
    <n v="0"/>
    <n v="1"/>
    <n v="0"/>
  </r>
  <r>
    <x v="70"/>
    <s v="Draw"/>
    <n v="2"/>
    <n v="3"/>
    <n v="2"/>
    <x v="61"/>
    <s v="3|19000102|46293"/>
    <n v="4"/>
    <n v="2026"/>
    <n v="9"/>
    <s v="Current"/>
    <x v="17"/>
    <s v="Draw"/>
    <b v="0"/>
    <n v="0"/>
    <n v="0"/>
    <n v="1"/>
    <n v="0"/>
  </r>
  <r>
    <x v="70"/>
    <s v="Draw"/>
    <n v="2"/>
    <n v="3"/>
    <n v="2"/>
    <x v="61"/>
    <s v="3|19000102|46293"/>
    <n v="4"/>
    <n v="2026"/>
    <n v="9"/>
    <s v="Current"/>
    <x v="97"/>
    <s v="Draw"/>
    <b v="0"/>
    <n v="0"/>
    <n v="0"/>
    <n v="1"/>
    <n v="0"/>
  </r>
  <r>
    <x v="17"/>
    <s v="Draw"/>
    <n v="3"/>
    <n v="3"/>
    <n v="2"/>
    <x v="61"/>
    <s v="3|19000102|46293"/>
    <n v="4"/>
    <n v="2026"/>
    <n v="9"/>
    <s v="Current"/>
    <x v="1"/>
    <s v="Draw"/>
    <b v="0"/>
    <n v="0"/>
    <n v="0"/>
    <n v="1"/>
    <n v="0"/>
  </r>
  <r>
    <x v="17"/>
    <s v="Draw"/>
    <n v="3"/>
    <n v="3"/>
    <n v="2"/>
    <x v="61"/>
    <s v="3|19000102|46293"/>
    <n v="4"/>
    <n v="2026"/>
    <n v="9"/>
    <s v="Current"/>
    <x v="70"/>
    <s v="Draw"/>
    <b v="0"/>
    <n v="0"/>
    <n v="0"/>
    <n v="1"/>
    <n v="0"/>
  </r>
  <r>
    <x v="17"/>
    <s v="Draw"/>
    <n v="3"/>
    <n v="3"/>
    <n v="2"/>
    <x v="61"/>
    <s v="3|19000102|46293"/>
    <n v="4"/>
    <n v="2026"/>
    <n v="9"/>
    <s v="Current"/>
    <x v="97"/>
    <s v="Draw"/>
    <b v="0"/>
    <n v="0"/>
    <n v="0"/>
    <n v="1"/>
    <n v="0"/>
  </r>
  <r>
    <x v="97"/>
    <s v="Draw"/>
    <n v="4"/>
    <n v="3"/>
    <n v="2"/>
    <x v="61"/>
    <s v="3|19000102|46293"/>
    <n v="4"/>
    <n v="2026"/>
    <n v="9"/>
    <s v="Current"/>
    <x v="1"/>
    <s v="Draw"/>
    <b v="0"/>
    <n v="0"/>
    <n v="0"/>
    <n v="1"/>
    <n v="0"/>
  </r>
  <r>
    <x v="97"/>
    <s v="Draw"/>
    <n v="4"/>
    <n v="3"/>
    <n v="2"/>
    <x v="61"/>
    <s v="3|19000102|46293"/>
    <n v="4"/>
    <n v="2026"/>
    <n v="9"/>
    <s v="Current"/>
    <x v="70"/>
    <s v="Draw"/>
    <b v="0"/>
    <n v="0"/>
    <n v="0"/>
    <n v="1"/>
    <n v="0"/>
  </r>
  <r>
    <x v="97"/>
    <s v="Draw"/>
    <n v="4"/>
    <n v="3"/>
    <n v="2"/>
    <x v="61"/>
    <s v="3|19000102|46293"/>
    <n v="4"/>
    <n v="2026"/>
    <n v="9"/>
    <s v="Current"/>
    <x v="17"/>
    <s v="Draw"/>
    <b v="0"/>
    <n v="0"/>
    <n v="0"/>
    <n v="1"/>
    <n v="0"/>
  </r>
  <r>
    <x v="21"/>
    <s v="Loss"/>
    <n v="1"/>
    <n v="4"/>
    <n v="2"/>
    <x v="61"/>
    <s v="4|19000102|46293"/>
    <n v="3"/>
    <n v="2026"/>
    <n v="9"/>
    <s v="Current"/>
    <x v="0"/>
    <s v="Win"/>
    <b v="0"/>
    <n v="0"/>
    <n v="1"/>
    <n v="0"/>
    <n v="1"/>
  </r>
  <r>
    <x v="21"/>
    <s v="Loss"/>
    <n v="1"/>
    <n v="4"/>
    <n v="2"/>
    <x v="61"/>
    <s v="4|19000102|46293"/>
    <n v="3"/>
    <n v="2026"/>
    <n v="9"/>
    <s v="Current"/>
    <x v="34"/>
    <s v="Loss"/>
    <b v="0"/>
    <n v="0"/>
    <n v="1"/>
    <n v="0"/>
    <n v="0"/>
  </r>
  <r>
    <x v="1"/>
    <s v="Win"/>
    <n v="2"/>
    <n v="4"/>
    <n v="2"/>
    <x v="61"/>
    <s v="4|19000102|46293"/>
    <n v="3"/>
    <n v="2026"/>
    <n v="9"/>
    <s v="Current"/>
    <x v="21"/>
    <s v="Loss"/>
    <b v="0"/>
    <n v="1"/>
    <n v="0"/>
    <n v="0"/>
    <n v="0"/>
  </r>
  <r>
    <x v="1"/>
    <s v="Win"/>
    <n v="2"/>
    <n v="4"/>
    <n v="2"/>
    <x v="61"/>
    <s v="4|19000102|46293"/>
    <n v="3"/>
    <n v="2026"/>
    <n v="9"/>
    <s v="Current"/>
    <x v="34"/>
    <s v="Loss"/>
    <b v="0"/>
    <n v="1"/>
    <n v="0"/>
    <n v="0"/>
    <n v="0"/>
  </r>
  <r>
    <x v="34"/>
    <s v="Loss"/>
    <n v="3"/>
    <n v="4"/>
    <n v="2"/>
    <x v="61"/>
    <s v="4|19000102|46293"/>
    <n v="3"/>
    <n v="2026"/>
    <n v="9"/>
    <s v="Current"/>
    <x v="21"/>
    <s v="Loss"/>
    <b v="0"/>
    <n v="0"/>
    <n v="1"/>
    <n v="0"/>
    <n v="0"/>
  </r>
  <r>
    <x v="34"/>
    <s v="Loss"/>
    <n v="3"/>
    <n v="4"/>
    <n v="2"/>
    <x v="61"/>
    <s v="4|19000102|46293"/>
    <n v="3"/>
    <n v="2026"/>
    <n v="9"/>
    <s v="Current"/>
    <x v="0"/>
    <s v="Win"/>
    <b v="0"/>
    <n v="0"/>
    <n v="1"/>
    <n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84">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4"/>
    <x v="0"/>
    <x v="0"/>
    <n v="1"/>
    <n v="1"/>
    <d v="2026-09-14T00:00:00"/>
    <s v="1|19000101|46279"/>
    <x v="0"/>
    <x v="1"/>
    <x v="5"/>
    <x v="0"/>
  </r>
  <r>
    <x v="8"/>
    <x v="1"/>
    <x v="1"/>
    <n v="1"/>
    <n v="1"/>
    <d v="2026-09-14T00:00:00"/>
    <s v="1|19000101|46279"/>
    <x v="0"/>
    <x v="1"/>
    <x v="5"/>
    <x v="0"/>
  </r>
  <r>
    <x v="90"/>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9"/>
    <x v="2"/>
    <x v="1"/>
    <n v="3"/>
    <n v="1"/>
    <d v="2026-09-14T00:00:00"/>
    <s v="3|19000101|46279"/>
    <x v="0"/>
    <x v="1"/>
    <x v="5"/>
    <x v="0"/>
  </r>
  <r>
    <x v="4"/>
    <x v="2"/>
    <x v="2"/>
    <n v="3"/>
    <n v="1"/>
    <d v="2026-09-14T00:00:00"/>
    <s v="3|19000101|46279"/>
    <x v="0"/>
    <x v="1"/>
    <x v="5"/>
    <x v="0"/>
  </r>
  <r>
    <x v="42"/>
    <x v="1"/>
    <x v="4"/>
    <n v="4"/>
    <n v="1"/>
    <d v="2026-09-14T00:00:00"/>
    <s v="4|19000101|46279"/>
    <x v="2"/>
    <x v="1"/>
    <x v="5"/>
    <x v="0"/>
  </r>
  <r>
    <x v="96"/>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4"/>
    <x v="1"/>
    <x v="0"/>
    <n v="1"/>
    <n v="2"/>
    <d v="2026-09-14T00:00:00"/>
    <s v="1|19000102|46279"/>
    <x v="0"/>
    <x v="1"/>
    <x v="5"/>
    <x v="0"/>
  </r>
  <r>
    <x v="1"/>
    <x v="0"/>
    <x v="1"/>
    <n v="1"/>
    <n v="2"/>
    <d v="2026-09-14T00:00:00"/>
    <s v="1|19000102|46279"/>
    <x v="0"/>
    <x v="1"/>
    <x v="5"/>
    <x v="0"/>
  </r>
  <r>
    <x v="58"/>
    <x v="1"/>
    <x v="2"/>
    <n v="1"/>
    <n v="2"/>
    <d v="2026-09-14T00:00:00"/>
    <s v="1|19000102|46279"/>
    <x v="0"/>
    <x v="1"/>
    <x v="5"/>
    <x v="0"/>
  </r>
  <r>
    <x v="90"/>
    <x v="0"/>
    <x v="4"/>
    <n v="2"/>
    <n v="2"/>
    <d v="2026-09-14T00:00:00"/>
    <s v="2|19000102|46279"/>
    <x v="0"/>
    <x v="1"/>
    <x v="5"/>
    <x v="0"/>
  </r>
  <r>
    <x v="10"/>
    <x v="1"/>
    <x v="0"/>
    <n v="2"/>
    <n v="2"/>
    <d v="2026-09-14T00:00:00"/>
    <s v="2|19000102|46279"/>
    <x v="0"/>
    <x v="1"/>
    <x v="5"/>
    <x v="0"/>
  </r>
  <r>
    <x v="96"/>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9"/>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9"/>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6"/>
    <x v="2"/>
    <x v="1"/>
    <n v="2"/>
    <n v="1"/>
    <d v="2026-09-21T00:00:00"/>
    <s v="2|19000101|46286"/>
    <x v="0"/>
    <x v="1"/>
    <x v="5"/>
    <x v="0"/>
  </r>
  <r>
    <x v="67"/>
    <x v="2"/>
    <x v="2"/>
    <n v="2"/>
    <n v="1"/>
    <d v="2026-09-21T00:00:00"/>
    <s v="2|19000101|46286"/>
    <x v="0"/>
    <x v="1"/>
    <x v="5"/>
    <x v="0"/>
  </r>
  <r>
    <x v="9"/>
    <x v="1"/>
    <x v="4"/>
    <n v="3"/>
    <n v="1"/>
    <d v="2026-09-21T00:00:00"/>
    <s v="3|19000101|46286"/>
    <x v="0"/>
    <x v="1"/>
    <x v="5"/>
    <x v="0"/>
  </r>
  <r>
    <x v="84"/>
    <x v="0"/>
    <x v="0"/>
    <n v="3"/>
    <n v="1"/>
    <d v="2026-09-21T00:00:00"/>
    <s v="3|19000101|46286"/>
    <x v="0"/>
    <x v="1"/>
    <x v="5"/>
    <x v="0"/>
  </r>
  <r>
    <x v="57"/>
    <x v="1"/>
    <x v="1"/>
    <n v="3"/>
    <n v="1"/>
    <d v="2026-09-21T00:00:00"/>
    <s v="3|19000101|46286"/>
    <x v="0"/>
    <x v="1"/>
    <x v="5"/>
    <x v="0"/>
  </r>
  <r>
    <x v="10"/>
    <x v="1"/>
    <x v="2"/>
    <n v="3"/>
    <n v="1"/>
    <d v="2026-09-21T00:00:00"/>
    <s v="3|19000101|46286"/>
    <x v="0"/>
    <x v="1"/>
    <x v="5"/>
    <x v="0"/>
  </r>
  <r>
    <x v="90"/>
    <x v="1"/>
    <x v="4"/>
    <n v="4"/>
    <n v="1"/>
    <d v="2026-09-21T00:00:00"/>
    <s v="4|19000101|46286"/>
    <x v="0"/>
    <x v="1"/>
    <x v="5"/>
    <x v="0"/>
  </r>
  <r>
    <x v="11"/>
    <x v="1"/>
    <x v="0"/>
    <n v="4"/>
    <n v="1"/>
    <d v="2026-09-21T00:00:00"/>
    <s v="4|19000101|46286"/>
    <x v="0"/>
    <x v="1"/>
    <x v="5"/>
    <x v="0"/>
  </r>
  <r>
    <x v="80"/>
    <x v="1"/>
    <x v="1"/>
    <n v="4"/>
    <n v="1"/>
    <d v="2026-09-21T00:00:00"/>
    <s v="4|19000101|46286"/>
    <x v="0"/>
    <x v="1"/>
    <x v="5"/>
    <x v="0"/>
  </r>
  <r>
    <x v="1"/>
    <x v="0"/>
    <x v="2"/>
    <n v="4"/>
    <n v="1"/>
    <d v="2026-09-21T00:00:00"/>
    <s v="4|19000101|46286"/>
    <x v="0"/>
    <x v="1"/>
    <x v="5"/>
    <x v="0"/>
  </r>
  <r>
    <x v="92"/>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7"/>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80"/>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6"/>
    <x v="2"/>
    <x v="4"/>
    <n v="3"/>
    <n v="2"/>
    <d v="2026-09-21T00:00:00"/>
    <s v="3|19000102|46286"/>
    <x v="0"/>
    <x v="1"/>
    <x v="5"/>
    <x v="0"/>
  </r>
  <r>
    <x v="10"/>
    <x v="2"/>
    <x v="0"/>
    <n v="3"/>
    <n v="2"/>
    <d v="2026-09-21T00:00:00"/>
    <s v="3|19000102|46286"/>
    <x v="0"/>
    <x v="1"/>
    <x v="5"/>
    <x v="0"/>
  </r>
  <r>
    <x v="1"/>
    <x v="2"/>
    <x v="1"/>
    <n v="3"/>
    <n v="2"/>
    <d v="2026-09-21T00:00:00"/>
    <s v="3|19000102|46286"/>
    <x v="0"/>
    <x v="1"/>
    <x v="5"/>
    <x v="0"/>
  </r>
  <r>
    <x v="97"/>
    <x v="2"/>
    <x v="2"/>
    <n v="3"/>
    <n v="2"/>
    <d v="2026-09-21T00:00:00"/>
    <s v="3|19000102|46286"/>
    <x v="0"/>
    <x v="1"/>
    <x v="5"/>
    <x v="0"/>
  </r>
  <r>
    <x v="67"/>
    <x v="0"/>
    <x v="4"/>
    <n v="4"/>
    <n v="2"/>
    <d v="2026-09-21T00:00:00"/>
    <s v="4|19000102|46286"/>
    <x v="0"/>
    <x v="1"/>
    <x v="5"/>
    <x v="0"/>
  </r>
  <r>
    <x v="8"/>
    <x v="1"/>
    <x v="0"/>
    <n v="4"/>
    <n v="2"/>
    <d v="2026-09-21T00:00:00"/>
    <s v="4|19000102|46286"/>
    <x v="0"/>
    <x v="1"/>
    <x v="5"/>
    <x v="0"/>
  </r>
  <r>
    <x v="84"/>
    <x v="1"/>
    <x v="1"/>
    <n v="4"/>
    <n v="2"/>
    <d v="2026-09-21T00:00:00"/>
    <s v="4|19000102|46286"/>
    <x v="0"/>
    <x v="1"/>
    <x v="5"/>
    <x v="0"/>
  </r>
  <r>
    <x v="92"/>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9"/>
    <x v="1"/>
    <x v="2"/>
    <n v="5"/>
    <n v="2"/>
    <d v="2026-09-21T00:00:00"/>
    <s v="5|19000102|46286"/>
    <x v="0"/>
    <x v="1"/>
    <x v="5"/>
    <x v="0"/>
  </r>
  <r>
    <x v="25"/>
    <x v="1"/>
    <x v="4"/>
    <n v="6"/>
    <n v="2"/>
    <d v="2026-09-21T00:00:00"/>
    <s v="6|19000102|46286"/>
    <x v="2"/>
    <x v="1"/>
    <x v="5"/>
    <x v="0"/>
  </r>
  <r>
    <x v="33"/>
    <x v="0"/>
    <x v="0"/>
    <n v="6"/>
    <n v="2"/>
    <d v="2026-09-21T00:00:00"/>
    <s v="6|19000102|46286"/>
    <x v="2"/>
    <x v="1"/>
    <x v="5"/>
    <x v="0"/>
  </r>
  <r>
    <x v="90"/>
    <x v="1"/>
    <x v="1"/>
    <n v="6"/>
    <n v="2"/>
    <d v="2026-09-21T00:00:00"/>
    <s v="6|19000102|46286"/>
    <x v="2"/>
    <x v="1"/>
    <x v="5"/>
    <x v="0"/>
  </r>
  <r>
    <x v="28"/>
    <x v="2"/>
    <x v="4"/>
    <n v="1"/>
    <n v="1"/>
    <d v="2026-09-28T00:00:00"/>
    <s v="1|19000101|46293"/>
    <x v="0"/>
    <x v="1"/>
    <x v="5"/>
    <x v="0"/>
  </r>
  <r>
    <x v="18"/>
    <x v="2"/>
    <x v="0"/>
    <n v="1"/>
    <n v="1"/>
    <d v="2026-09-28T00:00:00"/>
    <s v="1|19000101|46293"/>
    <x v="0"/>
    <x v="1"/>
    <x v="5"/>
    <x v="0"/>
  </r>
  <r>
    <x v="19"/>
    <x v="2"/>
    <x v="1"/>
    <n v="1"/>
    <n v="1"/>
    <d v="2026-09-28T00:00:00"/>
    <s v="1|19000101|46293"/>
    <x v="0"/>
    <x v="1"/>
    <x v="5"/>
    <x v="0"/>
  </r>
  <r>
    <x v="42"/>
    <x v="2"/>
    <x v="2"/>
    <n v="1"/>
    <n v="1"/>
    <d v="2026-09-28T00:00:00"/>
    <s v="1|19000101|46293"/>
    <x v="0"/>
    <x v="1"/>
    <x v="5"/>
    <x v="0"/>
  </r>
  <r>
    <x v="9"/>
    <x v="0"/>
    <x v="4"/>
    <n v="2"/>
    <n v="1"/>
    <d v="2026-09-28T00:00:00"/>
    <s v="2|19000101|46293"/>
    <x v="0"/>
    <x v="1"/>
    <x v="5"/>
    <x v="0"/>
  </r>
  <r>
    <x v="33"/>
    <x v="1"/>
    <x v="0"/>
    <n v="2"/>
    <n v="1"/>
    <d v="2026-09-28T00:00:00"/>
    <s v="2|19000101|46293"/>
    <x v="0"/>
    <x v="1"/>
    <x v="5"/>
    <x v="0"/>
  </r>
  <r>
    <x v="97"/>
    <x v="1"/>
    <x v="1"/>
    <n v="2"/>
    <n v="1"/>
    <d v="2026-09-28T00:00:00"/>
    <s v="2|19000101|46293"/>
    <x v="0"/>
    <x v="1"/>
    <x v="5"/>
    <x v="0"/>
  </r>
  <r>
    <x v="62"/>
    <x v="1"/>
    <x v="2"/>
    <n v="2"/>
    <n v="1"/>
    <d v="2026-09-28T00:00:00"/>
    <s v="2|19000101|46293"/>
    <x v="0"/>
    <x v="1"/>
    <x v="5"/>
    <x v="0"/>
  </r>
  <r>
    <x v="8"/>
    <x v="2"/>
    <x v="4"/>
    <n v="3"/>
    <n v="1"/>
    <d v="2026-09-28T00:00:00"/>
    <s v="3|19000101|46293"/>
    <x v="0"/>
    <x v="1"/>
    <x v="5"/>
    <x v="0"/>
  </r>
  <r>
    <x v="13"/>
    <x v="2"/>
    <x v="0"/>
    <n v="3"/>
    <n v="1"/>
    <d v="2026-09-28T00:00:00"/>
    <s v="3|19000101|46293"/>
    <x v="0"/>
    <x v="1"/>
    <x v="5"/>
    <x v="0"/>
  </r>
  <r>
    <x v="70"/>
    <x v="2"/>
    <x v="1"/>
    <n v="3"/>
    <n v="1"/>
    <d v="2026-09-28T00:00:00"/>
    <s v="3|19000101|46293"/>
    <x v="0"/>
    <x v="1"/>
    <x v="5"/>
    <x v="0"/>
  </r>
  <r>
    <x v="1"/>
    <x v="2"/>
    <x v="2"/>
    <n v="3"/>
    <n v="1"/>
    <d v="2026-09-28T00:00:00"/>
    <s v="3|19000101|46293"/>
    <x v="0"/>
    <x v="1"/>
    <x v="5"/>
    <x v="0"/>
  </r>
  <r>
    <x v="4"/>
    <x v="0"/>
    <x v="4"/>
    <n v="4"/>
    <n v="1"/>
    <d v="2026-09-28T00:00:00"/>
    <s v="4|19000101|46293"/>
    <x v="2"/>
    <x v="1"/>
    <x v="5"/>
    <x v="0"/>
  </r>
  <r>
    <x v="57"/>
    <x v="1"/>
    <x v="0"/>
    <n v="4"/>
    <n v="1"/>
    <d v="2026-09-28T00:00:00"/>
    <s v="4|19000101|46293"/>
    <x v="2"/>
    <x v="1"/>
    <x v="5"/>
    <x v="0"/>
  </r>
  <r>
    <x v="96"/>
    <x v="1"/>
    <x v="1"/>
    <n v="4"/>
    <n v="1"/>
    <d v="2026-09-28T00:00:00"/>
    <s v="4|19000101|46293"/>
    <x v="2"/>
    <x v="1"/>
    <x v="5"/>
    <x v="0"/>
  </r>
  <r>
    <x v="1"/>
    <x v="0"/>
    <x v="4"/>
    <n v="1"/>
    <n v="2"/>
    <d v="2026-09-28T00:00:00"/>
    <s v="1|19000102|46293"/>
    <x v="0"/>
    <x v="1"/>
    <x v="5"/>
    <x v="0"/>
  </r>
  <r>
    <x v="9"/>
    <x v="1"/>
    <x v="0"/>
    <n v="1"/>
    <n v="2"/>
    <d v="2026-09-28T00:00:00"/>
    <s v="1|19000102|46293"/>
    <x v="0"/>
    <x v="1"/>
    <x v="5"/>
    <x v="0"/>
  </r>
  <r>
    <x v="4"/>
    <x v="1"/>
    <x v="1"/>
    <n v="1"/>
    <n v="2"/>
    <d v="2026-09-28T00:00:00"/>
    <s v="1|19000102|46293"/>
    <x v="0"/>
    <x v="1"/>
    <x v="5"/>
    <x v="0"/>
  </r>
  <r>
    <x v="28"/>
    <x v="1"/>
    <x v="2"/>
    <n v="1"/>
    <n v="2"/>
    <d v="2026-09-28T00:00:00"/>
    <s v="1|19000102|46293"/>
    <x v="0"/>
    <x v="1"/>
    <x v="5"/>
    <x v="0"/>
  </r>
  <r>
    <x v="42"/>
    <x v="0"/>
    <x v="4"/>
    <n v="2"/>
    <n v="2"/>
    <d v="2026-09-28T00:00:00"/>
    <s v="2|19000102|46293"/>
    <x v="0"/>
    <x v="1"/>
    <x v="5"/>
    <x v="0"/>
  </r>
  <r>
    <x v="96"/>
    <x v="1"/>
    <x v="0"/>
    <n v="2"/>
    <n v="2"/>
    <d v="2026-09-28T00:00:00"/>
    <s v="2|19000102|46293"/>
    <x v="0"/>
    <x v="1"/>
    <x v="5"/>
    <x v="0"/>
  </r>
  <r>
    <x v="33"/>
    <x v="1"/>
    <x v="1"/>
    <n v="2"/>
    <n v="2"/>
    <d v="2026-09-28T00:00:00"/>
    <s v="2|19000102|46293"/>
    <x v="0"/>
    <x v="1"/>
    <x v="5"/>
    <x v="0"/>
  </r>
  <r>
    <x v="8"/>
    <x v="1"/>
    <x v="2"/>
    <n v="2"/>
    <n v="2"/>
    <d v="2026-09-28T00:00:00"/>
    <s v="2|19000102|46293"/>
    <x v="0"/>
    <x v="1"/>
    <x v="5"/>
    <x v="0"/>
  </r>
  <r>
    <x v="18"/>
    <x v="2"/>
    <x v="4"/>
    <n v="3"/>
    <n v="2"/>
    <d v="2026-09-28T00:00:00"/>
    <s v="3|19000102|46293"/>
    <x v="0"/>
    <x v="1"/>
    <x v="5"/>
    <x v="0"/>
  </r>
  <r>
    <x v="70"/>
    <x v="2"/>
    <x v="0"/>
    <n v="3"/>
    <n v="2"/>
    <d v="2026-09-28T00:00:00"/>
    <s v="3|19000102|46293"/>
    <x v="0"/>
    <x v="1"/>
    <x v="5"/>
    <x v="0"/>
  </r>
  <r>
    <x v="57"/>
    <x v="2"/>
    <x v="1"/>
    <n v="3"/>
    <n v="2"/>
    <d v="2026-09-28T00:00:00"/>
    <s v="3|19000102|46293"/>
    <x v="0"/>
    <x v="1"/>
    <x v="5"/>
    <x v="0"/>
  </r>
  <r>
    <x v="97"/>
    <x v="2"/>
    <x v="2"/>
    <n v="3"/>
    <n v="2"/>
    <d v="2026-09-28T00:00:00"/>
    <s v="3|19000102|46293"/>
    <x v="0"/>
    <x v="1"/>
    <x v="5"/>
    <x v="0"/>
  </r>
  <r>
    <x v="62"/>
    <x v="1"/>
    <x v="4"/>
    <n v="4"/>
    <n v="2"/>
    <d v="2026-09-28T00:00:00"/>
    <s v="4|19000102|46293"/>
    <x v="2"/>
    <x v="1"/>
    <x v="5"/>
    <x v="0"/>
  </r>
  <r>
    <x v="13"/>
    <x v="0"/>
    <x v="0"/>
    <n v="4"/>
    <n v="2"/>
    <d v="2026-09-28T00:00:00"/>
    <s v="4|19000102|46293"/>
    <x v="2"/>
    <x v="1"/>
    <x v="5"/>
    <x v="0"/>
  </r>
  <r>
    <x v="19"/>
    <x v="1"/>
    <x v="1"/>
    <n v="4"/>
    <n v="2"/>
    <d v="2026-09-28T00:00:00"/>
    <s v="4|19000102|46293"/>
    <x v="2"/>
    <x v="1"/>
    <x v="5"/>
    <x v="0"/>
  </r>
  <r>
    <x v="67"/>
    <x v="2"/>
    <x v="4"/>
    <n v="1"/>
    <n v="1"/>
    <d v="2026-10-05T00:00:00"/>
    <s v="1|19000101|46300"/>
    <x v="0"/>
    <x v="1"/>
    <x v="3"/>
    <x v="1"/>
  </r>
  <r>
    <x v="93"/>
    <x v="2"/>
    <x v="0"/>
    <n v="1"/>
    <n v="1"/>
    <d v="2026-10-05T00:00:00"/>
    <s v="1|19000101|46300"/>
    <x v="0"/>
    <x v="1"/>
    <x v="3"/>
    <x v="1"/>
  </r>
  <r>
    <x v="33"/>
    <x v="2"/>
    <x v="1"/>
    <n v="1"/>
    <n v="1"/>
    <d v="2026-10-05T00:00:00"/>
    <s v="1|19000101|46300"/>
    <x v="0"/>
    <x v="1"/>
    <x v="3"/>
    <x v="1"/>
  </r>
  <r>
    <x v="13"/>
    <x v="2"/>
    <x v="2"/>
    <n v="1"/>
    <n v="1"/>
    <d v="2026-10-05T00:00:00"/>
    <s v="1|19000101|46300"/>
    <x v="0"/>
    <x v="1"/>
    <x v="3"/>
    <x v="1"/>
  </r>
  <r>
    <x v="9"/>
    <x v="2"/>
    <x v="4"/>
    <n v="2"/>
    <n v="1"/>
    <d v="2026-10-05T00:00:00"/>
    <s v="2|19000101|46300"/>
    <x v="0"/>
    <x v="1"/>
    <x v="3"/>
    <x v="1"/>
  </r>
  <r>
    <x v="4"/>
    <x v="2"/>
    <x v="0"/>
    <n v="2"/>
    <n v="1"/>
    <d v="2026-10-05T00:00:00"/>
    <s v="2|19000101|46300"/>
    <x v="0"/>
    <x v="1"/>
    <x v="3"/>
    <x v="1"/>
  </r>
  <r>
    <x v="57"/>
    <x v="2"/>
    <x v="1"/>
    <n v="2"/>
    <n v="1"/>
    <d v="2026-10-05T00:00:00"/>
    <s v="2|19000101|46300"/>
    <x v="0"/>
    <x v="1"/>
    <x v="3"/>
    <x v="1"/>
  </r>
  <r>
    <x v="58"/>
    <x v="2"/>
    <x v="2"/>
    <n v="2"/>
    <n v="1"/>
    <d v="2026-10-05T00:00:00"/>
    <s v="2|19000101|46300"/>
    <x v="0"/>
    <x v="1"/>
    <x v="3"/>
    <x v="1"/>
  </r>
  <r>
    <x v="28"/>
    <x v="1"/>
    <x v="4"/>
    <n v="3"/>
    <n v="1"/>
    <d v="2026-10-05T00:00:00"/>
    <s v="3|19000101|46300"/>
    <x v="0"/>
    <x v="1"/>
    <x v="3"/>
    <x v="1"/>
  </r>
  <r>
    <x v="8"/>
    <x v="1"/>
    <x v="0"/>
    <n v="3"/>
    <n v="1"/>
    <d v="2026-10-05T00:00:00"/>
    <s v="3|19000101|46300"/>
    <x v="0"/>
    <x v="1"/>
    <x v="3"/>
    <x v="1"/>
  </r>
  <r>
    <x v="1"/>
    <x v="0"/>
    <x v="1"/>
    <n v="3"/>
    <n v="1"/>
    <d v="2026-10-05T00:00:00"/>
    <s v="3|19000101|46300"/>
    <x v="0"/>
    <x v="1"/>
    <x v="3"/>
    <x v="1"/>
  </r>
  <r>
    <x v="90"/>
    <x v="1"/>
    <x v="2"/>
    <n v="3"/>
    <n v="1"/>
    <d v="2026-10-05T00:00:00"/>
    <s v="3|19000101|46300"/>
    <x v="0"/>
    <x v="1"/>
    <x v="3"/>
    <x v="1"/>
  </r>
  <r>
    <x v="84"/>
    <x v="0"/>
    <x v="4"/>
    <n v="4"/>
    <n v="1"/>
    <d v="2026-10-05T00:00:00"/>
    <s v="4|19000101|46300"/>
    <x v="0"/>
    <x v="1"/>
    <x v="3"/>
    <x v="1"/>
  </r>
  <r>
    <x v="79"/>
    <x v="1"/>
    <x v="0"/>
    <n v="4"/>
    <n v="1"/>
    <d v="2026-10-05T00:00:00"/>
    <s v="4|19000101|46300"/>
    <x v="0"/>
    <x v="1"/>
    <x v="3"/>
    <x v="1"/>
  </r>
  <r>
    <x v="19"/>
    <x v="1"/>
    <x v="1"/>
    <n v="4"/>
    <n v="1"/>
    <d v="2026-10-05T00:00:00"/>
    <s v="4|19000101|46300"/>
    <x v="0"/>
    <x v="1"/>
    <x v="3"/>
    <x v="1"/>
  </r>
  <r>
    <x v="27"/>
    <x v="1"/>
    <x v="2"/>
    <n v="4"/>
    <n v="1"/>
    <d v="2026-10-05T00:00:00"/>
    <s v="4|19000101|46300"/>
    <x v="0"/>
    <x v="1"/>
    <x v="3"/>
    <x v="1"/>
  </r>
  <r>
    <x v="18"/>
    <x v="2"/>
    <x v="4"/>
    <n v="5"/>
    <n v="1"/>
    <d v="2026-10-05T00:00:00"/>
    <s v="5|19000101|46300"/>
    <x v="0"/>
    <x v="1"/>
    <x v="3"/>
    <x v="1"/>
  </r>
  <r>
    <x v="15"/>
    <x v="2"/>
    <x v="0"/>
    <n v="5"/>
    <n v="1"/>
    <d v="2026-10-05T00:00:00"/>
    <s v="5|19000101|46300"/>
    <x v="0"/>
    <x v="1"/>
    <x v="3"/>
    <x v="1"/>
  </r>
  <r>
    <x v="42"/>
    <x v="2"/>
    <x v="1"/>
    <n v="5"/>
    <n v="1"/>
    <d v="2026-10-05T00:00:00"/>
    <s v="5|19000101|46300"/>
    <x v="0"/>
    <x v="1"/>
    <x v="3"/>
    <x v="1"/>
  </r>
  <r>
    <x v="50"/>
    <x v="2"/>
    <x v="2"/>
    <n v="5"/>
    <n v="1"/>
    <d v="2026-10-05T00:00:00"/>
    <s v="5|19000101|46300"/>
    <x v="0"/>
    <x v="1"/>
    <x v="3"/>
    <x v="1"/>
  </r>
  <r>
    <x v="70"/>
    <x v="0"/>
    <x v="4"/>
    <n v="6"/>
    <n v="1"/>
    <d v="2026-10-05T00:00:00"/>
    <s v="6|19000101|46300"/>
    <x v="0"/>
    <x v="1"/>
    <x v="3"/>
    <x v="1"/>
  </r>
  <r>
    <x v="83"/>
    <x v="1"/>
    <x v="0"/>
    <n v="6"/>
    <n v="1"/>
    <d v="2026-10-05T00:00:00"/>
    <s v="6|19000101|46300"/>
    <x v="0"/>
    <x v="1"/>
    <x v="3"/>
    <x v="1"/>
  </r>
  <r>
    <x v="11"/>
    <x v="1"/>
    <x v="1"/>
    <n v="6"/>
    <n v="1"/>
    <d v="2026-10-05T00:00:00"/>
    <s v="6|19000101|46300"/>
    <x v="0"/>
    <x v="1"/>
    <x v="3"/>
    <x v="1"/>
  </r>
  <r>
    <x v="97"/>
    <x v="1"/>
    <x v="2"/>
    <n v="6"/>
    <n v="1"/>
    <d v="2026-10-05T00:00:00"/>
    <s v="6|19000101|46300"/>
    <x v="0"/>
    <x v="1"/>
    <x v="3"/>
    <x v="1"/>
  </r>
  <r>
    <x v="33"/>
    <x v="0"/>
    <x v="4"/>
    <n v="1"/>
    <n v="2"/>
    <d v="2026-10-05T00:00:00"/>
    <s v="1|19000102|46300"/>
    <x v="0"/>
    <x v="1"/>
    <x v="3"/>
    <x v="1"/>
  </r>
  <r>
    <x v="70"/>
    <x v="1"/>
    <x v="0"/>
    <n v="1"/>
    <n v="2"/>
    <d v="2026-10-05T00:00:00"/>
    <s v="1|19000102|46300"/>
    <x v="0"/>
    <x v="1"/>
    <x v="3"/>
    <x v="1"/>
  </r>
  <r>
    <x v="57"/>
    <x v="1"/>
    <x v="1"/>
    <n v="1"/>
    <n v="2"/>
    <d v="2026-10-05T00:00:00"/>
    <s v="1|19000102|46300"/>
    <x v="0"/>
    <x v="1"/>
    <x v="3"/>
    <x v="1"/>
  </r>
  <r>
    <x v="15"/>
    <x v="1"/>
    <x v="2"/>
    <n v="1"/>
    <n v="2"/>
    <d v="2026-10-05T00:00:00"/>
    <s v="1|19000102|46300"/>
    <x v="0"/>
    <x v="1"/>
    <x v="3"/>
    <x v="1"/>
  </r>
  <r>
    <x v="18"/>
    <x v="0"/>
    <x v="4"/>
    <n v="2"/>
    <n v="2"/>
    <d v="2026-10-05T00:00:00"/>
    <s v="2|19000102|46300"/>
    <x v="0"/>
    <x v="1"/>
    <x v="3"/>
    <x v="1"/>
  </r>
  <r>
    <x v="84"/>
    <x v="1"/>
    <x v="0"/>
    <n v="2"/>
    <n v="2"/>
    <d v="2026-10-05T00:00:00"/>
    <s v="2|19000102|46300"/>
    <x v="0"/>
    <x v="1"/>
    <x v="3"/>
    <x v="1"/>
  </r>
  <r>
    <x v="58"/>
    <x v="1"/>
    <x v="1"/>
    <n v="2"/>
    <n v="2"/>
    <d v="2026-10-05T00:00:00"/>
    <s v="2|19000102|46300"/>
    <x v="0"/>
    <x v="1"/>
    <x v="3"/>
    <x v="1"/>
  </r>
  <r>
    <x v="13"/>
    <x v="1"/>
    <x v="2"/>
    <n v="2"/>
    <n v="2"/>
    <d v="2026-10-05T00:00:00"/>
    <s v="2|19000102|46300"/>
    <x v="0"/>
    <x v="1"/>
    <x v="3"/>
    <x v="1"/>
  </r>
  <r>
    <x v="50"/>
    <x v="0"/>
    <x v="4"/>
    <n v="3"/>
    <n v="2"/>
    <d v="2026-10-05T00:00:00"/>
    <s v="3|19000102|46300"/>
    <x v="0"/>
    <x v="1"/>
    <x v="3"/>
    <x v="1"/>
  </r>
  <r>
    <x v="1"/>
    <x v="1"/>
    <x v="0"/>
    <n v="3"/>
    <n v="2"/>
    <d v="2026-10-05T00:00:00"/>
    <s v="3|19000102|46300"/>
    <x v="0"/>
    <x v="1"/>
    <x v="3"/>
    <x v="1"/>
  </r>
  <r>
    <x v="67"/>
    <x v="1"/>
    <x v="1"/>
    <n v="3"/>
    <n v="2"/>
    <d v="2026-10-05T00:00:00"/>
    <s v="3|19000102|46300"/>
    <x v="0"/>
    <x v="1"/>
    <x v="3"/>
    <x v="1"/>
  </r>
  <r>
    <x v="9"/>
    <x v="1"/>
    <x v="2"/>
    <n v="3"/>
    <n v="2"/>
    <d v="2026-10-05T00:00:00"/>
    <s v="3|19000102|46300"/>
    <x v="0"/>
    <x v="1"/>
    <x v="3"/>
    <x v="1"/>
  </r>
  <r>
    <x v="42"/>
    <x v="0"/>
    <x v="4"/>
    <n v="4"/>
    <n v="2"/>
    <d v="2026-10-05T00:00:00"/>
    <s v="4|19000102|46300"/>
    <x v="0"/>
    <x v="1"/>
    <x v="3"/>
    <x v="1"/>
  </r>
  <r>
    <x v="79"/>
    <x v="1"/>
    <x v="0"/>
    <n v="4"/>
    <n v="2"/>
    <d v="2026-10-05T00:00:00"/>
    <s v="4|19000102|46300"/>
    <x v="0"/>
    <x v="1"/>
    <x v="3"/>
    <x v="1"/>
  </r>
  <r>
    <x v="4"/>
    <x v="1"/>
    <x v="1"/>
    <n v="4"/>
    <n v="2"/>
    <d v="2026-10-05T00:00:00"/>
    <s v="4|19000102|46300"/>
    <x v="0"/>
    <x v="1"/>
    <x v="3"/>
    <x v="1"/>
  </r>
  <r>
    <x v="93"/>
    <x v="1"/>
    <x v="2"/>
    <n v="4"/>
    <n v="2"/>
    <d v="2026-10-05T00:00:00"/>
    <s v="4|19000102|46300"/>
    <x v="0"/>
    <x v="1"/>
    <x v="3"/>
    <x v="1"/>
  </r>
  <r>
    <x v="27"/>
    <x v="1"/>
    <x v="4"/>
    <n v="5"/>
    <n v="2"/>
    <d v="2026-10-05T00:00:00"/>
    <s v="5|19000102|46300"/>
    <x v="0"/>
    <x v="1"/>
    <x v="3"/>
    <x v="1"/>
  </r>
  <r>
    <x v="11"/>
    <x v="1"/>
    <x v="0"/>
    <n v="5"/>
    <n v="2"/>
    <d v="2026-10-05T00:00:00"/>
    <s v="5|19000102|46300"/>
    <x v="0"/>
    <x v="1"/>
    <x v="3"/>
    <x v="1"/>
  </r>
  <r>
    <x v="8"/>
    <x v="0"/>
    <x v="1"/>
    <n v="5"/>
    <n v="2"/>
    <d v="2026-10-05T00:00:00"/>
    <s v="5|19000102|46300"/>
    <x v="0"/>
    <x v="1"/>
    <x v="3"/>
    <x v="1"/>
  </r>
  <r>
    <x v="83"/>
    <x v="1"/>
    <x v="2"/>
    <n v="5"/>
    <n v="2"/>
    <d v="2026-10-05T00:00:00"/>
    <s v="5|19000102|46300"/>
    <x v="0"/>
    <x v="1"/>
    <x v="3"/>
    <x v="1"/>
  </r>
  <r>
    <x v="19"/>
    <x v="1"/>
    <x v="4"/>
    <n v="6"/>
    <n v="2"/>
    <d v="2026-10-05T00:00:00"/>
    <s v="6|19000102|46300"/>
    <x v="0"/>
    <x v="1"/>
    <x v="3"/>
    <x v="1"/>
  </r>
  <r>
    <x v="90"/>
    <x v="0"/>
    <x v="0"/>
    <n v="6"/>
    <n v="2"/>
    <d v="2026-10-05T00:00:00"/>
    <s v="6|19000102|46300"/>
    <x v="0"/>
    <x v="1"/>
    <x v="3"/>
    <x v="1"/>
  </r>
  <r>
    <x v="97"/>
    <x v="1"/>
    <x v="1"/>
    <n v="6"/>
    <n v="2"/>
    <d v="2026-10-05T00:00:00"/>
    <s v="6|19000102|46300"/>
    <x v="0"/>
    <x v="1"/>
    <x v="3"/>
    <x v="1"/>
  </r>
  <r>
    <x v="28"/>
    <x v="1"/>
    <x v="2"/>
    <n v="6"/>
    <n v="2"/>
    <d v="2026-10-05T00:00:00"/>
    <s v="6|19000102|46300"/>
    <x v="0"/>
    <x v="1"/>
    <x v="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6"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3">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73"/>
    </i>
    <i>
      <x v="12"/>
    </i>
    <i>
      <x v="1"/>
    </i>
    <i>
      <x v="6"/>
    </i>
    <i>
      <x v="4"/>
    </i>
    <i>
      <x v="33"/>
    </i>
    <i>
      <x v="5"/>
    </i>
    <i>
      <x v="19"/>
    </i>
    <i>
      <x v="9"/>
    </i>
    <i>
      <x v="48"/>
    </i>
    <i>
      <x v="74"/>
    </i>
    <i>
      <x v="10"/>
    </i>
    <i>
      <x v="41"/>
    </i>
    <i>
      <x v="13"/>
    </i>
    <i>
      <x v="56"/>
    </i>
    <i>
      <x v="25"/>
    </i>
    <i>
      <x v="88"/>
    </i>
    <i>
      <x v="64"/>
    </i>
    <i>
      <x v="42"/>
    </i>
    <i>
      <x v="69"/>
    </i>
    <i>
      <x v="49"/>
    </i>
    <i>
      <x v="91"/>
    </i>
    <i>
      <x v="70"/>
    </i>
    <i>
      <x v="43"/>
    </i>
    <i>
      <x v="107"/>
    </i>
    <i>
      <x v="45"/>
    </i>
    <i>
      <x v="77"/>
    </i>
    <i>
      <x v="76"/>
    </i>
    <i>
      <x v="131"/>
    </i>
    <i>
      <x/>
    </i>
    <i>
      <x v="117"/>
    </i>
    <i>
      <x v="38"/>
    </i>
    <i>
      <x v="116"/>
    </i>
    <i>
      <x v="110"/>
    </i>
    <i>
      <x v="11"/>
    </i>
    <i>
      <x v="52"/>
    </i>
    <i>
      <x v="31"/>
    </i>
    <i>
      <x v="35"/>
    </i>
    <i>
      <x v="39"/>
    </i>
    <i>
      <x v="2"/>
    </i>
    <i>
      <x v="105"/>
    </i>
    <i>
      <x v="134"/>
    </i>
    <i>
      <x v="37"/>
    </i>
    <i>
      <x v="3"/>
    </i>
    <i>
      <x v="78"/>
    </i>
    <i>
      <x v="120"/>
    </i>
    <i>
      <x v="84"/>
    </i>
    <i>
      <x v="14"/>
    </i>
    <i>
      <x v="139"/>
    </i>
    <i>
      <x v="44"/>
    </i>
    <i>
      <x v="36"/>
    </i>
    <i>
      <x v="27"/>
    </i>
    <i>
      <x v="90"/>
    </i>
    <i>
      <x v="118"/>
    </i>
    <i>
      <x v="66"/>
    </i>
    <i>
      <x v="30"/>
    </i>
    <i>
      <x v="93"/>
    </i>
    <i>
      <x v="136"/>
    </i>
    <i>
      <x v="95"/>
    </i>
    <i>
      <x v="96"/>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5"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285" totalsRowShown="0">
  <autoFilter ref="A1:K2285"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523" tableType="queryTable" totalsRowShown="0">
  <autoFilter ref="A1:R652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tabSelected="1" zoomScaleNormal="100" workbookViewId="0">
      <selection activeCell="J44" sqref="J44"/>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0.52</v>
      </c>
      <c r="F5" s="8">
        <f>IF(View_Table[[#This Row],[Games]]=0,0,(View_Table[[#This Row],[Wins]] + (View_Table[[#This Row],[Draws]] * 0.25))/View_Table[[#This Row],[Games]])</f>
        <v>0.53125</v>
      </c>
      <c r="G5" s="5">
        <f>IFERROR(
    GETPIVOTDATA(
        "Result",
        'Pivot Table'!$A$3,
        "Player",View_Table[[#This Row],[Player]],
        "Result","Win"
    ),
    0
)</f>
        <v>11</v>
      </c>
      <c r="H5" s="5">
        <f>IFERROR(
    GETPIVOTDATA(
        "Result",
        'Pivot Table'!$A$3,
        "Player",View_Table[[#This Row],[Player]],
        "Result","Loss"
    ),
    0
)</f>
        <v>6</v>
      </c>
      <c r="I5" s="5">
        <f>IFERROR(
    GETPIVOTDATA(
        "Result",
        'Pivot Table'!$A$3,
        "Player",View_Table[[#This Row],[Player]],
        "Result","Draw"
    ),
    0
)</f>
        <v>7</v>
      </c>
      <c r="J5" s="5">
        <f>View_Table[[#This Row],[Wins]]+View_Table[[#This Row],[Losses]]+View_Table[[#This Row],[Draws]]</f>
        <v>24</v>
      </c>
      <c r="K5" s="7">
        <f>IFERROR(
    GETPIVOTDATA(
        "Result",
        'Pivot Table Previous'!$A$3,
        "Player",View_Table[[#This Row],[Player]],
        "Result","Win"
    ),
    0
)</f>
        <v>11</v>
      </c>
      <c r="L5" s="5">
        <f>IFERROR(
    GETPIVOTDATA(
        "Result",
        'Pivot Table Previous'!$A$3,
        "Player",View_Table[[#This Row],[Player]],
        "Result","Loss"
    ),
    0
)</f>
        <v>6</v>
      </c>
      <c r="M5" s="5">
        <f>IFERROR(
    GETPIVOTDATA(
        "Result",
        'Pivot Table Previous'!$A$3,
        "Player",View_Table[[#This Row],[Player]],
        "Result","Draw"
    ),
    0
)</f>
        <v>7</v>
      </c>
      <c r="N5" s="5">
        <f>View_Table[[#This Row],[Wins Previous]]+View_Table[[#This Row],[Losses Previous]]+View_Table[[#This Row],[Draws Previous]]</f>
        <v>24</v>
      </c>
      <c r="O5" s="9">
        <f>_xlfn.LET(_xlpm.g,View_Table[[#This Row],[Games Previous]], _xlpm.w,(View_Table[[#This Row],[Wins Previous]] + View_Table[[#This Row],[Draws Previous]] * 0.25), _xlpm.fake, MAX(0,25-_xlpm.g), IF(_xlpm.g=0,0,(_xlpm.w + _xlpm.fake*0.25)/(_xlpm.g + _xlpm.fake)))</f>
        <v>0.52</v>
      </c>
      <c r="P5" s="7">
        <f>_xlfn.RANK.EQ(View_Table[[#This Row],[Weighted Win% Previous]], View_Table[Weighted Win% Previous], 0)</f>
        <v>1</v>
      </c>
    </row>
    <row r="6" spans="2:16" x14ac:dyDescent="0.45">
      <c r="B6" s="3" t="s">
        <v>28</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0.48863636363636365</v>
      </c>
      <c r="G6" s="5">
        <f>IFERROR(
    GETPIVOTDATA(
        "Result",
        'Pivot Table'!$A$3,
        "Player",View_Table[[#This Row],[Player]],
        "Result","Win"
    ),
    0
)</f>
        <v>8</v>
      </c>
      <c r="H6" s="5">
        <f>IFERROR(
    GETPIVOTDATA(
        "Result",
        'Pivot Table'!$A$3,
        "Player",View_Table[[#This Row],[Player]],
        "Result","Loss"
    ),
    0
)</f>
        <v>3</v>
      </c>
      <c r="I6" s="5">
        <f>IFERROR(
    GETPIVOTDATA(
        "Result",
        'Pivot Table'!$A$3,
        "Player",View_Table[[#This Row],[Player]],
        "Result","Draw"
    ),
    0
)</f>
        <v>11</v>
      </c>
      <c r="J6" s="5">
        <f>View_Table[[#This Row],[Wins]]+View_Table[[#This Row],[Losses]]+View_Table[[#This Row],[Draws]]</f>
        <v>22</v>
      </c>
      <c r="K6" s="7">
        <f>IFERROR(
    GETPIVOTDATA(
        "Result",
        'Pivot Table Previous'!$A$3,
        "Player",View_Table[[#This Row],[Player]],
        "Result","Win"
    ),
    0
)</f>
        <v>8</v>
      </c>
      <c r="L6" s="5">
        <f>IFERROR(
    GETPIVOTDATA(
        "Result",
        'Pivot Table Previous'!$A$3,
        "Player",View_Table[[#This Row],[Player]],
        "Result","Loss"
    ),
    0
)</f>
        <v>3</v>
      </c>
      <c r="M6" s="5">
        <f>IFERROR(
    GETPIVOTDATA(
        "Result",
        'Pivot Table Previous'!$A$3,
        "Player",View_Table[[#This Row],[Player]],
        "Result","Draw"
    ),
    0
)</f>
        <v>11</v>
      </c>
      <c r="N6" s="5">
        <f>View_Table[[#This Row],[Wins Previous]]+View_Table[[#This Row],[Losses Previous]]+View_Table[[#This Row],[Draws Previous]]</f>
        <v>22</v>
      </c>
      <c r="O6" s="9">
        <f>_xlfn.LET(_xlpm.g,View_Table[[#This Row],[Games Previous]], _xlpm.w,(View_Table[[#This Row],[Wins Previous]] + View_Table[[#This Row],[Draws Previous]] * 0.25), _xlpm.fake, MAX(0,25-_xlpm.g), IF(_xlpm.g=0,0,(_xlpm.w + _xlpm.fake*0.25)/(_xlpm.g + _xlpm.fake)))</f>
        <v>0.46</v>
      </c>
      <c r="P6" s="7">
        <f>_xlfn.RANK.EQ(View_Table[[#This Row],[Weighted Win% Previous]], View_Table[Weighted Win% Previous], 0)</f>
        <v>2</v>
      </c>
    </row>
    <row r="7" spans="2:16" hidden="1" x14ac:dyDescent="0.45">
      <c r="B7" s="3" t="s">
        <v>434</v>
      </c>
      <c r="C7" s="6">
        <f>View_Table[[#This Row],[Rank Previous]]-View_Table[[#This Row],[Rank]]</f>
        <v>0</v>
      </c>
      <c r="D7" s="7">
        <f>_xlfn.RANK.EQ(View_Table[[#This Row],[Weighted Win%]], View_Table[Weighted Win%], 0)</f>
        <v>39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39</v>
      </c>
    </row>
    <row r="8" spans="2:16" x14ac:dyDescent="0.45">
      <c r="B8" s="3" t="s">
        <v>7</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0.42</v>
      </c>
      <c r="F8" s="8">
        <f>IF(View_Table[[#This Row],[Games]]=0,0,(View_Table[[#This Row],[Wins]] + (View_Table[[#This Row],[Draws]] * 0.25))/View_Table[[#This Row],[Games]])</f>
        <v>0.42708333333333331</v>
      </c>
      <c r="G8" s="5">
        <f>IFERROR(
    GETPIVOTDATA(
        "Result",
        'Pivot Table'!$A$3,
        "Player",View_Table[[#This Row],[Player]],
        "Result","Win"
    ),
    0
)</f>
        <v>8</v>
      </c>
      <c r="H8" s="5">
        <f>IFERROR(
    GETPIVOTDATA(
        "Result",
        'Pivot Table'!$A$3,
        "Player",View_Table[[#This Row],[Player]],
        "Result","Loss"
    ),
    0
)</f>
        <v>7</v>
      </c>
      <c r="I8" s="5">
        <f>IFERROR(
    GETPIVOTDATA(
        "Result",
        'Pivot Table'!$A$3,
        "Player",View_Table[[#This Row],[Player]],
        "Result","Draw"
    ),
    0
)</f>
        <v>9</v>
      </c>
      <c r="J8" s="5">
        <f>View_Table[[#This Row],[Wins]]+View_Table[[#This Row],[Losses]]+View_Table[[#This Row],[Draws]]</f>
        <v>24</v>
      </c>
      <c r="K8" s="5">
        <f>IFERROR(
    GETPIVOTDATA(
        "Result",
        'Pivot Table Previous'!$A$3,
        "Player",View_Table[[#This Row],[Player]],
        "Result","Win"
    ),
    0
)</f>
        <v>8</v>
      </c>
      <c r="L8" s="5">
        <f>IFERROR(
    GETPIVOTDATA(
        "Result",
        'Pivot Table Previous'!$A$3,
        "Player",View_Table[[#This Row],[Player]],
        "Result","Loss"
    ),
    0
)</f>
        <v>7</v>
      </c>
      <c r="M8" s="5">
        <f>IFERROR(
    GETPIVOTDATA(
        "Result",
        'Pivot Table Previous'!$A$3,
        "Player",View_Table[[#This Row],[Player]],
        "Result","Draw"
    ),
    0
)</f>
        <v>9</v>
      </c>
      <c r="N8" s="5">
        <f>View_Table[[#This Row],[Wins Previous]]+View_Table[[#This Row],[Losses Previous]]+View_Table[[#This Row],[Draws Previous]]</f>
        <v>24</v>
      </c>
      <c r="O8" s="9">
        <f>_xlfn.LET(_xlpm.g,View_Table[[#This Row],[Games Previous]], _xlpm.w,(View_Table[[#This Row],[Wins Previous]] + View_Table[[#This Row],[Draws Previous]] * 0.25), _xlpm.fake, MAX(0,25-_xlpm.g), IF(_xlpm.g=0,0,(_xlpm.w + _xlpm.fake*0.25)/(_xlpm.g + _xlpm.fake)))</f>
        <v>0.42</v>
      </c>
      <c r="P8" s="7">
        <f>IF(View_Table[[#This Row],[Games Previous]]=0,
    View_Table[[#This Row],[Rank]],
    _xlfn.RANK.EQ(View_Table[[#This Row],[Weighted Win% Previous]], View_Table[Weighted Win% Previous], 0)
)</f>
        <v>3</v>
      </c>
    </row>
    <row r="9" spans="2:16" x14ac:dyDescent="0.45">
      <c r="B9" s="3" t="s">
        <v>405</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0.37</v>
      </c>
      <c r="F9" s="8">
        <f>IF(View_Table[[#This Row],[Games]]=0,0,(View_Table[[#This Row],[Wins]] + (View_Table[[#This Row],[Draws]] * 0.25))/View_Table[[#This Row],[Games]])</f>
        <v>0.4375</v>
      </c>
      <c r="G9" s="5">
        <f>IFERROR(
    GETPIVOTDATA(
        "Result",
        'Pivot Table'!$A$3,
        "Player",View_Table[[#This Row],[Player]],
        "Result","Win"
    ),
    0
)</f>
        <v>5</v>
      </c>
      <c r="H9" s="5">
        <f>IFERROR(
    GETPIVOTDATA(
        "Result",
        'Pivot Table'!$A$3,
        "Player",View_Table[[#This Row],[Player]],
        "Result","Loss"
    ),
    0
)</f>
        <v>3</v>
      </c>
      <c r="I9" s="5">
        <f>IFERROR(
    GETPIVOTDATA(
        "Result",
        'Pivot Table'!$A$3,
        "Player",View_Table[[#This Row],[Player]],
        "Result","Draw"
    ),
    0
)</f>
        <v>8</v>
      </c>
      <c r="J9" s="5">
        <f>View_Table[[#This Row],[Wins]]+View_Table[[#This Row],[Losses]]+View_Table[[#This Row],[Draws]]</f>
        <v>16</v>
      </c>
      <c r="K9" s="7">
        <f>IFERROR(
    GETPIVOTDATA(
        "Result",
        'Pivot Table Previous'!$A$3,
        "Player",View_Table[[#This Row],[Player]],
        "Result","Win"
    ),
    0
)</f>
        <v>5</v>
      </c>
      <c r="L9" s="5">
        <f>IFERROR(
    GETPIVOTDATA(
        "Result",
        'Pivot Table Previous'!$A$3,
        "Player",View_Table[[#This Row],[Player]],
        "Result","Loss"
    ),
    0
)</f>
        <v>3</v>
      </c>
      <c r="M9" s="5">
        <f>IFERROR(
    GETPIVOTDATA(
        "Result",
        'Pivot Table Previous'!$A$3,
        "Player",View_Table[[#This Row],[Player]],
        "Result","Draw"
    ),
    0
)</f>
        <v>8</v>
      </c>
      <c r="N9" s="5">
        <f>View_Table[[#This Row],[Wins Previous]]+View_Table[[#This Row],[Losses Previous]]+View_Table[[#This Row],[Draws Previous]]</f>
        <v>16</v>
      </c>
      <c r="O9" s="9">
        <f>_xlfn.LET(_xlpm.g,View_Table[[#This Row],[Games Previous]], _xlpm.w,(View_Table[[#This Row],[Wins Previous]] + View_Table[[#This Row],[Draws Previous]] * 0.25), _xlpm.fake, MAX(0,25-_xlpm.g), IF(_xlpm.g=0,0,(_xlpm.w + _xlpm.fake*0.25)/(_xlpm.g + _xlpm.fake)))</f>
        <v>0.37</v>
      </c>
      <c r="P9" s="7">
        <f>_xlfn.RANK.EQ(View_Table[[#This Row],[Weighted Win% Previous]], View_Table[Weighted Win% Previous], 0)</f>
        <v>4</v>
      </c>
    </row>
    <row r="10" spans="2:16" x14ac:dyDescent="0.45">
      <c r="B10" s="3" t="s">
        <v>578</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0.36363636363636365</v>
      </c>
      <c r="G10" s="5">
        <f>IFERROR(
    GETPIVOTDATA(
        "Result",
        'Pivot Table'!$A$3,
        "Player",View_Table[[#This Row],[Player]],
        "Result","Win"
    ),
    0
)</f>
        <v>6</v>
      </c>
      <c r="H10" s="5">
        <f>IFERROR(
    GETPIVOTDATA(
        "Result",
        'Pivot Table'!$A$3,
        "Player",View_Table[[#This Row],[Player]],
        "Result","Loss"
    ),
    0
)</f>
        <v>8</v>
      </c>
      <c r="I10" s="5">
        <f>IFERROR(
    GETPIVOTDATA(
        "Result",
        'Pivot Table'!$A$3,
        "Player",View_Table[[#This Row],[Player]],
        "Result","Draw"
    ),
    0
)</f>
        <v>8</v>
      </c>
      <c r="J10" s="5">
        <f>View_Table[[#This Row],[Wins]]+View_Table[[#This Row],[Losses]]+View_Table[[#This Row],[Draws]]</f>
        <v>22</v>
      </c>
      <c r="K10" s="7">
        <f>IFERROR(
    GETPIVOTDATA(
        "Result",
        'Pivot Table Previous'!$A$3,
        "Player",View_Table[[#This Row],[Player]],
        "Result","Win"
    ),
    0
)</f>
        <v>6</v>
      </c>
      <c r="L10" s="5">
        <f>IFERROR(
    GETPIVOTDATA(
        "Result",
        'Pivot Table Previous'!$A$3,
        "Player",View_Table[[#This Row],[Player]],
        "Result","Loss"
    ),
    0
)</f>
        <v>8</v>
      </c>
      <c r="M10" s="5">
        <f>IFERROR(
    GETPIVOTDATA(
        "Result",
        'Pivot Table Previous'!$A$3,
        "Player",View_Table[[#This Row],[Player]],
        "Result","Draw"
    ),
    0
)</f>
        <v>8</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0.35</v>
      </c>
      <c r="P10" s="7">
        <f>_xlfn.RANK.EQ(View_Table[[#This Row],[Weighted Win% Previous]], View_Table[Weighted Win% Previous], 0)</f>
        <v>5</v>
      </c>
    </row>
    <row r="11" spans="2:16" hidden="1" x14ac:dyDescent="0.45">
      <c r="B11" s="3" t="s">
        <v>322</v>
      </c>
      <c r="C11" s="6">
        <f>View_Table[[#This Row],[Rank Previous]]-View_Table[[#This Row],[Rank]]</f>
        <v>0</v>
      </c>
      <c r="D11" s="7">
        <f>_xlfn.RANK.EQ(View_Table[[#This Row],[Weighted Win%]], View_Table[Weighted Win%], 0)</f>
        <v>39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39</v>
      </c>
    </row>
    <row r="12" spans="2:16" x14ac:dyDescent="0.45">
      <c r="B12" s="3" t="s">
        <v>20</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0.35</v>
      </c>
      <c r="F12" s="8">
        <f>IF(View_Table[[#This Row],[Games]]=0,0,(View_Table[[#This Row],[Wins]] + (View_Table[[#This Row],[Draws]] * 0.25))/View_Table[[#This Row],[Games]])</f>
        <v>0.42857142857142855</v>
      </c>
      <c r="G12" s="5">
        <f>IFERROR(
    GETPIVOTDATA(
        "Result",
        'Pivot Table'!$A$3,
        "Player",View_Table[[#This Row],[Player]],
        "Result","Win"
    ),
    0
)</f>
        <v>5</v>
      </c>
      <c r="H12" s="5">
        <f>IFERROR(
    GETPIVOTDATA(
        "Result",
        'Pivot Table'!$A$3,
        "Player",View_Table[[#This Row],[Player]],
        "Result","Loss"
    ),
    0
)</f>
        <v>5</v>
      </c>
      <c r="I12" s="5">
        <f>IFERROR(
    GETPIVOTDATA(
        "Result",
        'Pivot Table'!$A$3,
        "Player",View_Table[[#This Row],[Player]],
        "Result","Draw"
    ),
    0
)</f>
        <v>4</v>
      </c>
      <c r="J12" s="5">
        <f>View_Table[[#This Row],[Wins]]+View_Table[[#This Row],[Losses]]+View_Table[[#This Row],[Draws]]</f>
        <v>14</v>
      </c>
      <c r="K12" s="7">
        <f>IFERROR(
    GETPIVOTDATA(
        "Result",
        'Pivot Table Previous'!$A$3,
        "Player",View_Table[[#This Row],[Player]],
        "Result","Win"
    ),
    0
)</f>
        <v>5</v>
      </c>
      <c r="L12" s="5">
        <f>IFERROR(
    GETPIVOTDATA(
        "Result",
        'Pivot Table Previous'!$A$3,
        "Player",View_Table[[#This Row],[Player]],
        "Result","Loss"
    ),
    0
)</f>
        <v>5</v>
      </c>
      <c r="M12" s="5">
        <f>IFERROR(
    GETPIVOTDATA(
        "Result",
        'Pivot Table Previous'!$A$3,
        "Player",View_Table[[#This Row],[Player]],
        "Result","Draw"
    ),
    0
)</f>
        <v>4</v>
      </c>
      <c r="N12" s="5">
        <f>View_Table[[#This Row],[Wins Previous]]+View_Table[[#This Row],[Losses Previous]]+View_Table[[#This Row],[Draws Previous]]</f>
        <v>14</v>
      </c>
      <c r="O12" s="9">
        <f>_xlfn.LET(_xlpm.g,View_Table[[#This Row],[Games Previous]], _xlpm.w,(View_Table[[#This Row],[Wins Previous]] + View_Table[[#This Row],[Draws Previous]] * 0.25), _xlpm.fake, MAX(0,25-_xlpm.g), IF(_xlpm.g=0,0,(_xlpm.w + _xlpm.fake*0.25)/(_xlpm.g + _xlpm.fake)))</f>
        <v>0.35</v>
      </c>
      <c r="P12" s="7">
        <f>_xlfn.RANK.EQ(View_Table[[#This Row],[Weighted Win% Previous]], View_Table[Weighted Win% Previous], 0)</f>
        <v>5</v>
      </c>
    </row>
    <row r="13" spans="2:16" x14ac:dyDescent="0.45">
      <c r="B13" s="3" t="s">
        <v>19</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0.31</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9</v>
      </c>
      <c r="I13" s="5">
        <f>IFERROR(
    GETPIVOTDATA(
        "Result",
        'Pivot Table'!$A$3,
        "Player",View_Table[[#This Row],[Player]],
        "Result","Draw"
    ),
    0
)</f>
        <v>10</v>
      </c>
      <c r="J13" s="5">
        <f>View_Table[[#This Row],[Wins]]+View_Table[[#This Row],[Losses]]+View_Table[[#This Row],[Draws]]</f>
        <v>24</v>
      </c>
      <c r="K13" s="5">
        <f>IFERROR(
    GETPIVOTDATA(
        "Result",
        'Pivot Table Previous'!$A$3,
        "Player",View_Table[[#This Row],[Player]],
        "Result","Win"
    ),
    0
)</f>
        <v>5</v>
      </c>
      <c r="L13" s="5">
        <f>IFERROR(
    GETPIVOTDATA(
        "Result",
        'Pivot Table Previous'!$A$3,
        "Player",View_Table[[#This Row],[Player]],
        "Result","Loss"
    ),
    0
)</f>
        <v>9</v>
      </c>
      <c r="M13" s="5">
        <f>IFERROR(
    GETPIVOTDATA(
        "Result",
        'Pivot Table Previous'!$A$3,
        "Player",View_Table[[#This Row],[Player]],
        "Result","Draw"
    ),
    0
)</f>
        <v>10</v>
      </c>
      <c r="N13" s="5">
        <f>View_Table[[#This Row],[Wins Previous]]+View_Table[[#This Row],[Losses Previous]]+View_Table[[#This Row],[Draws Previous]]</f>
        <v>24</v>
      </c>
      <c r="O13" s="9">
        <f>_xlfn.LET(_xlpm.g,View_Table[[#This Row],[Games Previous]], _xlpm.w,(View_Table[[#This Row],[Wins Previous]] + View_Table[[#This Row],[Draws Previous]] * 0.25), _xlpm.fake, MAX(0,25-_xlpm.g), IF(_xlpm.g=0,0,(_xlpm.w + _xlpm.fake*0.25)/(_xlpm.g + _xlpm.fake)))</f>
        <v>0.31</v>
      </c>
      <c r="P13" s="7">
        <f>IF(View_Table[[#This Row],[Games Previous]]=0,
    View_Table[[#This Row],[Rank]],
    _xlfn.RANK.EQ(View_Table[[#This Row],[Weighted Win% Previous]], View_Table[Weighted Win% Previous], 0)
)</f>
        <v>7</v>
      </c>
    </row>
    <row r="14" spans="2:16" x14ac:dyDescent="0.45">
      <c r="B14" s="3" t="s">
        <v>14</v>
      </c>
      <c r="C14" s="6">
        <f>View_Table[[#This Row],[Rank Previous]]-View_Table[[#This Row],[Rank]]</f>
        <v>0</v>
      </c>
      <c r="D14" s="7">
        <f>_xlfn.RANK.EQ(View_Table[[#This Row],[Weighted Win%]], View_Table[Weighted Win%], 0)</f>
        <v>8</v>
      </c>
      <c r="E14" s="9">
        <f>_xlfn.LET(_xlpm.g,View_Table[[#This Row],[Games]], _xlpm.w,(View_Table[[#This Row],[Wins]] + View_Table[[#This Row],[Draws]] * 0.25), _xlpm.fake, MAX(0,25-_xlpm.g), IF(_xlpm.g=0,0,(_xlpm.w + _xlpm.fake*0.25)/(_xlpm.g + _xlpm.fake)))</f>
        <v>0.29807692307692307</v>
      </c>
      <c r="F14" s="8">
        <f>IF(View_Table[[#This Row],[Games]]=0,0,(View_Table[[#This Row],[Wins]] + (View_Table[[#This Row],[Draws]] * 0.25))/View_Table[[#This Row],[Games]])</f>
        <v>0.29807692307692307</v>
      </c>
      <c r="G14" s="5">
        <f>IFERROR(
    GETPIVOTDATA(
        "Result",
        'Pivot Table'!$A$3,
        "Player",View_Table[[#This Row],[Player]],
        "Result","Win"
    ),
    0
)</f>
        <v>5</v>
      </c>
      <c r="H14" s="5">
        <f>IFERROR(
    GETPIVOTDATA(
        "Result",
        'Pivot Table'!$A$3,
        "Player",View_Table[[#This Row],[Player]],
        "Result","Loss"
    ),
    0
)</f>
        <v>10</v>
      </c>
      <c r="I14" s="5">
        <f>IFERROR(
    GETPIVOTDATA(
        "Result",
        'Pivot Table'!$A$3,
        "Player",View_Table[[#This Row],[Player]],
        "Result","Draw"
    ),
    0
)</f>
        <v>11</v>
      </c>
      <c r="J14" s="5">
        <f>View_Table[[#This Row],[Wins]]+View_Table[[#This Row],[Losses]]+View_Table[[#This Row],[Draws]]</f>
        <v>26</v>
      </c>
      <c r="K14" s="5">
        <f>IFERROR(
    GETPIVOTDATA(
        "Result",
        'Pivot Table Previous'!$A$3,
        "Player",View_Table[[#This Row],[Player]],
        "Result","Win"
    ),
    0
)</f>
        <v>5</v>
      </c>
      <c r="L14" s="5">
        <f>IFERROR(
    GETPIVOTDATA(
        "Result",
        'Pivot Table Previous'!$A$3,
        "Player",View_Table[[#This Row],[Player]],
        "Result","Loss"
    ),
    0
)</f>
        <v>10</v>
      </c>
      <c r="M14" s="5">
        <f>IFERROR(
    GETPIVOTDATA(
        "Result",
        'Pivot Table Previous'!$A$3,
        "Player",View_Table[[#This Row],[Player]],
        "Result","Draw"
    ),
    0
)</f>
        <v>11</v>
      </c>
      <c r="N14" s="5">
        <f>View_Table[[#This Row],[Wins Previous]]+View_Table[[#This Row],[Losses Previous]]+View_Table[[#This Row],[Draws Previous]]</f>
        <v>26</v>
      </c>
      <c r="O14" s="9">
        <f>_xlfn.LET(_xlpm.g,View_Table[[#This Row],[Games Previous]], _xlpm.w,(View_Table[[#This Row],[Wins Previous]] + View_Table[[#This Row],[Draws Previous]] * 0.25), _xlpm.fake, MAX(0,25-_xlpm.g), IF(_xlpm.g=0,0,(_xlpm.w + _xlpm.fake*0.25)/(_xlpm.g + _xlpm.fake)))</f>
        <v>0.29807692307692307</v>
      </c>
      <c r="P14" s="7">
        <f>IF(View_Table[[#This Row],[Games Previous]]=0,
    View_Table[[#This Row],[Rank]],
    _xlfn.RANK.EQ(View_Table[[#This Row],[Weighted Win% Previous]], View_Table[Weighted Win% Previous], 0)
)</f>
        <v>8</v>
      </c>
    </row>
    <row r="15" spans="2:16" hidden="1" x14ac:dyDescent="0.45">
      <c r="B15" s="3" t="s">
        <v>421</v>
      </c>
      <c r="C15" s="6">
        <f>View_Table[[#This Row],[Rank Previous]]-View_Table[[#This Row],[Rank]]</f>
        <v>0</v>
      </c>
      <c r="D15" s="7">
        <f>_xlfn.RANK.EQ(View_Table[[#This Row],[Weighted Win%]], View_Table[Weighted Win%], 0)</f>
        <v>39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39</v>
      </c>
    </row>
    <row r="16" spans="2:16" x14ac:dyDescent="0.45">
      <c r="B16" s="3" t="s">
        <v>11</v>
      </c>
      <c r="C16" s="6">
        <f>View_Table[[#This Row],[Rank Previous]]-View_Table[[#This Row],[Rank]]</f>
        <v>0</v>
      </c>
      <c r="D16" s="7">
        <f>_xlfn.RANK.EQ(View_Table[[#This Row],[Weighted Win%]], View_Table[Weighted Win%], 0)</f>
        <v>9</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0.32142857142857145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6</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6</v>
      </c>
      <c r="N16" s="5">
        <f>View_Table[[#This Row],[Wins Previous]]+View_Table[[#This Row],[Losses Previous]]+View_Table[[#This Row],[Draws Previous]]</f>
        <v>14</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9</v>
      </c>
    </row>
    <row r="17" spans="2:16" x14ac:dyDescent="0.45">
      <c r="B17" s="3" t="s">
        <v>438</v>
      </c>
      <c r="C17" s="6">
        <f>View_Table[[#This Row],[Rank Previous]]-View_Table[[#This Row],[Rank]]</f>
        <v>0</v>
      </c>
      <c r="D17" s="7">
        <f>_xlfn.RANK.EQ(View_Table[[#This Row],[Weighted Win%]], View_Table[Weighted Win%], 0)</f>
        <v>10</v>
      </c>
      <c r="E17" s="9">
        <f>_xlfn.LET(_xlpm.g,View_Table[[#This Row],[Games]], _xlpm.w,(View_Table[[#This Row],[Wins]] + View_Table[[#This Row],[Draws]] * 0.25), _xlpm.fake, MAX(0,25-_xlpm.g), IF(_xlpm.g=0,0,(_xlpm.w + _xlpm.fake*0.25)/(_xlpm.g + _xlpm.fake)))</f>
        <v>0.28000000000000003</v>
      </c>
      <c r="F17" s="8">
        <f>IF(View_Table[[#This Row],[Games]]=0,0,(View_Table[[#This Row],[Wins]] + (View_Table[[#This Row],[Draws]] * 0.25))/View_Table[[#This Row],[Games]])</f>
        <v>0.625</v>
      </c>
      <c r="G17" s="5">
        <f>IFERROR(
    GETPIVOTDATA(
        "Result",
        'Pivot Table'!$A$3,
        "Player",View_Table[[#This Row],[Player]],
        "Result","Win"
    ),
    0
)</f>
        <v>1</v>
      </c>
      <c r="H17" s="5">
        <f>IFERROR(
    GETPIVOTDATA(
        "Result",
        'Pivot Table'!$A$3,
        "Player",View_Table[[#This Row],[Player]],
        "Result","Loss"
    ),
    0
)</f>
        <v>0</v>
      </c>
      <c r="I17" s="5">
        <f>IFERROR(
    GETPIVOTDATA(
        "Result",
        'Pivot Table'!$A$3,
        "Player",View_Table[[#This Row],[Player]],
        "Result","Draw"
    ),
    0
)</f>
        <v>1</v>
      </c>
      <c r="J17" s="5">
        <f>View_Table[[#This Row],[Wins]]+View_Table[[#This Row],[Losses]]+View_Table[[#This Row],[Draws]]</f>
        <v>2</v>
      </c>
      <c r="K17" s="7">
        <f>IFERROR(
    GETPIVOTDATA(
        "Result",
        'Pivot Table Previous'!$A$3,
        "Player",View_Table[[#This Row],[Player]],
        "Result","Win"
    ),
    0
)</f>
        <v>1</v>
      </c>
      <c r="L17" s="5">
        <f>IFERROR(
    GETPIVOTDATA(
        "Result",
        'Pivot Table Previous'!$A$3,
        "Player",View_Table[[#This Row],[Player]],
        "Result","Loss"
    ),
    0
)</f>
        <v>0</v>
      </c>
      <c r="M17" s="5">
        <f>IFERROR(
    GETPIVOTDATA(
        "Result",
        'Pivot Table Previous'!$A$3,
        "Player",View_Table[[#This Row],[Player]],
        "Result","Draw"
    ),
    0
)</f>
        <v>1</v>
      </c>
      <c r="N17" s="5">
        <f>View_Table[[#This Row],[Wins Previous]]+View_Table[[#This Row],[Losses Previous]]+View_Table[[#This Row],[Draws Previous]]</f>
        <v>2</v>
      </c>
      <c r="O17" s="9">
        <f>_xlfn.LET(_xlpm.g,View_Table[[#This Row],[Games Previous]], _xlpm.w,(View_Table[[#This Row],[Wins Previous]] + View_Table[[#This Row],[Draws Previous]] * 0.25), _xlpm.fake, MAX(0,25-_xlpm.g), IF(_xlpm.g=0,0,(_xlpm.w + _xlpm.fake*0.25)/(_xlpm.g + _xlpm.fake)))</f>
        <v>0.28000000000000003</v>
      </c>
      <c r="P17" s="7">
        <f>_xlfn.RANK.EQ(View_Table[[#This Row],[Weighted Win% Previous]], View_Table[Weighted Win% Previous], 0)</f>
        <v>10</v>
      </c>
    </row>
    <row r="18" spans="2:16" x14ac:dyDescent="0.45">
      <c r="B18" s="3" t="s">
        <v>352</v>
      </c>
      <c r="C18" s="6">
        <f>View_Table[[#This Row],[Rank Previous]]-View_Table[[#This Row],[Rank]]</f>
        <v>0</v>
      </c>
      <c r="D18" s="7">
        <f>_xlfn.RANK.EQ(View_Table[[#This Row],[Weighted Win%]], View_Table[Weighted Win%], 0)</f>
        <v>11</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0.29166666666666669</v>
      </c>
      <c r="G18" s="5">
        <f>IFERROR(
    GETPIVOTDATA(
        "Result",
        'Pivot Table'!$A$3,
        "Player",View_Table[[#This Row],[Player]],
        "Result","Win"
    ),
    0
)</f>
        <v>3</v>
      </c>
      <c r="H18" s="5">
        <f>IFERROR(
    GETPIVOTDATA(
        "Result",
        'Pivot Table'!$A$3,
        "Player",View_Table[[#This Row],[Player]],
        "Result","Loss"
    ),
    0
)</f>
        <v>7</v>
      </c>
      <c r="I18" s="5">
        <f>IFERROR(
    GETPIVOTDATA(
        "Result",
        'Pivot Table'!$A$3,
        "Player",View_Table[[#This Row],[Player]],
        "Result","Draw"
    ),
    0
)</f>
        <v>2</v>
      </c>
      <c r="J18" s="5">
        <f>View_Table[[#This Row],[Wins]]+View_Table[[#This Row],[Losses]]+View_Table[[#This Row],[Draws]]</f>
        <v>12</v>
      </c>
      <c r="K18" s="7">
        <f>IFERROR(
    GETPIVOTDATA(
        "Result",
        'Pivot Table Previous'!$A$3,
        "Player",View_Table[[#This Row],[Player]],
        "Result","Win"
    ),
    0
)</f>
        <v>3</v>
      </c>
      <c r="L18" s="5">
        <f>IFERROR(
    GETPIVOTDATA(
        "Result",
        'Pivot Table Previous'!$A$3,
        "Player",View_Table[[#This Row],[Player]],
        "Result","Loss"
    ),
    0
)</f>
        <v>7</v>
      </c>
      <c r="M18" s="5">
        <f>IFERROR(
    GETPIVOTDATA(
        "Result",
        'Pivot Table Previous'!$A$3,
        "Player",View_Table[[#This Row],[Player]],
        "Result","Draw"
    ),
    0
)</f>
        <v>2</v>
      </c>
      <c r="N18" s="5">
        <f>View_Table[[#This Row],[Wins Previous]]+View_Table[[#This Row],[Losses Previous]]+View_Table[[#This Row],[Draws Previous]]</f>
        <v>12</v>
      </c>
      <c r="O18" s="9">
        <f>_xlfn.LET(_xlpm.g,View_Table[[#This Row],[Games Previous]], _xlpm.w,(View_Table[[#This Row],[Wins Previous]] + View_Table[[#This Row],[Draws Previous]] * 0.25), _xlpm.fake, MAX(0,25-_xlpm.g), IF(_xlpm.g=0,0,(_xlpm.w + _xlpm.fake*0.25)/(_xlpm.g + _xlpm.fake)))</f>
        <v>0.27</v>
      </c>
      <c r="P18" s="7">
        <f>_xlfn.RANK.EQ(View_Table[[#This Row],[Weighted Win% Previous]], View_Table[Weighted Win% Previous], 0)</f>
        <v>11</v>
      </c>
    </row>
    <row r="19" spans="2:16" hidden="1" x14ac:dyDescent="0.45">
      <c r="B19" s="3" t="s">
        <v>296</v>
      </c>
      <c r="C19" s="6">
        <f>View_Table[[#This Row],[Rank Previous]]-View_Table[[#This Row],[Rank]]</f>
        <v>0</v>
      </c>
      <c r="D19" s="7">
        <f>_xlfn.RANK.EQ(View_Table[[#This Row],[Weighted Win%]], View_Table[Weighted Win%], 0)</f>
        <v>39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39</v>
      </c>
    </row>
    <row r="20" spans="2:16" hidden="1" x14ac:dyDescent="0.45">
      <c r="B20" s="3" t="s">
        <v>607</v>
      </c>
      <c r="C20" s="6">
        <f>View_Table[[#This Row],[Rank Previous]]-View_Table[[#This Row],[Rank]]</f>
        <v>0</v>
      </c>
      <c r="D20" s="7">
        <f>_xlfn.RANK.EQ(View_Table[[#This Row],[Weighted Win%]], View_Table[Weighted Win%], 0)</f>
        <v>39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39</v>
      </c>
    </row>
    <row r="21" spans="2:16" hidden="1" x14ac:dyDescent="0.45">
      <c r="B21" s="3" t="s">
        <v>22</v>
      </c>
      <c r="C21" s="6">
        <f>View_Table[[#This Row],[Rank Previous]]-View_Table[[#This Row],[Rank]]</f>
        <v>0</v>
      </c>
      <c r="D21" s="7">
        <f>_xlfn.RANK.EQ(View_Table[[#This Row],[Weighted Win%]], View_Table[Weighted Win%], 0)</f>
        <v>39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39</v>
      </c>
    </row>
    <row r="22" spans="2:16" x14ac:dyDescent="0.45">
      <c r="B22" s="3" t="s">
        <v>9</v>
      </c>
      <c r="C22" s="6">
        <f>View_Table[[#This Row],[Rank Previous]]-View_Table[[#This Row],[Rank]]</f>
        <v>0</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0.27083333333333331</v>
      </c>
      <c r="G22" s="5">
        <f>IFERROR(
    GETPIVOTDATA(
        "Result",
        'Pivot Table'!$A$3,
        "Player",View_Table[[#This Row],[Player]],
        "Result","Win"
    ),
    0
)</f>
        <v>3</v>
      </c>
      <c r="H22" s="5">
        <f>IFERROR(
    GETPIVOTDATA(
        "Result",
        'Pivot Table'!$A$3,
        "Player",View_Table[[#This Row],[Player]],
        "Result","Loss"
    ),
    0
)</f>
        <v>7</v>
      </c>
      <c r="I22" s="5">
        <f>IFERROR(
    GETPIVOTDATA(
        "Result",
        'Pivot Table'!$A$3,
        "Player",View_Table[[#This Row],[Player]],
        "Result","Draw"
    ),
    0
)</f>
        <v>14</v>
      </c>
      <c r="J22" s="5">
        <f>View_Table[[#This Row],[Wins]]+View_Table[[#This Row],[Losses]]+View_Table[[#This Row],[Draws]]</f>
        <v>24</v>
      </c>
      <c r="K22" s="7">
        <f>IFERROR(
    GETPIVOTDATA(
        "Result",
        'Pivot Table Previous'!$A$3,
        "Player",View_Table[[#This Row],[Player]],
        "Result","Win"
    ),
    0
)</f>
        <v>3</v>
      </c>
      <c r="L22" s="5">
        <f>IFERROR(
    GETPIVOTDATA(
        "Result",
        'Pivot Table Previous'!$A$3,
        "Player",View_Table[[#This Row],[Player]],
        "Result","Loss"
    ),
    0
)</f>
        <v>7</v>
      </c>
      <c r="M22" s="5">
        <f>IFERROR(
    GETPIVOTDATA(
        "Result",
        'Pivot Table Previous'!$A$3,
        "Player",View_Table[[#This Row],[Player]],
        "Result","Draw"
    ),
    0
)</f>
        <v>14</v>
      </c>
      <c r="N22" s="5">
        <f>View_Table[[#This Row],[Wins Previous]]+View_Table[[#This Row],[Losses Previous]]+View_Table[[#This Row],[Draws Previous]]</f>
        <v>24</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11</v>
      </c>
    </row>
    <row r="23" spans="2:16" hidden="1" x14ac:dyDescent="0.45">
      <c r="B23" s="3" t="s">
        <v>432</v>
      </c>
      <c r="C23" s="6">
        <f>View_Table[[#This Row],[Rank Previous]]-View_Table[[#This Row],[Rank]]</f>
        <v>0</v>
      </c>
      <c r="D23" s="7">
        <f>_xlfn.RANK.EQ(View_Table[[#This Row],[Weighted Win%]], View_Table[Weighted Win%], 0)</f>
        <v>39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39</v>
      </c>
    </row>
    <row r="24" spans="2:16" hidden="1" x14ac:dyDescent="0.45">
      <c r="B24" s="3" t="s">
        <v>400</v>
      </c>
      <c r="C24" s="6">
        <f>View_Table[[#This Row],[Rank Previous]]-View_Table[[#This Row],[Rank]]</f>
        <v>0</v>
      </c>
      <c r="D24" s="7">
        <f>_xlfn.RANK.EQ(View_Table[[#This Row],[Weighted Win%]], View_Table[Weighted Win%], 0)</f>
        <v>39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39</v>
      </c>
    </row>
    <row r="25" spans="2:16" hidden="1" x14ac:dyDescent="0.45">
      <c r="B25" s="3" t="s">
        <v>406</v>
      </c>
      <c r="C25" s="6">
        <f>View_Table[[#This Row],[Rank Previous]]-View_Table[[#This Row],[Rank]]</f>
        <v>0</v>
      </c>
      <c r="D25" s="7">
        <f>_xlfn.RANK.EQ(View_Table[[#This Row],[Weighted Win%]], View_Table[Weighted Win%], 0)</f>
        <v>39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39</v>
      </c>
    </row>
    <row r="26" spans="2:16" hidden="1" x14ac:dyDescent="0.45">
      <c r="B26" s="3" t="s">
        <v>386</v>
      </c>
      <c r="C26" s="6">
        <f>View_Table[[#This Row],[Rank Previous]]-View_Table[[#This Row],[Rank]]</f>
        <v>0</v>
      </c>
      <c r="D26" s="7">
        <f>_xlfn.RANK.EQ(View_Table[[#This Row],[Weighted Win%]], View_Table[Weighted Win%], 0)</f>
        <v>39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39</v>
      </c>
    </row>
    <row r="27" spans="2:16" hidden="1" x14ac:dyDescent="0.45">
      <c r="B27" s="3" t="s">
        <v>43</v>
      </c>
      <c r="C27" s="6">
        <f>View_Table[[#This Row],[Rank Previous]]-View_Table[[#This Row],[Rank]]</f>
        <v>0</v>
      </c>
      <c r="D27" s="7">
        <f>_xlfn.RANK.EQ(View_Table[[#This Row],[Weighted Win%]], View_Table[Weighted Win%], 0)</f>
        <v>39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39</v>
      </c>
    </row>
    <row r="28" spans="2:16" hidden="1" x14ac:dyDescent="0.45">
      <c r="B28" s="3" t="s">
        <v>323</v>
      </c>
      <c r="C28" s="6">
        <f>View_Table[[#This Row],[Rank Previous]]-View_Table[[#This Row],[Rank]]</f>
        <v>0</v>
      </c>
      <c r="D28" s="7">
        <f>_xlfn.RANK.EQ(View_Table[[#This Row],[Weighted Win%]], View_Table[Weighted Win%], 0)</f>
        <v>39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39</v>
      </c>
    </row>
    <row r="29" spans="2:16" hidden="1" x14ac:dyDescent="0.45">
      <c r="B29" s="3" t="s">
        <v>324</v>
      </c>
      <c r="C29" s="6">
        <f>View_Table[[#This Row],[Rank Previous]]-View_Table[[#This Row],[Rank]]</f>
        <v>0</v>
      </c>
      <c r="D29" s="7">
        <f>_xlfn.RANK.EQ(View_Table[[#This Row],[Weighted Win%]], View_Table[Weighted Win%], 0)</f>
        <v>39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39</v>
      </c>
    </row>
    <row r="30" spans="2:16" x14ac:dyDescent="0.45">
      <c r="B30" s="3" t="s">
        <v>326</v>
      </c>
      <c r="C30" s="6">
        <f>View_Table[[#This Row],[Rank Previous]]-View_Table[[#This Row],[Rank]]</f>
        <v>0</v>
      </c>
      <c r="D30" s="7">
        <f>_xlfn.RANK.EQ(View_Table[[#This Row],[Weighted Win%]], View_Table[Weighted Win%], 0)</f>
        <v>11</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0.3125</v>
      </c>
      <c r="G30" s="5">
        <f>IFERROR(
    GETPIVOTDATA(
        "Result",
        'Pivot Table'!$A$3,
        "Player",View_Table[[#This Row],[Player]],
        "Result","Win"
    ),
    0
)</f>
        <v>2</v>
      </c>
      <c r="H30" s="5">
        <f>IFERROR(
    GETPIVOTDATA(
        "Result",
        'Pivot Table'!$A$3,
        "Player",View_Table[[#This Row],[Player]],
        "Result","Loss"
    ),
    0
)</f>
        <v>4</v>
      </c>
      <c r="I30" s="5">
        <f>IFERROR(
    GETPIVOTDATA(
        "Result",
        'Pivot Table'!$A$3,
        "Player",View_Table[[#This Row],[Player]],
        "Result","Draw"
    ),
    0
)</f>
        <v>2</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2</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11</v>
      </c>
    </row>
    <row r="31" spans="2:16" hidden="1" x14ac:dyDescent="0.45">
      <c r="B31" s="3" t="s">
        <v>478</v>
      </c>
      <c r="C31" s="6">
        <f>View_Table[[#This Row],[Rank Previous]]-View_Table[[#This Row],[Rank]]</f>
        <v>0</v>
      </c>
      <c r="D31" s="7">
        <f>_xlfn.RANK.EQ(View_Table[[#This Row],[Weighted Win%]], View_Table[Weighted Win%], 0)</f>
        <v>39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39</v>
      </c>
    </row>
    <row r="32" spans="2:16" hidden="1" x14ac:dyDescent="0.45">
      <c r="B32" s="3" t="s">
        <v>401</v>
      </c>
      <c r="C32" s="6">
        <f>View_Table[[#This Row],[Rank Previous]]-View_Table[[#This Row],[Rank]]</f>
        <v>0</v>
      </c>
      <c r="D32" s="7">
        <f>_xlfn.RANK.EQ(View_Table[[#This Row],[Weighted Win%]], View_Table[Weighted Win%], 0)</f>
        <v>39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39</v>
      </c>
    </row>
    <row r="33" spans="2:16" hidden="1" x14ac:dyDescent="0.45">
      <c r="B33" s="3" t="s">
        <v>403</v>
      </c>
      <c r="C33" s="6">
        <f>View_Table[[#This Row],[Rank Previous]]-View_Table[[#This Row],[Rank]]</f>
        <v>0</v>
      </c>
      <c r="D33" s="7">
        <f>_xlfn.RANK.EQ(View_Table[[#This Row],[Weighted Win%]], View_Table[Weighted Win%], 0)</f>
        <v>39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39</v>
      </c>
    </row>
    <row r="34" spans="2:16" x14ac:dyDescent="0.45">
      <c r="B34" s="3" t="s">
        <v>622</v>
      </c>
      <c r="C34" s="6">
        <f>View_Table[[#This Row],[Rank Previous]]-View_Table[[#This Row],[Rank]]</f>
        <v>0</v>
      </c>
      <c r="D34" s="7">
        <f>_xlfn.RANK.EQ(View_Table[[#This Row],[Weighted Win%]], View_Table[Weighted Win%], 0)</f>
        <v>14</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14</v>
      </c>
    </row>
    <row r="35" spans="2:16" x14ac:dyDescent="0.45">
      <c r="B35" s="3" t="s">
        <v>464</v>
      </c>
      <c r="C35" s="6">
        <f>View_Table[[#This Row],[Rank Previous]]-View_Table[[#This Row],[Rank]]</f>
        <v>0</v>
      </c>
      <c r="D35" s="7">
        <f>_xlfn.RANK.EQ(View_Table[[#This Row],[Weighted Win%]], View_Table[Weighted Win%], 0)</f>
        <v>14</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14</v>
      </c>
    </row>
    <row r="36" spans="2:16" hidden="1" x14ac:dyDescent="0.45">
      <c r="B36" s="3" t="s">
        <v>59</v>
      </c>
      <c r="C36" s="6">
        <f>View_Table[[#This Row],[Rank Previous]]-View_Table[[#This Row],[Rank]]</f>
        <v>0</v>
      </c>
      <c r="D36" s="7">
        <f>_xlfn.RANK.EQ(View_Table[[#This Row],[Weighted Win%]], View_Table[Weighted Win%], 0)</f>
        <v>39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39</v>
      </c>
    </row>
    <row r="37" spans="2:16" hidden="1" x14ac:dyDescent="0.45">
      <c r="B37" s="3" t="s">
        <v>437</v>
      </c>
      <c r="C37" s="6">
        <f>View_Table[[#This Row],[Rank Previous]]-View_Table[[#This Row],[Rank]]</f>
        <v>0</v>
      </c>
      <c r="D37" s="7">
        <f>_xlfn.RANK.EQ(View_Table[[#This Row],[Weighted Win%]], View_Table[Weighted Win%], 0)</f>
        <v>39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39</v>
      </c>
    </row>
    <row r="38" spans="2:16" x14ac:dyDescent="0.45">
      <c r="B38" s="3" t="s">
        <v>703</v>
      </c>
      <c r="C38" s="6">
        <f>View_Table[[#This Row],[Rank Previous]]-View_Table[[#This Row],[Rank]]</f>
        <v>0</v>
      </c>
      <c r="D38" s="7">
        <f>_xlfn.RANK.EQ(View_Table[[#This Row],[Weighted Win%]], View_Table[Weighted Win%], 0)</f>
        <v>14</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14</v>
      </c>
    </row>
    <row r="39" spans="2:16" hidden="1" x14ac:dyDescent="0.45">
      <c r="B39" s="3" t="s">
        <v>365</v>
      </c>
      <c r="C39" s="6">
        <f>View_Table[[#This Row],[Rank Previous]]-View_Table[[#This Row],[Rank]]</f>
        <v>0</v>
      </c>
      <c r="D39" s="7">
        <f>_xlfn.RANK.EQ(View_Table[[#This Row],[Weighted Win%]], View_Table[Weighted Win%], 0)</f>
        <v>39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39</v>
      </c>
    </row>
    <row r="40" spans="2:16" hidden="1" x14ac:dyDescent="0.45">
      <c r="B40" s="3" t="s">
        <v>463</v>
      </c>
      <c r="C40" s="6">
        <f>View_Table[[#This Row],[Rank Previous]]-View_Table[[#This Row],[Rank]]</f>
        <v>0</v>
      </c>
      <c r="D40" s="7">
        <f>_xlfn.RANK.EQ(View_Table[[#This Row],[Weighted Win%]], View_Table[Weighted Win%], 0)</f>
        <v>39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39</v>
      </c>
    </row>
    <row r="41" spans="2:16" hidden="1" x14ac:dyDescent="0.45">
      <c r="B41" s="3" t="s">
        <v>42</v>
      </c>
      <c r="C41" s="6">
        <f>View_Table[[#This Row],[Rank Previous]]-View_Table[[#This Row],[Rank]]</f>
        <v>0</v>
      </c>
      <c r="D41" s="7">
        <f>_xlfn.RANK.EQ(View_Table[[#This Row],[Weighted Win%]], View_Table[Weighted Win%], 0)</f>
        <v>20</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20</v>
      </c>
    </row>
    <row r="42" spans="2:16" x14ac:dyDescent="0.45">
      <c r="B42" s="3" t="s">
        <v>402</v>
      </c>
      <c r="C42" s="6">
        <f>View_Table[[#This Row],[Rank Previous]]-View_Table[[#This Row],[Rank]]</f>
        <v>0</v>
      </c>
      <c r="D42" s="7">
        <f>_xlfn.RANK.EQ(View_Table[[#This Row],[Weighted Win%]], View_Table[Weighted Win%], 0)</f>
        <v>14</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1</v>
      </c>
      <c r="H42" s="5">
        <f>IFERROR(
    GETPIVOTDATA(
        "Result",
        'Pivot Table'!$A$3,
        "Player",View_Table[[#This Row],[Player]],
        "Result","Loss"
    ),
    0
)</f>
        <v>3</v>
      </c>
      <c r="I42" s="5">
        <f>IFERROR(
    GETPIVOTDATA(
        "Result",
        'Pivot Table'!$A$3,
        "Player",View_Table[[#This Row],[Player]],
        "Result","Draw"
    ),
    0
)</f>
        <v>2</v>
      </c>
      <c r="J42" s="5">
        <f>View_Table[[#This Row],[Wins]]+View_Table[[#This Row],[Losses]]+View_Table[[#This Row],[Draws]]</f>
        <v>6</v>
      </c>
      <c r="K42" s="7">
        <f>IFERROR(
    GETPIVOTDATA(
        "Result",
        'Pivot Table Previous'!$A$3,
        "Player",View_Table[[#This Row],[Player]],
        "Result","Win"
    ),
    0
)</f>
        <v>1</v>
      </c>
      <c r="L42" s="5">
        <f>IFERROR(
    GETPIVOTDATA(
        "Result",
        'Pivot Table Previous'!$A$3,
        "Player",View_Table[[#This Row],[Player]],
        "Result","Loss"
    ),
    0
)</f>
        <v>3</v>
      </c>
      <c r="M42" s="5">
        <f>IFERROR(
    GETPIVOTDATA(
        "Result",
        'Pivot Table Previous'!$A$3,
        "Player",View_Table[[#This Row],[Player]],
        "Result","Draw"
    ),
    0
)</f>
        <v>2</v>
      </c>
      <c r="N42" s="5">
        <f>View_Table[[#This Row],[Wins Previous]]+View_Table[[#This Row],[Losses Previous]]+View_Table[[#This Row],[Draws Previous]]</f>
        <v>6</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14</v>
      </c>
    </row>
    <row r="43" spans="2:16" x14ac:dyDescent="0.45">
      <c r="B43" s="3" t="s">
        <v>351</v>
      </c>
      <c r="C43" s="6">
        <f>View_Table[[#This Row],[Rank Previous]]-View_Table[[#This Row],[Rank]]</f>
        <v>0</v>
      </c>
      <c r="D43" s="7">
        <f>_xlfn.RANK.EQ(View_Table[[#This Row],[Weighted Win%]], View_Table[Weighted Win%], 0)</f>
        <v>14</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2</v>
      </c>
      <c r="H43" s="5">
        <f>IFERROR(
    GETPIVOTDATA(
        "Result",
        'Pivot Table'!$A$3,
        "Player",View_Table[[#This Row],[Player]],
        "Result","Loss"
    ),
    0
)</f>
        <v>6</v>
      </c>
      <c r="I43" s="5">
        <f>IFERROR(
    GETPIVOTDATA(
        "Result",
        'Pivot Table'!$A$3,
        "Player",View_Table[[#This Row],[Player]],
        "Result","Draw"
    ),
    0
)</f>
        <v>10</v>
      </c>
      <c r="J43" s="5">
        <f>View_Table[[#This Row],[Wins]]+View_Table[[#This Row],[Losses]]+View_Table[[#This Row],[Draws]]</f>
        <v>18</v>
      </c>
      <c r="K43" s="7">
        <f>IFERROR(
    GETPIVOTDATA(
        "Result",
        'Pivot Table Previous'!$A$3,
        "Player",View_Table[[#This Row],[Player]],
        "Result","Win"
    ),
    0
)</f>
        <v>2</v>
      </c>
      <c r="L43" s="5">
        <f>IFERROR(
    GETPIVOTDATA(
        "Result",
        'Pivot Table Previous'!$A$3,
        "Player",View_Table[[#This Row],[Player]],
        "Result","Loss"
    ),
    0
)</f>
        <v>6</v>
      </c>
      <c r="M43" s="5">
        <f>IFERROR(
    GETPIVOTDATA(
        "Result",
        'Pivot Table Previous'!$A$3,
        "Player",View_Table[[#This Row],[Player]],
        "Result","Draw"
    ),
    0
)</f>
        <v>10</v>
      </c>
      <c r="N43" s="5">
        <f>View_Table[[#This Row],[Wins Previous]]+View_Table[[#This Row],[Losses Previous]]+View_Table[[#This Row],[Draws Previous]]</f>
        <v>18</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14</v>
      </c>
    </row>
    <row r="44" spans="2:16" x14ac:dyDescent="0.45">
      <c r="B44" s="3" t="s">
        <v>404</v>
      </c>
      <c r="C44" s="6">
        <f>View_Table[[#This Row],[Rank Previous]]-View_Table[[#This Row],[Rank]]</f>
        <v>0</v>
      </c>
      <c r="D44" s="7">
        <f>_xlfn.RANK.EQ(View_Table[[#This Row],[Weighted Win%]], View_Table[Weighted Win%], 0)</f>
        <v>19</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1</v>
      </c>
      <c r="I44" s="5">
        <f>IFERROR(
    GETPIVOTDATA(
        "Result",
        'Pivot Table'!$A$3,
        "Player",View_Table[[#This Row],[Player]],
        "Result","Draw"
    ),
    0
)</f>
        <v>0</v>
      </c>
      <c r="J44" s="5">
        <f>View_Table[[#This Row],[Wins]]+View_Table[[#This Row],[Losses]]+View_Table[[#This Row],[Draws]]</f>
        <v>1</v>
      </c>
      <c r="K44" s="7">
        <f>IFERROR(
    GETPIVOTDATA(
        "Result",
        'Pivot Table Previous'!$A$3,
        "Player",View_Table[[#This Row],[Player]],
        "Result","Win"
    ),
    0
)</f>
        <v>0</v>
      </c>
      <c r="L44" s="5">
        <f>IFERROR(
    GETPIVOTDATA(
        "Result",
        'Pivot Table Previous'!$A$3,
        "Player",View_Table[[#This Row],[Player]],
        "Result","Loss"
    ),
    0
)</f>
        <v>1</v>
      </c>
      <c r="M44" s="5">
        <f>IFERROR(
    GETPIVOTDATA(
        "Result",
        'Pivot Table Previous'!$A$3,
        "Player",View_Table[[#This Row],[Player]],
        "Result","Draw"
    ),
    0
)</f>
        <v>0</v>
      </c>
      <c r="N44" s="5">
        <f>View_Table[[#This Row],[Wins Previous]]+View_Table[[#This Row],[Losses Previous]]+View_Table[[#This Row],[Draws Previous]]</f>
        <v>1</v>
      </c>
      <c r="O44" s="9">
        <f>_xlfn.LET(_xlpm.g,View_Table[[#This Row],[Games Previous]], _xlpm.w,(View_Table[[#This Row],[Wins Previous]] + View_Table[[#This Row],[Draws Previous]] * 0.25), _xlpm.fake, MAX(0,25-_xlpm.g), IF(_xlpm.g=0,0,(_xlpm.w + _xlpm.fake*0.25)/(_xlpm.g + _xlpm.fake)))</f>
        <v>0.24</v>
      </c>
      <c r="P44" s="7">
        <f>_xlfn.RANK.EQ(View_Table[[#This Row],[Weighted Win% Previous]], View_Table[Weighted Win% Previous], 0)</f>
        <v>19</v>
      </c>
    </row>
    <row r="45" spans="2:16" x14ac:dyDescent="0.45">
      <c r="B45" s="3" t="s">
        <v>734</v>
      </c>
      <c r="C45" s="6">
        <f>View_Table[[#This Row],[Rank Previous]]-View_Table[[#This Row],[Rank]]</f>
        <v>0</v>
      </c>
      <c r="D45" s="7">
        <f>_xlfn.RANK.EQ(View_Table[[#This Row],[Weighted Win%]], View_Table[Weighted Win%], 0)</f>
        <v>20</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2</v>
      </c>
      <c r="J45" s="5">
        <f>View_Table[[#This Row],[Wins]]+View_Table[[#This Row],[Losses]]+View_Table[[#This Row],[Draws]]</f>
        <v>4</v>
      </c>
      <c r="K45" s="7">
        <f>IFERROR(
    GETPIVOTDATA(
        "Result",
        'Pivot Table Previous'!$A$3,
        "Player",View_Table[[#This Row],[Player]],
        "Result","Win"
    ),
    0
)</f>
        <v>0</v>
      </c>
      <c r="L45" s="5">
        <f>IFERROR(
    GETPIVOTDATA(
        "Result",
        'Pivot Table Previous'!$A$3,
        "Player",View_Table[[#This Row],[Player]],
        "Result","Loss"
    ),
    0
)</f>
        <v>2</v>
      </c>
      <c r="M45" s="5">
        <f>IFERROR(
    GETPIVOTDATA(
        "Result",
        'Pivot Table Previous'!$A$3,
        "Player",View_Table[[#This Row],[Player]],
        "Result","Draw"
    ),
    0
)</f>
        <v>2</v>
      </c>
      <c r="N45" s="5">
        <f>View_Table[[#This Row],[Wins Previous]]+View_Table[[#This Row],[Losses Previous]]+View_Table[[#This Row],[Draws Previous]]</f>
        <v>4</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20</v>
      </c>
    </row>
    <row r="46" spans="2:16" hidden="1" x14ac:dyDescent="0.45">
      <c r="B46" s="3" t="s">
        <v>30</v>
      </c>
      <c r="C46" s="6">
        <f>View_Table[[#This Row],[Rank Previous]]-View_Table[[#This Row],[Rank]]</f>
        <v>0</v>
      </c>
      <c r="D46" s="7">
        <f>_xlfn.RANK.EQ(View_Table[[#This Row],[Weighted Win%]], View_Table[Weighted Win%], 0)</f>
        <v>39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39</v>
      </c>
    </row>
    <row r="47" spans="2:16" hidden="1" x14ac:dyDescent="0.45">
      <c r="B47" s="3" t="s">
        <v>541</v>
      </c>
      <c r="C47" s="6">
        <f>View_Table[[#This Row],[Rank Previous]]-View_Table[[#This Row],[Rank]]</f>
        <v>0</v>
      </c>
      <c r="D47" s="7">
        <f>_xlfn.RANK.EQ(View_Table[[#This Row],[Weighted Win%]], View_Table[Weighted Win%], 0)</f>
        <v>39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39</v>
      </c>
    </row>
    <row r="48" spans="2:16" hidden="1" x14ac:dyDescent="0.45">
      <c r="B48" s="3" t="s">
        <v>46</v>
      </c>
      <c r="C48" s="6">
        <f>View_Table[[#This Row],[Rank Previous]]-View_Table[[#This Row],[Rank]]</f>
        <v>0</v>
      </c>
      <c r="D48" s="7">
        <f>_xlfn.RANK.EQ(View_Table[[#This Row],[Weighted Win%]], View_Table[Weighted Win%], 0)</f>
        <v>39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39</v>
      </c>
    </row>
    <row r="49" spans="2:16" hidden="1" x14ac:dyDescent="0.45">
      <c r="B49" s="3" t="s">
        <v>542</v>
      </c>
      <c r="C49" s="6">
        <f>View_Table[[#This Row],[Rank Previous]]-View_Table[[#This Row],[Rank]]</f>
        <v>0</v>
      </c>
      <c r="D49" s="7">
        <f>_xlfn.RANK.EQ(View_Table[[#This Row],[Weighted Win%]], View_Table[Weighted Win%], 0)</f>
        <v>39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39</v>
      </c>
    </row>
    <row r="50" spans="2:16" hidden="1" x14ac:dyDescent="0.45">
      <c r="B50" s="3" t="s">
        <v>57</v>
      </c>
      <c r="C50" s="6">
        <f>View_Table[[#This Row],[Rank Previous]]-View_Table[[#This Row],[Rank]]</f>
        <v>0</v>
      </c>
      <c r="D50" s="7">
        <f>_xlfn.RANK.EQ(View_Table[[#This Row],[Weighted Win%]], View_Table[Weighted Win%], 0)</f>
        <v>39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39</v>
      </c>
    </row>
    <row r="51" spans="2:16" hidden="1" x14ac:dyDescent="0.45">
      <c r="B51" s="3" t="s">
        <v>591</v>
      </c>
      <c r="C51" s="6">
        <f>View_Table[[#This Row],[Rank Previous]]-View_Table[[#This Row],[Rank]]</f>
        <v>0</v>
      </c>
      <c r="D51" s="7">
        <f>_xlfn.RANK.EQ(View_Table[[#This Row],[Weighted Win%]], View_Table[Weighted Win%], 0)</f>
        <v>39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39</v>
      </c>
    </row>
    <row r="52" spans="2:16" hidden="1" x14ac:dyDescent="0.45">
      <c r="B52" s="3" t="s">
        <v>61</v>
      </c>
      <c r="C52" s="6">
        <f>View_Table[[#This Row],[Rank Previous]]-View_Table[[#This Row],[Rank]]</f>
        <v>0</v>
      </c>
      <c r="D52" s="7">
        <f>_xlfn.RANK.EQ(View_Table[[#This Row],[Weighted Win%]], View_Table[Weighted Win%], 0)</f>
        <v>39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39</v>
      </c>
    </row>
    <row r="53" spans="2:16" hidden="1" x14ac:dyDescent="0.45">
      <c r="B53" s="3" t="s">
        <v>321</v>
      </c>
      <c r="C53" s="6">
        <f>View_Table[[#This Row],[Rank Previous]]-View_Table[[#This Row],[Rank]]</f>
        <v>0</v>
      </c>
      <c r="D53" s="7">
        <f>_xlfn.RANK.EQ(View_Table[[#This Row],[Weighted Win%]], View_Table[Weighted Win%], 0)</f>
        <v>39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39</v>
      </c>
    </row>
    <row r="54" spans="2:16" hidden="1" x14ac:dyDescent="0.45">
      <c r="B54" s="3" t="s">
        <v>38</v>
      </c>
      <c r="C54" s="6">
        <f>View_Table[[#This Row],[Rank Previous]]-View_Table[[#This Row],[Rank]]</f>
        <v>0</v>
      </c>
      <c r="D54" s="7">
        <f>_xlfn.RANK.EQ(View_Table[[#This Row],[Weighted Win%]], View_Table[Weighted Win%], 0)</f>
        <v>39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39</v>
      </c>
    </row>
    <row r="55" spans="2:16" hidden="1" x14ac:dyDescent="0.45">
      <c r="B55" s="3" t="s">
        <v>48</v>
      </c>
      <c r="C55" s="6">
        <f>View_Table[[#This Row],[Rank Previous]]-View_Table[[#This Row],[Rank]]</f>
        <v>0</v>
      </c>
      <c r="D55" s="7">
        <f>_xlfn.RANK.EQ(View_Table[[#This Row],[Weighted Win%]], View_Table[Weighted Win%], 0)</f>
        <v>39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39</v>
      </c>
    </row>
    <row r="56" spans="2:16" hidden="1" x14ac:dyDescent="0.45">
      <c r="B56" s="3" t="s">
        <v>608</v>
      </c>
      <c r="C56" s="6">
        <f>View_Table[[#This Row],[Rank Previous]]-View_Table[[#This Row],[Rank]]</f>
        <v>0</v>
      </c>
      <c r="D56" s="7">
        <f>_xlfn.RANK.EQ(View_Table[[#This Row],[Weighted Win%]], View_Table[Weighted Win%], 0)</f>
        <v>20</v>
      </c>
      <c r="E56" s="9">
        <f>_xlfn.LET(_xlpm.g,View_Table[[#This Row],[Games]], _xlpm.w,(View_Table[[#This Row],[Wins]] + View_Table[[#This Row],[Draws]] * 0.25), _xlpm.fake, MAX(0,25-_xlpm.g), IF(_xlpm.g=0,0,(_xlpm.w + _xlpm.fake*0.25)/(_xlpm.g + _xlpm.fake)))</f>
        <v>0.23</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2</v>
      </c>
      <c r="I56" s="5">
        <f>IFERROR(
    GETPIVOTDATA(
        "Result",
        'Pivot Table'!$A$3,
        "Player",View_Table[[#This Row],[Player]],
        "Result","Draw"
    ),
    0
)</f>
        <v>0</v>
      </c>
      <c r="J56" s="5">
        <f>View_Table[[#This Row],[Wins]]+View_Table[[#This Row],[Losses]]+View_Table[[#This Row],[Draws]]</f>
        <v>2</v>
      </c>
      <c r="K56" s="7">
        <f>IFERROR(
    GETPIVOTDATA(
        "Result",
        'Pivot Table Previous'!$A$3,
        "Player",View_Table[[#This Row],[Player]],
        "Result","Win"
    ),
    0
)</f>
        <v>0</v>
      </c>
      <c r="L56" s="5">
        <f>IFERROR(
    GETPIVOTDATA(
        "Result",
        'Pivot Table Previous'!$A$3,
        "Player",View_Table[[#This Row],[Player]],
        "Result","Loss"
    ),
    0
)</f>
        <v>2</v>
      </c>
      <c r="M56" s="5">
        <f>IFERROR(
    GETPIVOTDATA(
        "Result",
        'Pivot Table Previous'!$A$3,
        "Player",View_Table[[#This Row],[Player]],
        "Result","Draw"
    ),
    0
)</f>
        <v>0</v>
      </c>
      <c r="N56" s="5">
        <f>View_Table[[#This Row],[Wins Previous]]+View_Table[[#This Row],[Losses Previous]]+View_Table[[#This Row],[Draws Previous]]</f>
        <v>2</v>
      </c>
      <c r="O56" s="9">
        <f>_xlfn.LET(_xlpm.g,View_Table[[#This Row],[Games Previous]], _xlpm.w,(View_Table[[#This Row],[Wins Previous]] + View_Table[[#This Row],[Draws Previous]] * 0.25), _xlpm.fake, MAX(0,25-_xlpm.g), IF(_xlpm.g=0,0,(_xlpm.w + _xlpm.fake*0.25)/(_xlpm.g + _xlpm.fake)))</f>
        <v>0.23</v>
      </c>
      <c r="P56" s="7">
        <f>_xlfn.RANK.EQ(View_Table[[#This Row],[Weighted Win% Previous]], View_Table[Weighted Win% Previous], 0)</f>
        <v>20</v>
      </c>
    </row>
    <row r="57" spans="2:16" hidden="1" x14ac:dyDescent="0.45">
      <c r="B57" s="3" t="s">
        <v>62</v>
      </c>
      <c r="C57" s="6">
        <f>View_Table[[#This Row],[Rank Previous]]-View_Table[[#This Row],[Rank]]</f>
        <v>0</v>
      </c>
      <c r="D57" s="7">
        <f>_xlfn.RANK.EQ(View_Table[[#This Row],[Weighted Win%]], View_Table[Weighted Win%], 0)</f>
        <v>39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39</v>
      </c>
    </row>
    <row r="58" spans="2:16" hidden="1" x14ac:dyDescent="0.45">
      <c r="B58" s="3" t="s">
        <v>54</v>
      </c>
      <c r="C58" s="6">
        <f>View_Table[[#This Row],[Rank Previous]]-View_Table[[#This Row],[Rank]]</f>
        <v>0</v>
      </c>
      <c r="D58" s="7">
        <f>_xlfn.RANK.EQ(View_Table[[#This Row],[Weighted Win%]], View_Table[Weighted Win%], 0)</f>
        <v>39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39</v>
      </c>
    </row>
    <row r="59" spans="2:16" hidden="1" x14ac:dyDescent="0.45">
      <c r="B59" s="3" t="s">
        <v>60</v>
      </c>
      <c r="C59" s="6">
        <f>View_Table[[#This Row],[Rank Previous]]-View_Table[[#This Row],[Rank]]</f>
        <v>0</v>
      </c>
      <c r="D59" s="7">
        <f>_xlfn.RANK.EQ(View_Table[[#This Row],[Weighted Win%]], View_Table[Weighted Win%], 0)</f>
        <v>39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39</v>
      </c>
    </row>
    <row r="60" spans="2:16" hidden="1" x14ac:dyDescent="0.45">
      <c r="B60" s="3" t="s">
        <v>85</v>
      </c>
      <c r="C60" s="6">
        <f>View_Table[[#This Row],[Rank Previous]]-View_Table[[#This Row],[Rank]]</f>
        <v>0</v>
      </c>
      <c r="D60" s="7">
        <f>_xlfn.RANK.EQ(View_Table[[#This Row],[Weighted Win%]], View_Table[Weighted Win%], 0)</f>
        <v>39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39</v>
      </c>
    </row>
    <row r="61" spans="2:16" hidden="1" x14ac:dyDescent="0.45">
      <c r="B61" s="3" t="s">
        <v>47</v>
      </c>
      <c r="C61" s="6">
        <f>View_Table[[#This Row],[Rank Previous]]-View_Table[[#This Row],[Rank]]</f>
        <v>0</v>
      </c>
      <c r="D61" s="7">
        <f>_xlfn.RANK.EQ(View_Table[[#This Row],[Weighted Win%]], View_Table[Weighted Win%], 0)</f>
        <v>39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39</v>
      </c>
    </row>
    <row r="62" spans="2:16" hidden="1" x14ac:dyDescent="0.45">
      <c r="B62" s="3" t="s">
        <v>50</v>
      </c>
      <c r="C62" s="6">
        <f>View_Table[[#This Row],[Rank Previous]]-View_Table[[#This Row],[Rank]]</f>
        <v>0</v>
      </c>
      <c r="D62" s="7">
        <f>_xlfn.RANK.EQ(View_Table[[#This Row],[Weighted Win%]], View_Table[Weighted Win%], 0)</f>
        <v>39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39</v>
      </c>
    </row>
    <row r="63" spans="2:16" hidden="1" x14ac:dyDescent="0.45">
      <c r="B63" s="3" t="s">
        <v>53</v>
      </c>
      <c r="C63" s="6">
        <f>View_Table[[#This Row],[Rank Previous]]-View_Table[[#This Row],[Rank]]</f>
        <v>0</v>
      </c>
      <c r="D63" s="7">
        <f>_xlfn.RANK.EQ(View_Table[[#This Row],[Weighted Win%]], View_Table[Weighted Win%], 0)</f>
        <v>39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39</v>
      </c>
    </row>
    <row r="64" spans="2:16" hidden="1" x14ac:dyDescent="0.45">
      <c r="B64" s="3" t="s">
        <v>56</v>
      </c>
      <c r="C64" s="6">
        <f>View_Table[[#This Row],[Rank Previous]]-View_Table[[#This Row],[Rank]]</f>
        <v>0</v>
      </c>
      <c r="D64" s="7">
        <f>_xlfn.RANK.EQ(View_Table[[#This Row],[Weighted Win%]], View_Table[Weighted Win%], 0)</f>
        <v>39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39</v>
      </c>
    </row>
    <row r="65" spans="2:16" hidden="1" x14ac:dyDescent="0.45">
      <c r="B65" s="3" t="s">
        <v>58</v>
      </c>
      <c r="C65" s="6">
        <f>View_Table[[#This Row],[Rank Previous]]-View_Table[[#This Row],[Rank]]</f>
        <v>0</v>
      </c>
      <c r="D65" s="7">
        <f>_xlfn.RANK.EQ(View_Table[[#This Row],[Weighted Win%]], View_Table[Weighted Win%], 0)</f>
        <v>39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39</v>
      </c>
    </row>
    <row r="66" spans="2:16" x14ac:dyDescent="0.45">
      <c r="B66" s="3" t="s">
        <v>364</v>
      </c>
      <c r="C66" s="6">
        <f>View_Table[[#This Row],[Rank Previous]]-View_Table[[#This Row],[Rank]]</f>
        <v>0</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2</v>
      </c>
      <c r="N66" s="5">
        <f>View_Table[[#This Row],[Wins Previous]]+View_Table[[#This Row],[Losses Previous]]+View_Table[[#This Row],[Draws Previous]]</f>
        <v>4</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20</v>
      </c>
    </row>
    <row r="67" spans="2:16" hidden="1" x14ac:dyDescent="0.45">
      <c r="B67" s="3" t="s">
        <v>45</v>
      </c>
      <c r="C67" s="6">
        <f>View_Table[[#This Row],[Rank Previous]]-View_Table[[#This Row],[Rank]]</f>
        <v>0</v>
      </c>
      <c r="D67" s="7">
        <f>_xlfn.RANK.EQ(View_Table[[#This Row],[Weighted Win%]], View_Table[Weighted Win%], 0)</f>
        <v>39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39</v>
      </c>
    </row>
    <row r="68" spans="2:16" hidden="1" x14ac:dyDescent="0.45">
      <c r="B68" s="3" t="s">
        <v>40</v>
      </c>
      <c r="C68" s="6">
        <f>View_Table[[#This Row],[Rank Previous]]-View_Table[[#This Row],[Rank]]</f>
        <v>0</v>
      </c>
      <c r="D68" s="7">
        <f>_xlfn.RANK.EQ(View_Table[[#This Row],[Weighted Win%]], View_Table[Weighted Win%], 0)</f>
        <v>39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39</v>
      </c>
    </row>
    <row r="69" spans="2:16" hidden="1" x14ac:dyDescent="0.45">
      <c r="B69" s="3" t="s">
        <v>55</v>
      </c>
      <c r="C69" s="6">
        <f>View_Table[[#This Row],[Rank Previous]]-View_Table[[#This Row],[Rank]]</f>
        <v>0</v>
      </c>
      <c r="D69" s="7">
        <f>_xlfn.RANK.EQ(View_Table[[#This Row],[Weighted Win%]], View_Table[Weighted Win%], 0)</f>
        <v>39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39</v>
      </c>
    </row>
    <row r="70" spans="2:16" hidden="1" x14ac:dyDescent="0.45">
      <c r="B70" s="3" t="s">
        <v>16</v>
      </c>
      <c r="C70" s="6">
        <f>View_Table[[#This Row],[Rank Previous]]-View_Table[[#This Row],[Rank]]</f>
        <v>0</v>
      </c>
      <c r="D70" s="7">
        <f>_xlfn.RANK.EQ(View_Table[[#This Row],[Weighted Win%]], View_Table[Weighted Win%], 0)</f>
        <v>39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39</v>
      </c>
    </row>
    <row r="71" spans="2:16" hidden="1" x14ac:dyDescent="0.45">
      <c r="B71" s="3" t="s">
        <v>21</v>
      </c>
      <c r="C71" s="6">
        <f>View_Table[[#This Row],[Rank Previous]]-View_Table[[#This Row],[Rank]]</f>
        <v>0</v>
      </c>
      <c r="D71" s="7">
        <f>_xlfn.RANK.EQ(View_Table[[#This Row],[Weighted Win%]], View_Table[Weighted Win%], 0)</f>
        <v>39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39</v>
      </c>
    </row>
    <row r="72" spans="2:16" hidden="1" x14ac:dyDescent="0.45">
      <c r="B72" s="3" t="s">
        <v>49</v>
      </c>
      <c r="C72" s="6">
        <f>View_Table[[#This Row],[Rank Previous]]-View_Table[[#This Row],[Rank]]</f>
        <v>0</v>
      </c>
      <c r="D72" s="7">
        <f>_xlfn.RANK.EQ(View_Table[[#This Row],[Weighted Win%]], View_Table[Weighted Win%], 0)</f>
        <v>39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39</v>
      </c>
    </row>
    <row r="73" spans="2:16" hidden="1" x14ac:dyDescent="0.45">
      <c r="B73" s="3" t="s">
        <v>12</v>
      </c>
      <c r="C73" s="6">
        <f>View_Table[[#This Row],[Rank Previous]]-View_Table[[#This Row],[Rank]]</f>
        <v>0</v>
      </c>
      <c r="D73" s="7">
        <f>_xlfn.RANK.EQ(View_Table[[#This Row],[Weighted Win%]], View_Table[Weighted Win%], 0)</f>
        <v>39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39</v>
      </c>
    </row>
    <row r="74" spans="2:16" hidden="1" x14ac:dyDescent="0.45">
      <c r="B74" s="3" t="s">
        <v>44</v>
      </c>
      <c r="C74" s="6">
        <f>View_Table[[#This Row],[Rank Previous]]-View_Table[[#This Row],[Rank]]</f>
        <v>0</v>
      </c>
      <c r="D74" s="7">
        <f>_xlfn.RANK.EQ(View_Table[[#This Row],[Weighted Win%]], View_Table[Weighted Win%], 0)</f>
        <v>39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39</v>
      </c>
    </row>
    <row r="75" spans="2:16" hidden="1" x14ac:dyDescent="0.45">
      <c r="B75" s="3" t="s">
        <v>29</v>
      </c>
      <c r="C75" s="6">
        <f>View_Table[[#This Row],[Rank Previous]]-View_Table[[#This Row],[Rank]]</f>
        <v>0</v>
      </c>
      <c r="D75" s="7">
        <f>_xlfn.RANK.EQ(View_Table[[#This Row],[Weighted Win%]], View_Table[Weighted Win%], 0)</f>
        <v>39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39</v>
      </c>
    </row>
    <row r="76" spans="2:16" hidden="1" x14ac:dyDescent="0.45">
      <c r="B76" s="3" t="s">
        <v>65</v>
      </c>
      <c r="C76" s="6">
        <f>View_Table[[#This Row],[Rank Previous]]-View_Table[[#This Row],[Rank]]</f>
        <v>0</v>
      </c>
      <c r="D76" s="7">
        <f>_xlfn.RANK.EQ(View_Table[[#This Row],[Weighted Win%]], View_Table[Weighted Win%], 0)</f>
        <v>39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39</v>
      </c>
    </row>
    <row r="77" spans="2:16" hidden="1" x14ac:dyDescent="0.45">
      <c r="B77" s="3" t="s">
        <v>76</v>
      </c>
      <c r="C77" s="6">
        <f>View_Table[[#This Row],[Rank Previous]]-View_Table[[#This Row],[Rank]]</f>
        <v>0</v>
      </c>
      <c r="D77" s="7">
        <f>_xlfn.RANK.EQ(View_Table[[#This Row],[Weighted Win%]], View_Table[Weighted Win%], 0)</f>
        <v>39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39</v>
      </c>
    </row>
    <row r="78" spans="2:16" hidden="1" x14ac:dyDescent="0.45">
      <c r="B78" s="3" t="s">
        <v>39</v>
      </c>
      <c r="C78" s="6">
        <f>View_Table[[#This Row],[Rank Previous]]-View_Table[[#This Row],[Rank]]</f>
        <v>0</v>
      </c>
      <c r="D78" s="7">
        <f>_xlfn.RANK.EQ(View_Table[[#This Row],[Weighted Win%]], View_Table[Weighted Win%], 0)</f>
        <v>39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39</v>
      </c>
    </row>
    <row r="79" spans="2:16" hidden="1" x14ac:dyDescent="0.45">
      <c r="B79" s="3" t="s">
        <v>18</v>
      </c>
      <c r="C79" s="6">
        <f>View_Table[[#This Row],[Rank Previous]]-View_Table[[#This Row],[Rank]]</f>
        <v>0</v>
      </c>
      <c r="D79" s="7">
        <f>_xlfn.RANK.EQ(View_Table[[#This Row],[Weighted Win%]], View_Table[Weighted Win%], 0)</f>
        <v>39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39</v>
      </c>
    </row>
    <row r="80" spans="2:16" hidden="1" x14ac:dyDescent="0.45">
      <c r="B80" s="3" t="s">
        <v>592</v>
      </c>
      <c r="C80" s="6">
        <f>View_Table[[#This Row],[Rank Previous]]-View_Table[[#This Row],[Rank]]</f>
        <v>0</v>
      </c>
      <c r="D80" s="7">
        <f>_xlfn.RANK.EQ(View_Table[[#This Row],[Weighted Win%]], View_Table[Weighted Win%], 0)</f>
        <v>39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39</v>
      </c>
    </row>
    <row r="81" spans="2:16" hidden="1" x14ac:dyDescent="0.45">
      <c r="B81" s="3" t="s">
        <v>539</v>
      </c>
      <c r="C81" s="6">
        <f>View_Table[[#This Row],[Rank Previous]]-View_Table[[#This Row],[Rank]]</f>
        <v>0</v>
      </c>
      <c r="D81" s="7">
        <f>_xlfn.RANK.EQ(View_Table[[#This Row],[Weighted Win%]], View_Table[Weighted Win%], 0)</f>
        <v>39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39</v>
      </c>
    </row>
    <row r="82" spans="2:16" x14ac:dyDescent="0.45">
      <c r="B82" s="3" t="s">
        <v>435</v>
      </c>
      <c r="C82" s="6">
        <f>View_Table[[#This Row],[Rank Previous]]-View_Table[[#This Row],[Rank]]</f>
        <v>0</v>
      </c>
      <c r="D82" s="7">
        <f>_xlfn.RANK.EQ(View_Table[[#This Row],[Weighted Win%]], View_Table[Weighted Win%], 0)</f>
        <v>20</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20</v>
      </c>
    </row>
    <row r="83" spans="2:16" x14ac:dyDescent="0.45">
      <c r="B83" s="3" t="s">
        <v>605</v>
      </c>
      <c r="C83" s="6">
        <f>View_Table[[#This Row],[Rank Previous]]-View_Table[[#This Row],[Rank]]</f>
        <v>0</v>
      </c>
      <c r="D83" s="7">
        <f>_xlfn.RANK.EQ(View_Table[[#This Row],[Weighted Win%]], View_Table[Weighted Win%], 0)</f>
        <v>20</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20</v>
      </c>
    </row>
    <row r="84" spans="2:16" hidden="1" x14ac:dyDescent="0.45">
      <c r="B84" s="3" t="s">
        <v>579</v>
      </c>
      <c r="C84" s="6">
        <f>View_Table[[#This Row],[Rank Previous]]-View_Table[[#This Row],[Rank]]</f>
        <v>0</v>
      </c>
      <c r="D84" s="7">
        <f>_xlfn.RANK.EQ(View_Table[[#This Row],[Weighted Win%]], View_Table[Weighted Win%], 0)</f>
        <v>39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39</v>
      </c>
    </row>
    <row r="85" spans="2:16" hidden="1" x14ac:dyDescent="0.45">
      <c r="B85" s="3" t="s">
        <v>590</v>
      </c>
      <c r="C85" s="6">
        <f>View_Table[[#This Row],[Rank Previous]]-View_Table[[#This Row],[Rank]]</f>
        <v>0</v>
      </c>
      <c r="D85" s="7">
        <f>_xlfn.RANK.EQ(View_Table[[#This Row],[Weighted Win%]], View_Table[Weighted Win%], 0)</f>
        <v>39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39</v>
      </c>
    </row>
    <row r="86" spans="2:16" hidden="1" x14ac:dyDescent="0.45">
      <c r="B86" s="3" t="s">
        <v>551</v>
      </c>
      <c r="C86" s="6">
        <f>View_Table[[#This Row],[Rank Previous]]-View_Table[[#This Row],[Rank]]</f>
        <v>0</v>
      </c>
      <c r="D86" s="7">
        <f>_xlfn.RANK.EQ(View_Table[[#This Row],[Weighted Win%]], View_Table[Weighted Win%], 0)</f>
        <v>39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39</v>
      </c>
    </row>
    <row r="87" spans="2:16" hidden="1" x14ac:dyDescent="0.45">
      <c r="B87" s="3" t="s">
        <v>552</v>
      </c>
      <c r="C87" s="6">
        <f>View_Table[[#This Row],[Rank Previous]]-View_Table[[#This Row],[Rank]]</f>
        <v>0</v>
      </c>
      <c r="D87" s="7">
        <f>_xlfn.RANK.EQ(View_Table[[#This Row],[Weighted Win%]], View_Table[Weighted Win%], 0)</f>
        <v>39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39</v>
      </c>
    </row>
    <row r="88" spans="2:16" hidden="1" x14ac:dyDescent="0.45">
      <c r="B88" s="3" t="s">
        <v>553</v>
      </c>
      <c r="C88" s="6">
        <f>View_Table[[#This Row],[Rank Previous]]-View_Table[[#This Row],[Rank]]</f>
        <v>0</v>
      </c>
      <c r="D88" s="7">
        <f>_xlfn.RANK.EQ(View_Table[[#This Row],[Weighted Win%]], View_Table[Weighted Win%], 0)</f>
        <v>39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39</v>
      </c>
    </row>
    <row r="89" spans="2:16" hidden="1" x14ac:dyDescent="0.45">
      <c r="B89" s="3" t="s">
        <v>554</v>
      </c>
      <c r="C89" s="6">
        <f>View_Table[[#This Row],[Rank Previous]]-View_Table[[#This Row],[Rank]]</f>
        <v>0</v>
      </c>
      <c r="D89" s="7">
        <f>_xlfn.RANK.EQ(View_Table[[#This Row],[Weighted Win%]], View_Table[Weighted Win%], 0)</f>
        <v>39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39</v>
      </c>
    </row>
    <row r="90" spans="2:16" x14ac:dyDescent="0.45">
      <c r="B90" s="3" t="s">
        <v>27</v>
      </c>
      <c r="C90" s="6">
        <f>View_Table[[#This Row],[Rank Previous]]-View_Table[[#This Row],[Rank]]</f>
        <v>0</v>
      </c>
      <c r="D90" s="7">
        <f>_xlfn.RANK.EQ(View_Table[[#This Row],[Weighted Win%]], View_Table[Weighted Win%], 0)</f>
        <v>26</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0.203125</v>
      </c>
      <c r="G90" s="5">
        <f>IFERROR(
    GETPIVOTDATA(
        "Result",
        'Pivot Table'!$A$3,
        "Player",View_Table[[#This Row],[Player]],
        "Result","Win"
    ),
    0
)</f>
        <v>3</v>
      </c>
      <c r="H90" s="5">
        <f>IFERROR(
    GETPIVOTDATA(
        "Result",
        'Pivot Table'!$A$3,
        "Player",View_Table[[#This Row],[Player]],
        "Result","Loss"
    ),
    0
)</f>
        <v>12</v>
      </c>
      <c r="I90" s="5">
        <f>IFERROR(
    GETPIVOTDATA(
        "Result",
        'Pivot Table'!$A$3,
        "Player",View_Table[[#This Row],[Player]],
        "Result","Draw"
    ),
    0
)</f>
        <v>1</v>
      </c>
      <c r="J90" s="5">
        <f>View_Table[[#This Row],[Wins]]+View_Table[[#This Row],[Losses]]+View_Table[[#This Row],[Draws]]</f>
        <v>16</v>
      </c>
      <c r="K90" s="7">
        <f>IFERROR(
    GETPIVOTDATA(
        "Result",
        'Pivot Table Previous'!$A$3,
        "Player",View_Table[[#This Row],[Player]],
        "Result","Win"
    ),
    0
)</f>
        <v>3</v>
      </c>
      <c r="L90" s="5">
        <f>IFERROR(
    GETPIVOTDATA(
        "Result",
        'Pivot Table Previous'!$A$3,
        "Player",View_Table[[#This Row],[Player]],
        "Result","Loss"
    ),
    0
)</f>
        <v>12</v>
      </c>
      <c r="M90" s="5">
        <f>IFERROR(
    GETPIVOTDATA(
        "Result",
        'Pivot Table Previous'!$A$3,
        "Player",View_Table[[#This Row],[Player]],
        "Result","Draw"
    ),
    0
)</f>
        <v>1</v>
      </c>
      <c r="N90" s="5">
        <f>View_Table[[#This Row],[Wins Previous]]+View_Table[[#This Row],[Losses Previous]]+View_Table[[#This Row],[Draws Previous]]</f>
        <v>16</v>
      </c>
      <c r="O90" s="9">
        <f>_xlfn.LET(_xlpm.g,View_Table[[#This Row],[Games Previous]], _xlpm.w,(View_Table[[#This Row],[Wins Previous]] + View_Table[[#This Row],[Draws Previous]] * 0.25), _xlpm.fake, MAX(0,25-_xlpm.g), IF(_xlpm.g=0,0,(_xlpm.w + _xlpm.fake*0.25)/(_xlpm.g + _xlpm.fake)))</f>
        <v>0.22</v>
      </c>
      <c r="P90" s="7">
        <f>_xlfn.RANK.EQ(View_Table[[#This Row],[Weighted Win% Previous]], View_Table[Weighted Win% Previous], 0)</f>
        <v>26</v>
      </c>
    </row>
    <row r="91" spans="2:16" x14ac:dyDescent="0.45">
      <c r="B91" s="3" t="s">
        <v>567</v>
      </c>
      <c r="C91" s="6">
        <f>View_Table[[#This Row],[Rank Previous]]-View_Table[[#This Row],[Rank]]</f>
        <v>0</v>
      </c>
      <c r="D91" s="7">
        <f>_xlfn.RANK.EQ(View_Table[[#This Row],[Weighted Win%]], View_Table[Weighted Win%], 0)</f>
        <v>26</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26</v>
      </c>
    </row>
    <row r="92" spans="2:16" x14ac:dyDescent="0.45">
      <c r="B92" s="3" t="s">
        <v>723</v>
      </c>
      <c r="C92" s="6">
        <f>View_Table[[#This Row],[Rank Previous]]-View_Table[[#This Row],[Rank]]</f>
        <v>0</v>
      </c>
      <c r="D92" s="7">
        <f>_xlfn.RANK.EQ(View_Table[[#This Row],[Weighted Win%]], View_Table[Weighted Win%], 0)</f>
        <v>28</v>
      </c>
      <c r="E92" s="9">
        <f>_xlfn.LET(_xlpm.g,View_Table[[#This Row],[Games]], _xlpm.w,(View_Table[[#This Row],[Wins]] + View_Table[[#This Row],[Draws]] * 0.25), _xlpm.fake, MAX(0,25-_xlpm.g), IF(_xlpm.g=0,0,(_xlpm.w + _xlpm.fake*0.25)/(_xlpm.g + _xlpm.fake)))</f>
        <v>0.21</v>
      </c>
      <c r="F92" s="8">
        <f>IF(View_Table[[#This Row],[Games]]=0,0,(View_Table[[#This Row],[Wins]] + (View_Table[[#This Row],[Draws]] * 0.25))/View_Table[[#This Row],[Games]])</f>
        <v>8.3333333333333329E-2</v>
      </c>
      <c r="G92" s="5">
        <f>IFERROR(
    GETPIVOTDATA(
        "Result",
        'Pivot Table'!$A$3,
        "Player",View_Table[[#This Row],[Player]],
        "Result","Win"
    ),
    0
)</f>
        <v>0</v>
      </c>
      <c r="H92" s="5">
        <f>IFERROR(
    GETPIVOTDATA(
        "Result",
        'Pivot Table'!$A$3,
        "Player",View_Table[[#This Row],[Player]],
        "Result","Loss"
    ),
    0
)</f>
        <v>4</v>
      </c>
      <c r="I92" s="5">
        <f>IFERROR(
    GETPIVOTDATA(
        "Result",
        'Pivot Table'!$A$3,
        "Player",View_Table[[#This Row],[Player]],
        "Result","Draw"
    ),
    0
)</f>
        <v>2</v>
      </c>
      <c r="J92" s="5">
        <f>View_Table[[#This Row],[Wins]]+View_Table[[#This Row],[Losses]]+View_Table[[#This Row],[Draws]]</f>
        <v>6</v>
      </c>
      <c r="K92" s="7">
        <f>IFERROR(
    GETPIVOTDATA(
        "Result",
        'Pivot Table Previous'!$A$3,
        "Player",View_Table[[#This Row],[Player]],
        "Result","Win"
    ),
    0
)</f>
        <v>0</v>
      </c>
      <c r="L92" s="5">
        <f>IFERROR(
    GETPIVOTDATA(
        "Result",
        'Pivot Table Previous'!$A$3,
        "Player",View_Table[[#This Row],[Player]],
        "Result","Loss"
    ),
    0
)</f>
        <v>4</v>
      </c>
      <c r="M92" s="5">
        <f>IFERROR(
    GETPIVOTDATA(
        "Result",
        'Pivot Table Previous'!$A$3,
        "Player",View_Table[[#This Row],[Player]],
        "Result","Draw"
    ),
    0
)</f>
        <v>2</v>
      </c>
      <c r="N92" s="5">
        <f>View_Table[[#This Row],[Wins Previous]]+View_Table[[#This Row],[Losses Previous]]+View_Table[[#This Row],[Draws Previous]]</f>
        <v>6</v>
      </c>
      <c r="O92" s="9">
        <f>_xlfn.LET(_xlpm.g,View_Table[[#This Row],[Games Previous]], _xlpm.w,(View_Table[[#This Row],[Wins Previous]] + View_Table[[#This Row],[Draws Previous]] * 0.25), _xlpm.fake, MAX(0,25-_xlpm.g), IF(_xlpm.g=0,0,(_xlpm.w + _xlpm.fake*0.25)/(_xlpm.g + _xlpm.fake)))</f>
        <v>0.21</v>
      </c>
      <c r="P92" s="7">
        <f>_xlfn.RANK.EQ(View_Table[[#This Row],[Weighted Win% Previous]], View_Table[Weighted Win% Previous], 0)</f>
        <v>28</v>
      </c>
    </row>
    <row r="93" spans="2:16" x14ac:dyDescent="0.45">
      <c r="B93" s="3" t="s">
        <v>17</v>
      </c>
      <c r="C93" s="6">
        <f>View_Table[[#This Row],[Rank Previous]]-View_Table[[#This Row],[Rank]]</f>
        <v>0</v>
      </c>
      <c r="D93" s="7">
        <f>_xlfn.RANK.EQ(View_Table[[#This Row],[Weighted Win%]], View_Table[Weighted Win%], 0)</f>
        <v>28</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2</v>
      </c>
      <c r="H93" s="5">
        <f>IFERROR(
    GETPIVOTDATA(
        "Result",
        'Pivot Table'!$A$3,
        "Player",View_Table[[#This Row],[Player]],
        "Result","Loss"
    ),
    0
)</f>
        <v>10</v>
      </c>
      <c r="I93" s="5">
        <f>IFERROR(
    GETPIVOTDATA(
        "Result",
        'Pivot Table'!$A$3,
        "Player",View_Table[[#This Row],[Player]],
        "Result","Draw"
    ),
    0
)</f>
        <v>8</v>
      </c>
      <c r="J93" s="5">
        <f>View_Table[[#This Row],[Wins]]+View_Table[[#This Row],[Losses]]+View_Table[[#This Row],[Draws]]</f>
        <v>20</v>
      </c>
      <c r="K93" s="5">
        <f>IFERROR(
    GETPIVOTDATA(
        "Result",
        'Pivot Table Previous'!$A$3,
        "Player",View_Table[[#This Row],[Player]],
        "Result","Win"
    ),
    0
)</f>
        <v>2</v>
      </c>
      <c r="L93" s="5">
        <f>IFERROR(
    GETPIVOTDATA(
        "Result",
        'Pivot Table Previous'!$A$3,
        "Player",View_Table[[#This Row],[Player]],
        "Result","Loss"
    ),
    0
)</f>
        <v>10</v>
      </c>
      <c r="M93" s="5">
        <f>IFERROR(
    GETPIVOTDATA(
        "Result",
        'Pivot Table Previous'!$A$3,
        "Player",View_Table[[#This Row],[Player]],
        "Result","Draw"
    ),
    0
)</f>
        <v>8</v>
      </c>
      <c r="N93" s="5">
        <f>View_Table[[#This Row],[Wins Previous]]+View_Table[[#This Row],[Losses Previous]]+View_Table[[#This Row],[Draws Previous]]</f>
        <v>20</v>
      </c>
      <c r="O93" s="9">
        <f>_xlfn.LET(_xlpm.g,View_Table[[#This Row],[Games Previous]], _xlpm.w,(View_Table[[#This Row],[Wins Previous]] + View_Table[[#This Row],[Draws Previous]] * 0.25), _xlpm.fake, MAX(0,25-_xlpm.g), IF(_xlpm.g=0,0,(_xlpm.w + _xlpm.fake*0.25)/(_xlpm.g + _xlpm.fake)))</f>
        <v>0.21</v>
      </c>
      <c r="P93" s="7">
        <f>IF(View_Table[[#This Row],[Games Previous]]=0,
    View_Table[[#This Row],[Rank]],
    _xlfn.RANK.EQ(View_Table[[#This Row],[Weighted Win% Previous]], View_Table[Weighted Win% Previous], 0)
)</f>
        <v>28</v>
      </c>
    </row>
    <row r="94" spans="2:16" hidden="1" x14ac:dyDescent="0.45">
      <c r="B94" s="3" t="s">
        <v>606</v>
      </c>
      <c r="C94" s="6">
        <f>View_Table[[#This Row],[Rank Previous]]-View_Table[[#This Row],[Rank]]</f>
        <v>0</v>
      </c>
      <c r="D94" s="7">
        <f>_xlfn.RANK.EQ(View_Table[[#This Row],[Weighted Win%]], View_Table[Weighted Win%], 0)</f>
        <v>39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39</v>
      </c>
    </row>
    <row r="95" spans="2:16" x14ac:dyDescent="0.45">
      <c r="B95" s="3" t="s">
        <v>13</v>
      </c>
      <c r="C95" s="6">
        <f>View_Table[[#This Row],[Rank Previous]]-View_Table[[#This Row],[Rank]]</f>
        <v>0</v>
      </c>
      <c r="D95" s="7">
        <f>_xlfn.RANK.EQ(View_Table[[#This Row],[Weighted Win%]], View_Table[Weighted Win%], 0)</f>
        <v>30</v>
      </c>
      <c r="E95" s="9">
        <f>_xlfn.LET(_xlpm.g,View_Table[[#This Row],[Games]], _xlpm.w,(View_Table[[#This Row],[Wins]] + View_Table[[#This Row],[Draws]] * 0.25), _xlpm.fake, MAX(0,25-_xlpm.g), IF(_xlpm.g=0,0,(_xlpm.w + _xlpm.fake*0.25)/(_xlpm.g + _xlpm.fake)))</f>
        <v>0.20192307692307693</v>
      </c>
      <c r="F95" s="8">
        <f>IF(View_Table[[#This Row],[Games]]=0,0,(View_Table[[#This Row],[Wins]] + (View_Table[[#This Row],[Draws]] * 0.25))/View_Table[[#This Row],[Games]])</f>
        <v>0.20192307692307693</v>
      </c>
      <c r="G95" s="5">
        <f>IFERROR(
    GETPIVOTDATA(
        "Result",
        'Pivot Table'!$A$3,
        "Player",View_Table[[#This Row],[Player]],
        "Result","Win"
    ),
    0
)</f>
        <v>3</v>
      </c>
      <c r="H95" s="5">
        <f>IFERROR(
    GETPIVOTDATA(
        "Result",
        'Pivot Table'!$A$3,
        "Player",View_Table[[#This Row],[Player]],
        "Result","Loss"
    ),
    0
)</f>
        <v>14</v>
      </c>
      <c r="I95" s="5">
        <f>IFERROR(
    GETPIVOTDATA(
        "Result",
        'Pivot Table'!$A$3,
        "Player",View_Table[[#This Row],[Player]],
        "Result","Draw"
    ),
    0
)</f>
        <v>9</v>
      </c>
      <c r="J95" s="5">
        <f>View_Table[[#This Row],[Wins]]+View_Table[[#This Row],[Losses]]+View_Table[[#This Row],[Draws]]</f>
        <v>26</v>
      </c>
      <c r="K95" s="5">
        <f>IFERROR(
    GETPIVOTDATA(
        "Result",
        'Pivot Table Previous'!$A$3,
        "Player",View_Table[[#This Row],[Player]],
        "Result","Win"
    ),
    0
)</f>
        <v>3</v>
      </c>
      <c r="L95" s="5">
        <f>IFERROR(
    GETPIVOTDATA(
        "Result",
        'Pivot Table Previous'!$A$3,
        "Player",View_Table[[#This Row],[Player]],
        "Result","Loss"
    ),
    0
)</f>
        <v>14</v>
      </c>
      <c r="M95" s="5">
        <f>IFERROR(
    GETPIVOTDATA(
        "Result",
        'Pivot Table Previous'!$A$3,
        "Player",View_Table[[#This Row],[Player]],
        "Result","Draw"
    ),
    0
)</f>
        <v>9</v>
      </c>
      <c r="N95" s="5">
        <f>View_Table[[#This Row],[Wins Previous]]+View_Table[[#This Row],[Losses Previous]]+View_Table[[#This Row],[Draws Previous]]</f>
        <v>26</v>
      </c>
      <c r="O95" s="9">
        <f>_xlfn.LET(_xlpm.g,View_Table[[#This Row],[Games Previous]], _xlpm.w,(View_Table[[#This Row],[Wins Previous]] + View_Table[[#This Row],[Draws Previous]] * 0.25), _xlpm.fake, MAX(0,25-_xlpm.g), IF(_xlpm.g=0,0,(_xlpm.w + _xlpm.fake*0.25)/(_xlpm.g + _xlpm.fake)))</f>
        <v>0.20192307692307693</v>
      </c>
      <c r="P95" s="7">
        <f>IF(View_Table[[#This Row],[Games Previous]]=0,
    View_Table[[#This Row],[Rank]],
    _xlfn.RANK.EQ(View_Table[[#This Row],[Weighted Win% Previous]], View_Table[Weighted Win% Previous], 0)
)</f>
        <v>30</v>
      </c>
    </row>
    <row r="96" spans="2:16" x14ac:dyDescent="0.45">
      <c r="B96" s="3" t="s">
        <v>325</v>
      </c>
      <c r="C96" s="6">
        <f>View_Table[[#This Row],[Rank Previous]]-View_Table[[#This Row],[Rank]]</f>
        <v>0</v>
      </c>
      <c r="D96" s="7">
        <f>_xlfn.RANK.EQ(View_Table[[#This Row],[Weighted Win%]], View_Table[Weighted Win%], 0)</f>
        <v>31</v>
      </c>
      <c r="E96" s="9">
        <f>_xlfn.LET(_xlpm.g,View_Table[[#This Row],[Games]], _xlpm.w,(View_Table[[#This Row],[Wins]] + View_Table[[#This Row],[Draws]] * 0.25), _xlpm.fake, MAX(0,25-_xlpm.g), IF(_xlpm.g=0,0,(_xlpm.w + _xlpm.fake*0.25)/(_xlpm.g + _xlpm.fake)))</f>
        <v>0.2</v>
      </c>
      <c r="F96" s="8">
        <f>IF(View_Table[[#This Row],[Games]]=0,0,(View_Table[[#This Row],[Wins]] + (View_Table[[#This Row],[Draws]] * 0.25))/View_Table[[#This Row],[Games]])</f>
        <v>0.19318181818181818</v>
      </c>
      <c r="G96" s="5">
        <f>IFERROR(
    GETPIVOTDATA(
        "Result",
        'Pivot Table'!$A$3,
        "Player",View_Table[[#This Row],[Player]],
        "Result","Win"
    ),
    0
)</f>
        <v>3</v>
      </c>
      <c r="H96" s="5">
        <f>IFERROR(
    GETPIVOTDATA(
        "Result",
        'Pivot Table'!$A$3,
        "Player",View_Table[[#This Row],[Player]],
        "Result","Loss"
    ),
    0
)</f>
        <v>14</v>
      </c>
      <c r="I96" s="5">
        <f>IFERROR(
    GETPIVOTDATA(
        "Result",
        'Pivot Table'!$A$3,
        "Player",View_Table[[#This Row],[Player]],
        "Result","Draw"
    ),
    0
)</f>
        <v>5</v>
      </c>
      <c r="J96" s="5">
        <f>View_Table[[#This Row],[Wins]]+View_Table[[#This Row],[Losses]]+View_Table[[#This Row],[Draws]]</f>
        <v>22</v>
      </c>
      <c r="K96" s="7">
        <f>IFERROR(
    GETPIVOTDATA(
        "Result",
        'Pivot Table Previous'!$A$3,
        "Player",View_Table[[#This Row],[Player]],
        "Result","Win"
    ),
    0
)</f>
        <v>3</v>
      </c>
      <c r="L96" s="5">
        <f>IFERROR(
    GETPIVOTDATA(
        "Result",
        'Pivot Table Previous'!$A$3,
        "Player",View_Table[[#This Row],[Player]],
        "Result","Loss"
    ),
    0
)</f>
        <v>14</v>
      </c>
      <c r="M96" s="5">
        <f>IFERROR(
    GETPIVOTDATA(
        "Result",
        'Pivot Table Previous'!$A$3,
        "Player",View_Table[[#This Row],[Player]],
        "Result","Draw"
    ),
    0
)</f>
        <v>5</v>
      </c>
      <c r="N96" s="5">
        <f>View_Table[[#This Row],[Wins Previous]]+View_Table[[#This Row],[Losses Previous]]+View_Table[[#This Row],[Draws Previous]]</f>
        <v>22</v>
      </c>
      <c r="O96" s="9">
        <f>_xlfn.LET(_xlpm.g,View_Table[[#This Row],[Games Previous]], _xlpm.w,(View_Table[[#This Row],[Wins Previous]] + View_Table[[#This Row],[Draws Previous]] * 0.25), _xlpm.fake, MAX(0,25-_xlpm.g), IF(_xlpm.g=0,0,(_xlpm.w + _xlpm.fake*0.25)/(_xlpm.g + _xlpm.fake)))</f>
        <v>0.2</v>
      </c>
      <c r="P96" s="7">
        <f>_xlfn.RANK.EQ(View_Table[[#This Row],[Weighted Win% Previous]], View_Table[Weighted Win% Previous], 0)</f>
        <v>31</v>
      </c>
    </row>
    <row r="97" spans="2:16" x14ac:dyDescent="0.45">
      <c r="B97" s="3" t="s">
        <v>540</v>
      </c>
      <c r="C97" s="6">
        <f>View_Table[[#This Row],[Rank Previous]]-View_Table[[#This Row],[Rank]]</f>
        <v>0</v>
      </c>
      <c r="D97" s="7">
        <f>_xlfn.RANK.EQ(View_Table[[#This Row],[Weighted Win%]], View_Table[Weighted Win%], 0)</f>
        <v>31</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9.375E-2</v>
      </c>
      <c r="G97" s="5">
        <f>IFERROR(
    GETPIVOTDATA(
        "Result",
        'Pivot Table'!$A$3,
        "Player",View_Table[[#This Row],[Player]],
        "Result","Win"
    ),
    0
)</f>
        <v>0</v>
      </c>
      <c r="H97" s="5">
        <f>IFERROR(
    GETPIVOTDATA(
        "Result",
        'Pivot Table'!$A$3,
        "Player",View_Table[[#This Row],[Player]],
        "Result","Loss"
    ),
    0
)</f>
        <v>5</v>
      </c>
      <c r="I97" s="5">
        <f>IFERROR(
    GETPIVOTDATA(
        "Result",
        'Pivot Table'!$A$3,
        "Player",View_Table[[#This Row],[Player]],
        "Result","Draw"
    ),
    0
)</f>
        <v>3</v>
      </c>
      <c r="J97" s="5">
        <f>View_Table[[#This Row],[Wins]]+View_Table[[#This Row],[Losses]]+View_Table[[#This Row],[Draws]]</f>
        <v>8</v>
      </c>
      <c r="K97" s="7">
        <f>IFERROR(
    GETPIVOTDATA(
        "Result",
        'Pivot Table Previous'!$A$3,
        "Player",View_Table[[#This Row],[Player]],
        "Result","Win"
    ),
    0
)</f>
        <v>0</v>
      </c>
      <c r="L97" s="5">
        <f>IFERROR(
    GETPIVOTDATA(
        "Result",
        'Pivot Table Previous'!$A$3,
        "Player",View_Table[[#This Row],[Player]],
        "Result","Loss"
    ),
    0
)</f>
        <v>5</v>
      </c>
      <c r="M97" s="5">
        <f>IFERROR(
    GETPIVOTDATA(
        "Result",
        'Pivot Table Previous'!$A$3,
        "Player",View_Table[[#This Row],[Player]],
        "Result","Draw"
    ),
    0
)</f>
        <v>3</v>
      </c>
      <c r="N97" s="5">
        <f>View_Table[[#This Row],[Wins Previous]]+View_Table[[#This Row],[Losses Previous]]+View_Table[[#This Row],[Draws Previous]]</f>
        <v>8</v>
      </c>
      <c r="O97" s="9">
        <f>_xlfn.LET(_xlpm.g,View_Table[[#This Row],[Games Previous]], _xlpm.w,(View_Table[[#This Row],[Wins Previous]] + View_Table[[#This Row],[Draws Previous]] * 0.25), _xlpm.fake, MAX(0,25-_xlpm.g), IF(_xlpm.g=0,0,(_xlpm.w + _xlpm.fake*0.25)/(_xlpm.g + _xlpm.fake)))</f>
        <v>0.2</v>
      </c>
      <c r="P97" s="7">
        <f>_xlfn.RANK.EQ(View_Table[[#This Row],[Weighted Win% Previous]], View_Table[Weighted Win% Previous], 0)</f>
        <v>31</v>
      </c>
    </row>
    <row r="98" spans="2:16" x14ac:dyDescent="0.45">
      <c r="B98" s="3" t="s">
        <v>41</v>
      </c>
      <c r="C98" s="6">
        <f>View_Table[[#This Row],[Rank Previous]]-View_Table[[#This Row],[Rank]]</f>
        <v>0</v>
      </c>
      <c r="D98" s="7">
        <f>_xlfn.RANK.EQ(View_Table[[#This Row],[Weighted Win%]], View_Table[Weighted Win%], 0)</f>
        <v>31</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0.16071428571428573</v>
      </c>
      <c r="G98" s="5">
        <f>IFERROR(
    GETPIVOTDATA(
        "Result",
        'Pivot Table'!$A$3,
        "Player",View_Table[[#This Row],[Player]],
        "Result","Win"
    ),
    0
)</f>
        <v>2</v>
      </c>
      <c r="H98" s="5">
        <f>IFERROR(
    GETPIVOTDATA(
        "Result",
        'Pivot Table'!$A$3,
        "Player",View_Table[[#This Row],[Player]],
        "Result","Loss"
    ),
    0
)</f>
        <v>11</v>
      </c>
      <c r="I98" s="5">
        <f>IFERROR(
    GETPIVOTDATA(
        "Result",
        'Pivot Table'!$A$3,
        "Player",View_Table[[#This Row],[Player]],
        "Result","Draw"
    ),
    0
)</f>
        <v>1</v>
      </c>
      <c r="J98" s="5">
        <f>View_Table[[#This Row],[Wins]]+View_Table[[#This Row],[Losses]]+View_Table[[#This Row],[Draws]]</f>
        <v>14</v>
      </c>
      <c r="K98" s="5">
        <f>IFERROR(
    GETPIVOTDATA(
        "Result",
        'Pivot Table Previous'!$A$3,
        "Player",View_Table[[#This Row],[Player]],
        "Result","Win"
    ),
    0
)</f>
        <v>2</v>
      </c>
      <c r="L98" s="5">
        <f>IFERROR(
    GETPIVOTDATA(
        "Result",
        'Pivot Table Previous'!$A$3,
        "Player",View_Table[[#This Row],[Player]],
        "Result","Loss"
    ),
    0
)</f>
        <v>11</v>
      </c>
      <c r="M98" s="5">
        <f>IFERROR(
    GETPIVOTDATA(
        "Result",
        'Pivot Table Previous'!$A$3,
        "Player",View_Table[[#This Row],[Player]],
        "Result","Draw"
    ),
    0
)</f>
        <v>1</v>
      </c>
      <c r="N98" s="5">
        <f>View_Table[[#This Row],[Wins Previous]]+View_Table[[#This Row],[Losses Previous]]+View_Table[[#This Row],[Draws Previous]]</f>
        <v>14</v>
      </c>
      <c r="O98" s="9">
        <f>_xlfn.LET(_xlpm.g,View_Table[[#This Row],[Games Previous]], _xlpm.w,(View_Table[[#This Row],[Wins Previous]] + View_Table[[#This Row],[Draws Previous]] * 0.25), _xlpm.fake, MAX(0,25-_xlpm.g), IF(_xlpm.g=0,0,(_xlpm.w + _xlpm.fake*0.25)/(_xlpm.g + _xlpm.fake)))</f>
        <v>0.2</v>
      </c>
      <c r="P98" s="7">
        <f>IF(View_Table[[#This Row],[Games Previous]]=0,
    View_Table[[#This Row],[Rank]],
    _xlfn.RANK.EQ(View_Table[[#This Row],[Weighted Win% Previous]], View_Table[Weighted Win% Previous], 0)
)</f>
        <v>31</v>
      </c>
    </row>
    <row r="99" spans="2:16" x14ac:dyDescent="0.45">
      <c r="B99" s="3" t="s">
        <v>519</v>
      </c>
      <c r="C99" s="6">
        <f>View_Table[[#This Row],[Rank Previous]]-View_Table[[#This Row],[Rank]]</f>
        <v>0</v>
      </c>
      <c r="D99" s="7">
        <f>_xlfn.RANK.EQ(View_Table[[#This Row],[Weighted Win%]], View_Table[Weighted Win%], 0)</f>
        <v>34</v>
      </c>
      <c r="E99" s="9">
        <f>_xlfn.LET(_xlpm.g,View_Table[[#This Row],[Games]], _xlpm.w,(View_Table[[#This Row],[Wins]] + View_Table[[#This Row],[Draws]] * 0.25), _xlpm.fake, MAX(0,25-_xlpm.g), IF(_xlpm.g=0,0,(_xlpm.w + _xlpm.fake*0.25)/(_xlpm.g + _xlpm.fake)))</f>
        <v>0.19</v>
      </c>
      <c r="F99" s="8">
        <f>IF(View_Table[[#This Row],[Games]]=0,0,(View_Table[[#This Row],[Wins]] + (View_Table[[#This Row],[Draws]] * 0.25))/View_Table[[#This Row],[Games]])</f>
        <v>0.125</v>
      </c>
      <c r="G99" s="5">
        <f>IFERROR(
    GETPIVOTDATA(
        "Result",
        'Pivot Table'!$A$3,
        "Player",View_Table[[#This Row],[Player]],
        "Result","Win"
    ),
    0
)</f>
        <v>1</v>
      </c>
      <c r="H99" s="5">
        <f>IFERROR(
    GETPIVOTDATA(
        "Result",
        'Pivot Table'!$A$3,
        "Player",View_Table[[#This Row],[Player]],
        "Result","Loss"
    ),
    0
)</f>
        <v>9</v>
      </c>
      <c r="I99" s="5">
        <f>IFERROR(
    GETPIVOTDATA(
        "Result",
        'Pivot Table'!$A$3,
        "Player",View_Table[[#This Row],[Player]],
        "Result","Draw"
    ),
    0
)</f>
        <v>2</v>
      </c>
      <c r="J99" s="5">
        <f>View_Table[[#This Row],[Wins]]+View_Table[[#This Row],[Losses]]+View_Table[[#This Row],[Draws]]</f>
        <v>12</v>
      </c>
      <c r="K99" s="7">
        <f>IFERROR(
    GETPIVOTDATA(
        "Result",
        'Pivot Table Previous'!$A$3,
        "Player",View_Table[[#This Row],[Player]],
        "Result","Win"
    ),
    0
)</f>
        <v>1</v>
      </c>
      <c r="L99" s="5">
        <f>IFERROR(
    GETPIVOTDATA(
        "Result",
        'Pivot Table Previous'!$A$3,
        "Player",View_Table[[#This Row],[Player]],
        "Result","Loss"
    ),
    0
)</f>
        <v>9</v>
      </c>
      <c r="M99" s="5">
        <f>IFERROR(
    GETPIVOTDATA(
        "Result",
        'Pivot Table Previous'!$A$3,
        "Player",View_Table[[#This Row],[Player]],
        "Result","Draw"
    ),
    0
)</f>
        <v>2</v>
      </c>
      <c r="N99" s="5">
        <f>View_Table[[#This Row],[Wins Previous]]+View_Table[[#This Row],[Losses Previous]]+View_Table[[#This Row],[Draws Previous]]</f>
        <v>12</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34</v>
      </c>
    </row>
    <row r="100" spans="2:16" hidden="1" x14ac:dyDescent="0.45">
      <c r="B100" s="3" t="s">
        <v>436</v>
      </c>
      <c r="C100" s="6">
        <f>View_Table[[#This Row],[Rank Previous]]-View_Table[[#This Row],[Rank]]</f>
        <v>0</v>
      </c>
      <c r="D100" s="7">
        <f>_xlfn.RANK.EQ(View_Table[[#This Row],[Weighted Win%]], View_Table[Weighted Win%], 0)</f>
        <v>39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39</v>
      </c>
    </row>
    <row r="101" spans="2:16" hidden="1" x14ac:dyDescent="0.45">
      <c r="B101" s="3" t="s">
        <v>363</v>
      </c>
      <c r="C101" s="6">
        <f>View_Table[[#This Row],[Rank Previous]]-View_Table[[#This Row],[Rank]]</f>
        <v>0</v>
      </c>
      <c r="D101" s="7">
        <f>_xlfn.RANK.EQ(View_Table[[#This Row],[Weighted Win%]], View_Table[Weighted Win%], 0)</f>
        <v>39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39</v>
      </c>
    </row>
    <row r="102" spans="2:16" hidden="1" x14ac:dyDescent="0.45">
      <c r="B102" s="3" t="s">
        <v>52</v>
      </c>
      <c r="C102" s="6">
        <f>View_Table[[#This Row],[Rank Previous]]-View_Table[[#This Row],[Rank]]</f>
        <v>0</v>
      </c>
      <c r="D102" s="7">
        <f>_xlfn.RANK.EQ(View_Table[[#This Row],[Weighted Win%]], View_Table[Weighted Win%], 0)</f>
        <v>39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39</v>
      </c>
    </row>
    <row r="103" spans="2:16" x14ac:dyDescent="0.45">
      <c r="B103" s="3" t="s">
        <v>433</v>
      </c>
      <c r="C103" s="6">
        <f>View_Table[[#This Row],[Rank Previous]]-View_Table[[#This Row],[Rank]]</f>
        <v>0</v>
      </c>
      <c r="D103" s="7">
        <f>_xlfn.RANK.EQ(View_Table[[#This Row],[Weighted Win%]], View_Table[Weighted Win%], 0)</f>
        <v>35</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8.3333333333333329E-2</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4</v>
      </c>
      <c r="J103" s="5">
        <f>View_Table[[#This Row],[Wins]]+View_Table[[#This Row],[Losses]]+View_Table[[#This Row],[Draws]]</f>
        <v>12</v>
      </c>
      <c r="K103" s="7">
        <f>IFERROR(
    GETPIVOTDATA(
        "Result",
        'Pivot Table Previous'!$A$3,
        "Player",View_Table[[#This Row],[Player]],
        "Result","Win"
    ),
    0
)</f>
        <v>0</v>
      </c>
      <c r="L103" s="5">
        <f>IFERROR(
    GETPIVOTDATA(
        "Result",
        'Pivot Table Previous'!$A$3,
        "Player",View_Table[[#This Row],[Player]],
        "Result","Loss"
    ),
    0
)</f>
        <v>8</v>
      </c>
      <c r="M103" s="5">
        <f>IFERROR(
    GETPIVOTDATA(
        "Result",
        'Pivot Table Previous'!$A$3,
        "Player",View_Table[[#This Row],[Player]],
        "Result","Draw"
    ),
    0
)</f>
        <v>4</v>
      </c>
      <c r="N103" s="5">
        <f>View_Table[[#This Row],[Wins Previous]]+View_Table[[#This Row],[Losses Previous]]+View_Table[[#This Row],[Draws Previous]]</f>
        <v>12</v>
      </c>
      <c r="O103" s="9">
        <f>_xlfn.LET(_xlpm.g,View_Table[[#This Row],[Games Previous]], _xlpm.w,(View_Table[[#This Row],[Wins Previous]] + View_Table[[#This Row],[Draws Previous]] * 0.25), _xlpm.fake, MAX(0,25-_xlpm.g), IF(_xlpm.g=0,0,(_xlpm.w + _xlpm.fake*0.25)/(_xlpm.g + _xlpm.fake)))</f>
        <v>0.17</v>
      </c>
      <c r="P103" s="7">
        <f>_xlfn.RANK.EQ(View_Table[[#This Row],[Weighted Win% Previous]], View_Table[Weighted Win% Previous], 0)</f>
        <v>35</v>
      </c>
    </row>
    <row r="104" spans="2:16" hidden="1" x14ac:dyDescent="0.45">
      <c r="B104" s="3" t="s">
        <v>465</v>
      </c>
      <c r="C104" s="6">
        <f>View_Table[[#This Row],[Rank Previous]]-View_Table[[#This Row],[Rank]]</f>
        <v>0</v>
      </c>
      <c r="D104" s="7">
        <f>_xlfn.RANK.EQ(View_Table[[#This Row],[Weighted Win%]], View_Table[Weighted Win%], 0)</f>
        <v>39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39</v>
      </c>
    </row>
    <row r="105" spans="2:16" x14ac:dyDescent="0.45">
      <c r="B105" s="3" t="s">
        <v>609</v>
      </c>
      <c r="C105" s="6">
        <f>View_Table[[#This Row],[Rank Previous]]-View_Table[[#This Row],[Rank]]</f>
        <v>0</v>
      </c>
      <c r="D105" s="7">
        <f>_xlfn.RANK.EQ(View_Table[[#This Row],[Weighted Win%]], View_Table[Weighted Win%], 0)</f>
        <v>35</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0.125</v>
      </c>
      <c r="G105" s="5">
        <f>IFERROR(
    GETPIVOTDATA(
        "Result",
        'Pivot Table'!$A$3,
        "Player",View_Table[[#This Row],[Player]],
        "Result","Win"
    ),
    0
)</f>
        <v>1</v>
      </c>
      <c r="H105" s="5">
        <f>IFERROR(
    GETPIVOTDATA(
        "Result",
        'Pivot Table'!$A$3,
        "Player",View_Table[[#This Row],[Player]],
        "Result","Loss"
    ),
    0
)</f>
        <v>11</v>
      </c>
      <c r="I105" s="5">
        <f>IFERROR(
    GETPIVOTDATA(
        "Result",
        'Pivot Table'!$A$3,
        "Player",View_Table[[#This Row],[Player]],
        "Result","Draw"
    ),
    0
)</f>
        <v>4</v>
      </c>
      <c r="J105" s="5">
        <f>View_Table[[#This Row],[Wins]]+View_Table[[#This Row],[Losses]]+View_Table[[#This Row],[Draws]]</f>
        <v>16</v>
      </c>
      <c r="K105" s="7">
        <f>IFERROR(
    GETPIVOTDATA(
        "Result",
        'Pivot Table Previous'!$A$3,
        "Player",View_Table[[#This Row],[Player]],
        "Result","Win"
    ),
    0
)</f>
        <v>1</v>
      </c>
      <c r="L105" s="5">
        <f>IFERROR(
    GETPIVOTDATA(
        "Result",
        'Pivot Table Previous'!$A$3,
        "Player",View_Table[[#This Row],[Player]],
        "Result","Loss"
    ),
    0
)</f>
        <v>11</v>
      </c>
      <c r="M105" s="5">
        <f>IFERROR(
    GETPIVOTDATA(
        "Result",
        'Pivot Table Previous'!$A$3,
        "Player",View_Table[[#This Row],[Player]],
        "Result","Draw"
    ),
    0
)</f>
        <v>4</v>
      </c>
      <c r="N105" s="5">
        <f>View_Table[[#This Row],[Wins Previous]]+View_Table[[#This Row],[Losses Previous]]+View_Table[[#This Row],[Draws Previous]]</f>
        <v>16</v>
      </c>
      <c r="O105" s="9">
        <f>_xlfn.LET(_xlpm.g,View_Table[[#This Row],[Games Previous]], _xlpm.w,(View_Table[[#This Row],[Wins Previous]] + View_Table[[#This Row],[Draws Previous]] * 0.25), _xlpm.fake, MAX(0,25-_xlpm.g), IF(_xlpm.g=0,0,(_xlpm.w + _xlpm.fake*0.25)/(_xlpm.g + _xlpm.fake)))</f>
        <v>0.17</v>
      </c>
      <c r="P105" s="7">
        <f>_xlfn.RANK.EQ(View_Table[[#This Row],[Weighted Win% Previous]], View_Table[Weighted Win% Previous], 0)</f>
        <v>35</v>
      </c>
    </row>
    <row r="106" spans="2:16" x14ac:dyDescent="0.45">
      <c r="B106" s="3" t="s">
        <v>51</v>
      </c>
      <c r="C106" s="6">
        <f>View_Table[[#This Row],[Rank Previous]]-View_Table[[#This Row],[Rank]]</f>
        <v>0</v>
      </c>
      <c r="D106" s="7">
        <f>_xlfn.RANK.EQ(View_Table[[#This Row],[Weighted Win%]], View_Table[Weighted Win%], 0)</f>
        <v>37</v>
      </c>
      <c r="E106" s="9">
        <f>_xlfn.LET(_xlpm.g,View_Table[[#This Row],[Games]], _xlpm.w,(View_Table[[#This Row],[Wins]] + View_Table[[#This Row],[Draws]] * 0.25), _xlpm.fake, MAX(0,25-_xlpm.g), IF(_xlpm.g=0,0,(_xlpm.w + _xlpm.fake*0.25)/(_xlpm.g + _xlpm.fake)))</f>
        <v>0.16</v>
      </c>
      <c r="F106" s="8">
        <f>IF(View_Table[[#This Row],[Games]]=0,0,(View_Table[[#This Row],[Wins]] + (View_Table[[#This Row],[Draws]] * 0.25))/View_Table[[#This Row],[Games]])</f>
        <v>0.109375</v>
      </c>
      <c r="G106" s="5">
        <f>IFERROR(
    GETPIVOTDATA(
        "Result",
        'Pivot Table'!$A$3,
        "Player",View_Table[[#This Row],[Player]],
        "Result","Win"
    ),
    0
)</f>
        <v>0</v>
      </c>
      <c r="H106" s="5">
        <f>IFERROR(
    GETPIVOTDATA(
        "Result",
        'Pivot Table'!$A$3,
        "Player",View_Table[[#This Row],[Player]],
        "Result","Loss"
    ),
    0
)</f>
        <v>9</v>
      </c>
      <c r="I106" s="5">
        <f>IFERROR(
    GETPIVOTDATA(
        "Result",
        'Pivot Table'!$A$3,
        "Player",View_Table[[#This Row],[Player]],
        "Result","Draw"
    ),
    0
)</f>
        <v>7</v>
      </c>
      <c r="J106" s="5">
        <f>View_Table[[#This Row],[Wins]]+View_Table[[#This Row],[Losses]]+View_Table[[#This Row],[Draws]]</f>
        <v>16</v>
      </c>
      <c r="K106" s="7">
        <f>IFERROR(
    GETPIVOTDATA(
        "Result",
        'Pivot Table Previous'!$A$3,
        "Player",View_Table[[#This Row],[Player]],
        "Result","Win"
    ),
    0
)</f>
        <v>0</v>
      </c>
      <c r="L106" s="5">
        <f>IFERROR(
    GETPIVOTDATA(
        "Result",
        'Pivot Table Previous'!$A$3,
        "Player",View_Table[[#This Row],[Player]],
        "Result","Loss"
    ),
    0
)</f>
        <v>9</v>
      </c>
      <c r="M106" s="5">
        <f>IFERROR(
    GETPIVOTDATA(
        "Result",
        'Pivot Table Previous'!$A$3,
        "Player",View_Table[[#This Row],[Player]],
        "Result","Draw"
    ),
    0
)</f>
        <v>7</v>
      </c>
      <c r="N106" s="5">
        <f>View_Table[[#This Row],[Wins Previous]]+View_Table[[#This Row],[Losses Previous]]+View_Table[[#This Row],[Draws Previous]]</f>
        <v>16</v>
      </c>
      <c r="O106" s="9">
        <f>_xlfn.LET(_xlpm.g,View_Table[[#This Row],[Games Previous]], _xlpm.w,(View_Table[[#This Row],[Wins Previous]] + View_Table[[#This Row],[Draws Previous]] * 0.25), _xlpm.fake, MAX(0,25-_xlpm.g), IF(_xlpm.g=0,0,(_xlpm.w + _xlpm.fake*0.25)/(_xlpm.g + _xlpm.fake)))</f>
        <v>0.16</v>
      </c>
      <c r="P106" s="7">
        <f>_xlfn.RANK.EQ(View_Table[[#This Row],[Weighted Win% Previous]], View_Table[Weighted Win% Previous], 0)</f>
        <v>37</v>
      </c>
    </row>
    <row r="107" spans="2:16" x14ac:dyDescent="0.45">
      <c r="B107" s="3" t="s">
        <v>10</v>
      </c>
      <c r="C107" s="6">
        <f>View_Table[[#This Row],[Rank Previous]]-View_Table[[#This Row],[Rank]]</f>
        <v>0</v>
      </c>
      <c r="D107" s="7">
        <f>_xlfn.RANK.EQ(View_Table[[#This Row],[Weighted Win%]], View_Table[Weighted Win%], 0)</f>
        <v>38</v>
      </c>
      <c r="E107" s="9">
        <f>_xlfn.LET(_xlpm.g,View_Table[[#This Row],[Games]], _xlpm.w,(View_Table[[#This Row],[Wins]] + View_Table[[#This Row],[Draws]] * 0.25), _xlpm.fake, MAX(0,25-_xlpm.g), IF(_xlpm.g=0,0,(_xlpm.w + _xlpm.fake*0.25)/(_xlpm.g + _xlpm.fake)))</f>
        <v>0.14000000000000001</v>
      </c>
      <c r="F107" s="8">
        <f>IF(View_Table[[#This Row],[Games]]=0,0,(View_Table[[#This Row],[Wins]] + (View_Table[[#This Row],[Draws]] * 0.25))/View_Table[[#This Row],[Games]])</f>
        <v>9.7222222222222224E-2</v>
      </c>
      <c r="G107" s="5">
        <f>IFERROR(
    GETPIVOTDATA(
        "Result",
        'Pivot Table'!$A$3,
        "Player",View_Table[[#This Row],[Player]],
        "Result","Win"
    ),
    0
)</f>
        <v>0</v>
      </c>
      <c r="H107" s="5">
        <f>IFERROR(
    GETPIVOTDATA(
        "Result",
        'Pivot Table'!$A$3,
        "Player",View_Table[[#This Row],[Player]],
        "Result","Loss"
    ),
    0
)</f>
        <v>11</v>
      </c>
      <c r="I107" s="5">
        <f>IFERROR(
    GETPIVOTDATA(
        "Result",
        'Pivot Table'!$A$3,
        "Player",View_Table[[#This Row],[Player]],
        "Result","Draw"
    ),
    0
)</f>
        <v>7</v>
      </c>
      <c r="J107" s="5">
        <f>View_Table[[#This Row],[Wins]]+View_Table[[#This Row],[Losses]]+View_Table[[#This Row],[Draws]]</f>
        <v>18</v>
      </c>
      <c r="K107" s="7">
        <f>IFERROR(
    GETPIVOTDATA(
        "Result",
        'Pivot Table Previous'!$A$3,
        "Player",View_Table[[#This Row],[Player]],
        "Result","Win"
    ),
    0
)</f>
        <v>0</v>
      </c>
      <c r="L107" s="5">
        <f>IFERROR(
    GETPIVOTDATA(
        "Result",
        'Pivot Table Previous'!$A$3,
        "Player",View_Table[[#This Row],[Player]],
        "Result","Loss"
    ),
    0
)</f>
        <v>11</v>
      </c>
      <c r="M107" s="5">
        <f>IFERROR(
    GETPIVOTDATA(
        "Result",
        'Pivot Table Previous'!$A$3,
        "Player",View_Table[[#This Row],[Player]],
        "Result","Draw"
    ),
    0
)</f>
        <v>7</v>
      </c>
      <c r="N107" s="5">
        <f>View_Table[[#This Row],[Wins Previous]]+View_Table[[#This Row],[Losses Previous]]+View_Table[[#This Row],[Draws Previous]]</f>
        <v>18</v>
      </c>
      <c r="O107" s="9">
        <f>_xlfn.LET(_xlpm.g,View_Table[[#This Row],[Games Previous]], _xlpm.w,(View_Table[[#This Row],[Wins Previous]] + View_Table[[#This Row],[Draws Previous]] * 0.25), _xlpm.fake, MAX(0,25-_xlpm.g), IF(_xlpm.g=0,0,(_xlpm.w + _xlpm.fake*0.25)/(_xlpm.g + _xlpm.fake)))</f>
        <v>0.14000000000000001</v>
      </c>
      <c r="P107" s="7">
        <f>_xlfn.RANK.EQ(View_Table[[#This Row],[Weighted Win% Previous]], View_Table[Weighted Win% Previous], 0)</f>
        <v>38</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11" priority="1922" bottom="1" rank="5"/>
    <cfRule type="cellIs" dxfId="10" priority="1923" operator="between">
      <formula>1</formula>
      <formula>16</formula>
    </cfRule>
    <cfRule type="top10" dxfId="9"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8" priority="1933" bottom="1" rank="5"/>
    <cfRule type="top10" dxfId="7"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65</v>
      </c>
      <c r="C6" s="19">
        <v>101</v>
      </c>
      <c r="D6" s="19">
        <v>5</v>
      </c>
      <c r="E6" s="19">
        <v>171</v>
      </c>
    </row>
    <row r="7" spans="1:5" x14ac:dyDescent="0.45">
      <c r="A7" s="3">
        <v>2</v>
      </c>
      <c r="B7" s="19">
        <v>40</v>
      </c>
      <c r="C7" s="19">
        <v>92</v>
      </c>
      <c r="D7" s="19">
        <v>6</v>
      </c>
      <c r="E7" s="19">
        <v>138</v>
      </c>
    </row>
    <row r="8" spans="1:5" x14ac:dyDescent="0.45">
      <c r="A8" s="3">
        <v>3</v>
      </c>
      <c r="B8" s="19">
        <v>38</v>
      </c>
      <c r="C8" s="19">
        <v>65</v>
      </c>
      <c r="D8" s="19">
        <v>6</v>
      </c>
      <c r="E8" s="19">
        <v>109</v>
      </c>
    </row>
    <row r="9" spans="1:5" x14ac:dyDescent="0.45">
      <c r="A9" s="3">
        <v>4</v>
      </c>
      <c r="B9" s="19"/>
      <c r="C9" s="19">
        <v>61</v>
      </c>
      <c r="D9" s="19">
        <v>6</v>
      </c>
      <c r="E9" s="19">
        <v>67</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143</v>
      </c>
      <c r="C12" s="19">
        <v>325</v>
      </c>
      <c r="D12" s="19">
        <v>29</v>
      </c>
      <c r="E12" s="19">
        <v>497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0.26807046979865773</v>
      </c>
    </row>
    <row r="4" spans="2:7" x14ac:dyDescent="0.45">
      <c r="B4" t="s">
        <v>2</v>
      </c>
      <c r="C4" t="s">
        <v>75</v>
      </c>
      <c r="D4" t="s">
        <v>70</v>
      </c>
      <c r="F4" t="s">
        <v>77</v>
      </c>
      <c r="G4" t="s">
        <v>34</v>
      </c>
    </row>
    <row r="5" spans="2:7" x14ac:dyDescent="0.45">
      <c r="B5">
        <v>1</v>
      </c>
      <c r="C5">
        <f>GETPIVOTDATA("Result",Seat_Order_Pivot!$A$3,"Seat",Table3[[#This Row],[Seat]],"Result","Win")</f>
        <v>171</v>
      </c>
      <c r="D5" s="4">
        <f>Table3[[#This Row],[Count Result]]/C13</f>
        <v>0.28691275167785235</v>
      </c>
      <c r="F5">
        <v>1</v>
      </c>
      <c r="G5" s="4">
        <f>GETPIVOTDATA("Result",pivot_seat_New!$A$5,"Seat",Table411[[#This Row],[3 pods]],"Pod Size",3)/C14</f>
        <v>0.42207792207792205</v>
      </c>
    </row>
    <row r="6" spans="2:7" x14ac:dyDescent="0.45">
      <c r="B6">
        <v>2</v>
      </c>
      <c r="C6">
        <f>GETPIVOTDATA("Result",Seat_Order_Pivot!$A$3,"Seat",Table3[[#This Row],[Seat]],"Result","Win")</f>
        <v>138</v>
      </c>
      <c r="D6" s="4">
        <f>Table3[[#This Row],[Count Result]]/C13</f>
        <v>0.23154362416107382</v>
      </c>
      <c r="F6">
        <v>2</v>
      </c>
      <c r="G6" s="4">
        <f>GETPIVOTDATA("Result",pivot_seat_New!$A$5,"Seat",Table411[[#This Row],[3 pods]],"Pod Size",3)/C14</f>
        <v>0.25974025974025972</v>
      </c>
    </row>
    <row r="7" spans="2:7" x14ac:dyDescent="0.45">
      <c r="B7">
        <v>3</v>
      </c>
      <c r="C7">
        <f>GETPIVOTDATA("Result",Seat_Order_Pivot!$A$3,"Seat",Table3[[#This Row],[Seat]],"Result","Win")</f>
        <v>109</v>
      </c>
      <c r="D7" s="4">
        <f>Table3[[#This Row],[Count Result]]/C13</f>
        <v>0.18288590604026847</v>
      </c>
      <c r="F7">
        <v>3</v>
      </c>
      <c r="G7" s="4">
        <f>GETPIVOTDATA("Result",pivot_seat_New!$A$5,"Seat",Table411[[#This Row],[3 pods]],"Pod Size",3)/C14</f>
        <v>0.24675324675324675</v>
      </c>
    </row>
    <row r="8" spans="2:7" x14ac:dyDescent="0.45">
      <c r="B8">
        <v>4</v>
      </c>
      <c r="C8">
        <f>GETPIVOTDATA("Result",Seat_Order_Pivot!$A$3,"Seat",Table3[[#This Row],[Seat]],"Result","Win")</f>
        <v>67</v>
      </c>
      <c r="D8" s="4">
        <f>Table3[[#This Row],[Count Result]]/(C15+C16)</f>
        <v>0.15158371040723981</v>
      </c>
      <c r="F8" t="s">
        <v>63</v>
      </c>
      <c r="G8" s="4">
        <f>1-G5-G6-G7</f>
        <v>7.142857142857148E-2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105</v>
      </c>
      <c r="D10" s="4">
        <f>Table3[[#This Row],[Count Result]]/C13</f>
        <v>0.1761744966442953</v>
      </c>
      <c r="F10">
        <v>1</v>
      </c>
      <c r="G10" s="4">
        <f>GETPIVOTDATA("Result",pivot_seat_New!$A$5,"Seat",Table41112[[#This Row],[4 pods]],"Pod Size",4)/C15</f>
        <v>0.24574209245742093</v>
      </c>
    </row>
    <row r="11" spans="2:7" x14ac:dyDescent="0.45">
      <c r="F11">
        <v>2</v>
      </c>
      <c r="G11" s="4">
        <f>GETPIVOTDATA("Result",pivot_seat_New!$A$5,"Seat",Table41112[[#This Row],[4 pods]],"Pod Size",4)/C15</f>
        <v>0.22384428223844283</v>
      </c>
    </row>
    <row r="12" spans="2:7" x14ac:dyDescent="0.45">
      <c r="B12" t="s">
        <v>71</v>
      </c>
      <c r="C12" t="s">
        <v>69</v>
      </c>
      <c r="F12">
        <v>3</v>
      </c>
      <c r="G12" s="4">
        <f>GETPIVOTDATA("Result",pivot_seat_New!$A$5,"Seat",Table41112[[#This Row],[4 pods]],"Pod Size",4)/C15</f>
        <v>0.15815085158150852</v>
      </c>
    </row>
    <row r="13" spans="2:7" x14ac:dyDescent="0.45">
      <c r="B13" t="s">
        <v>68</v>
      </c>
      <c r="C13">
        <f>SUM(Table3[Count Result])</f>
        <v>596</v>
      </c>
      <c r="F13">
        <v>4</v>
      </c>
      <c r="G13" s="4">
        <f>GETPIVOTDATA("Result",pivot_seat_New!$A$5,"Seat",Table41112[[#This Row],[4 pods]],"Pod Size",4)/C15</f>
        <v>0.14841849148418493</v>
      </c>
    </row>
    <row r="14" spans="2:7" x14ac:dyDescent="0.45">
      <c r="B14" t="s">
        <v>72</v>
      </c>
      <c r="C14">
        <f>(C13)-((GETPIVOTDATA("Result",Seat_Order_Pivot!$A$3,"Seat",4,"Result","Win")) + (GETPIVOTDATA("Result",Seat_Order_Pivot!$A$3,"Seat",4,"Result","Loss")) + (GETPIVOTDATA("Result",Seat_Order_Pivot!$A$3,"Seat",4,"Result","Draw")))</f>
        <v>154</v>
      </c>
      <c r="F14" t="s">
        <v>63</v>
      </c>
      <c r="G14" s="4">
        <f>1-G11-G12-G13-G10</f>
        <v>0.2238442822384428</v>
      </c>
    </row>
    <row r="15" spans="2:7" x14ac:dyDescent="0.45">
      <c r="B15" t="s">
        <v>73</v>
      </c>
      <c r="C15">
        <f>C13-C14-C16</f>
        <v>411</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105</v>
      </c>
      <c r="C3" s="19">
        <v>320</v>
      </c>
      <c r="D3" s="19">
        <v>171</v>
      </c>
      <c r="E3" s="19">
        <v>596</v>
      </c>
    </row>
    <row r="4" spans="1:5" x14ac:dyDescent="0.45">
      <c r="A4" s="3">
        <v>2</v>
      </c>
      <c r="B4" s="19">
        <v>104</v>
      </c>
      <c r="C4" s="19">
        <v>353</v>
      </c>
      <c r="D4" s="19">
        <v>138</v>
      </c>
      <c r="E4" s="19">
        <v>595</v>
      </c>
    </row>
    <row r="5" spans="1:5" x14ac:dyDescent="0.45">
      <c r="A5" s="3">
        <v>3</v>
      </c>
      <c r="B5" s="19">
        <v>105</v>
      </c>
      <c r="C5" s="19">
        <v>382</v>
      </c>
      <c r="D5" s="19">
        <v>109</v>
      </c>
      <c r="E5" s="19">
        <v>596</v>
      </c>
    </row>
    <row r="6" spans="1:5" x14ac:dyDescent="0.45">
      <c r="A6" s="3">
        <v>4</v>
      </c>
      <c r="B6" s="19">
        <v>94</v>
      </c>
      <c r="C6" s="19">
        <v>281</v>
      </c>
      <c r="D6" s="19">
        <v>67</v>
      </c>
      <c r="E6" s="19">
        <v>442</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410</v>
      </c>
      <c r="C9" s="19">
        <v>1377</v>
      </c>
      <c r="D9" s="19">
        <v>497</v>
      </c>
      <c r="E9" s="19">
        <v>2284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6"/>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5</v>
      </c>
      <c r="D7" s="19">
        <v>11</v>
      </c>
    </row>
    <row r="8" spans="1:4" x14ac:dyDescent="0.45">
      <c r="A8" s="3" t="s">
        <v>19</v>
      </c>
      <c r="B8" s="19">
        <v>9</v>
      </c>
      <c r="C8" s="19">
        <v>5</v>
      </c>
      <c r="D8" s="19">
        <v>10</v>
      </c>
    </row>
    <row r="9" spans="1:4" x14ac:dyDescent="0.45">
      <c r="A9" s="3" t="s">
        <v>13</v>
      </c>
      <c r="B9" s="19">
        <v>14</v>
      </c>
      <c r="C9" s="19">
        <v>3</v>
      </c>
      <c r="D9" s="19">
        <v>9</v>
      </c>
    </row>
    <row r="10" spans="1:4" x14ac:dyDescent="0.45">
      <c r="A10" s="3" t="s">
        <v>10</v>
      </c>
      <c r="B10" s="19">
        <v>11</v>
      </c>
      <c r="C10" s="19"/>
      <c r="D10" s="19">
        <v>7</v>
      </c>
    </row>
    <row r="11" spans="1:4" x14ac:dyDescent="0.45">
      <c r="A11" s="3" t="s">
        <v>7</v>
      </c>
      <c r="B11" s="19">
        <v>7</v>
      </c>
      <c r="C11" s="19">
        <v>8</v>
      </c>
      <c r="D11" s="19">
        <v>9</v>
      </c>
    </row>
    <row r="12" spans="1:4" x14ac:dyDescent="0.45">
      <c r="A12" s="3" t="s">
        <v>20</v>
      </c>
      <c r="B12" s="19">
        <v>5</v>
      </c>
      <c r="C12" s="19">
        <v>5</v>
      </c>
      <c r="D12" s="19">
        <v>4</v>
      </c>
    </row>
    <row r="13" spans="1:4" x14ac:dyDescent="0.45">
      <c r="A13" s="3" t="s">
        <v>15</v>
      </c>
      <c r="B13" s="19">
        <v>6</v>
      </c>
      <c r="C13" s="19">
        <v>11</v>
      </c>
      <c r="D13" s="19">
        <v>7</v>
      </c>
    </row>
    <row r="14" spans="1:4" x14ac:dyDescent="0.45">
      <c r="A14" s="3" t="s">
        <v>11</v>
      </c>
      <c r="B14" s="19">
        <v>5</v>
      </c>
      <c r="C14" s="19">
        <v>3</v>
      </c>
      <c r="D14" s="19">
        <v>6</v>
      </c>
    </row>
    <row r="15" spans="1:4" x14ac:dyDescent="0.45">
      <c r="A15" s="3" t="s">
        <v>9</v>
      </c>
      <c r="B15" s="19">
        <v>7</v>
      </c>
      <c r="C15" s="19">
        <v>3</v>
      </c>
      <c r="D15" s="19">
        <v>14</v>
      </c>
    </row>
    <row r="16" spans="1:4" x14ac:dyDescent="0.45">
      <c r="A16" s="3" t="s">
        <v>17</v>
      </c>
      <c r="B16" s="19">
        <v>10</v>
      </c>
      <c r="C16" s="19">
        <v>2</v>
      </c>
      <c r="D16" s="19">
        <v>8</v>
      </c>
    </row>
    <row r="17" spans="1:4" x14ac:dyDescent="0.45">
      <c r="A17" s="3" t="s">
        <v>28</v>
      </c>
      <c r="B17" s="19">
        <v>3</v>
      </c>
      <c r="C17" s="19">
        <v>8</v>
      </c>
      <c r="D17" s="19">
        <v>11</v>
      </c>
    </row>
    <row r="18" spans="1:4" x14ac:dyDescent="0.45">
      <c r="A18" s="3" t="s">
        <v>27</v>
      </c>
      <c r="B18" s="19">
        <v>12</v>
      </c>
      <c r="C18" s="19">
        <v>3</v>
      </c>
      <c r="D18" s="19">
        <v>1</v>
      </c>
    </row>
    <row r="19" spans="1:4" x14ac:dyDescent="0.45">
      <c r="A19" s="3" t="s">
        <v>41</v>
      </c>
      <c r="B19" s="19">
        <v>11</v>
      </c>
      <c r="C19" s="19">
        <v>2</v>
      </c>
      <c r="D19" s="19">
        <v>1</v>
      </c>
    </row>
    <row r="20" spans="1:4" x14ac:dyDescent="0.45">
      <c r="A20" s="3" t="s">
        <v>42</v>
      </c>
      <c r="B20" s="19">
        <v>2</v>
      </c>
      <c r="C20" s="19"/>
      <c r="D20" s="19"/>
    </row>
    <row r="21" spans="1:4" x14ac:dyDescent="0.45">
      <c r="A21" s="3" t="s">
        <v>51</v>
      </c>
      <c r="B21" s="19">
        <v>9</v>
      </c>
      <c r="C21" s="19"/>
      <c r="D21" s="19">
        <v>7</v>
      </c>
    </row>
    <row r="22" spans="1:4" x14ac:dyDescent="0.45">
      <c r="A22" s="3" t="s">
        <v>352</v>
      </c>
      <c r="B22" s="19">
        <v>7</v>
      </c>
      <c r="C22" s="19">
        <v>3</v>
      </c>
      <c r="D22" s="19">
        <v>2</v>
      </c>
    </row>
    <row r="23" spans="1:4" x14ac:dyDescent="0.45">
      <c r="A23" s="3" t="s">
        <v>325</v>
      </c>
      <c r="B23" s="19">
        <v>14</v>
      </c>
      <c r="C23" s="19">
        <v>3</v>
      </c>
      <c r="D23" s="19">
        <v>5</v>
      </c>
    </row>
    <row r="24" spans="1:4" x14ac:dyDescent="0.45">
      <c r="A24" s="3" t="s">
        <v>326</v>
      </c>
      <c r="B24" s="19">
        <v>4</v>
      </c>
      <c r="C24" s="19">
        <v>2</v>
      </c>
      <c r="D24" s="19">
        <v>2</v>
      </c>
    </row>
    <row r="25" spans="1:4" x14ac:dyDescent="0.45">
      <c r="A25" s="3" t="s">
        <v>351</v>
      </c>
      <c r="B25" s="19">
        <v>6</v>
      </c>
      <c r="C25" s="19">
        <v>2</v>
      </c>
      <c r="D25" s="19">
        <v>10</v>
      </c>
    </row>
    <row r="26" spans="1:4" x14ac:dyDescent="0.45">
      <c r="A26" s="3" t="s">
        <v>364</v>
      </c>
      <c r="B26" s="19">
        <v>2</v>
      </c>
      <c r="C26" s="19"/>
      <c r="D26" s="19">
        <v>2</v>
      </c>
    </row>
    <row r="27" spans="1:4" x14ac:dyDescent="0.45">
      <c r="A27" s="3" t="s">
        <v>402</v>
      </c>
      <c r="B27" s="19">
        <v>3</v>
      </c>
      <c r="C27" s="19">
        <v>1</v>
      </c>
      <c r="D27" s="19">
        <v>2</v>
      </c>
    </row>
    <row r="28" spans="1:4" x14ac:dyDescent="0.45">
      <c r="A28" s="3" t="s">
        <v>404</v>
      </c>
      <c r="B28" s="19">
        <v>1</v>
      </c>
      <c r="C28" s="19"/>
      <c r="D28" s="19"/>
    </row>
    <row r="29" spans="1:4" x14ac:dyDescent="0.45">
      <c r="A29" s="3" t="s">
        <v>405</v>
      </c>
      <c r="B29" s="19">
        <v>3</v>
      </c>
      <c r="C29" s="19">
        <v>5</v>
      </c>
      <c r="D29" s="19">
        <v>8</v>
      </c>
    </row>
    <row r="30" spans="1:4" x14ac:dyDescent="0.45">
      <c r="A30" s="3" t="s">
        <v>435</v>
      </c>
      <c r="B30" s="19">
        <v>2</v>
      </c>
      <c r="C30" s="19"/>
      <c r="D30" s="19"/>
    </row>
    <row r="31" spans="1:4" x14ac:dyDescent="0.45">
      <c r="A31" s="3" t="s">
        <v>433</v>
      </c>
      <c r="B31" s="19">
        <v>8</v>
      </c>
      <c r="C31" s="19"/>
      <c r="D31" s="19">
        <v>4</v>
      </c>
    </row>
    <row r="32" spans="1:4" x14ac:dyDescent="0.45">
      <c r="A32" s="3" t="s">
        <v>438</v>
      </c>
      <c r="B32" s="19"/>
      <c r="C32" s="19">
        <v>1</v>
      </c>
      <c r="D32" s="19">
        <v>1</v>
      </c>
    </row>
    <row r="33" spans="1:4" x14ac:dyDescent="0.45">
      <c r="A33" s="3" t="s">
        <v>464</v>
      </c>
      <c r="B33" s="19"/>
      <c r="C33" s="19"/>
      <c r="D33" s="19">
        <v>2</v>
      </c>
    </row>
    <row r="34" spans="1:4" x14ac:dyDescent="0.45">
      <c r="A34" s="3" t="s">
        <v>519</v>
      </c>
      <c r="B34" s="19">
        <v>9</v>
      </c>
      <c r="C34" s="19">
        <v>1</v>
      </c>
      <c r="D34" s="19">
        <v>2</v>
      </c>
    </row>
    <row r="35" spans="1:4" x14ac:dyDescent="0.45">
      <c r="A35" s="3" t="s">
        <v>540</v>
      </c>
      <c r="B35" s="19">
        <v>5</v>
      </c>
      <c r="C35" s="19"/>
      <c r="D35" s="19">
        <v>3</v>
      </c>
    </row>
    <row r="36" spans="1:4" x14ac:dyDescent="0.45">
      <c r="A36" s="3" t="s">
        <v>567</v>
      </c>
      <c r="B36" s="19">
        <v>3</v>
      </c>
      <c r="C36" s="19"/>
      <c r="D36" s="19">
        <v>1</v>
      </c>
    </row>
    <row r="37" spans="1:4" x14ac:dyDescent="0.45">
      <c r="A37" s="3" t="s">
        <v>578</v>
      </c>
      <c r="B37" s="19">
        <v>8</v>
      </c>
      <c r="C37" s="19">
        <v>6</v>
      </c>
      <c r="D37" s="19">
        <v>8</v>
      </c>
    </row>
    <row r="38" spans="1:4" x14ac:dyDescent="0.45">
      <c r="A38" s="3" t="s">
        <v>605</v>
      </c>
      <c r="B38" s="19">
        <v>2</v>
      </c>
      <c r="C38" s="19"/>
      <c r="D38" s="19"/>
    </row>
    <row r="39" spans="1:4" x14ac:dyDescent="0.45">
      <c r="A39" s="3" t="s">
        <v>608</v>
      </c>
      <c r="B39" s="19">
        <v>2</v>
      </c>
      <c r="C39" s="19"/>
      <c r="D39" s="19"/>
    </row>
    <row r="40" spans="1:4" x14ac:dyDescent="0.45">
      <c r="A40" s="3" t="s">
        <v>609</v>
      </c>
      <c r="B40" s="19">
        <v>11</v>
      </c>
      <c r="C40" s="19">
        <v>1</v>
      </c>
      <c r="D40" s="19">
        <v>4</v>
      </c>
    </row>
    <row r="41" spans="1:4" x14ac:dyDescent="0.45">
      <c r="A41" s="3" t="s">
        <v>622</v>
      </c>
      <c r="B41" s="19">
        <v>6</v>
      </c>
      <c r="C41" s="19">
        <v>2</v>
      </c>
      <c r="D41" s="19"/>
    </row>
    <row r="42" spans="1:4" x14ac:dyDescent="0.45">
      <c r="A42" s="3" t="s">
        <v>693</v>
      </c>
      <c r="B42" s="19">
        <v>2</v>
      </c>
      <c r="C42" s="19"/>
      <c r="D42" s="19"/>
    </row>
    <row r="43" spans="1:4" x14ac:dyDescent="0.45">
      <c r="A43" s="3" t="s">
        <v>703</v>
      </c>
      <c r="B43" s="19"/>
      <c r="C43" s="19"/>
      <c r="D43" s="19">
        <v>2</v>
      </c>
    </row>
    <row r="44" spans="1:4" x14ac:dyDescent="0.45">
      <c r="A44" s="3" t="s">
        <v>723</v>
      </c>
      <c r="B44" s="19">
        <v>4</v>
      </c>
      <c r="C44" s="19"/>
      <c r="D44" s="19">
        <v>2</v>
      </c>
    </row>
    <row r="45" spans="1:4" x14ac:dyDescent="0.45">
      <c r="A45" s="3" t="s">
        <v>734</v>
      </c>
      <c r="B45" s="19">
        <v>2</v>
      </c>
      <c r="C45" s="19"/>
      <c r="D45" s="19">
        <v>2</v>
      </c>
    </row>
    <row r="46" spans="1:4" x14ac:dyDescent="0.45">
      <c r="A46" s="3" t="s">
        <v>24</v>
      </c>
      <c r="B46" s="19">
        <v>225</v>
      </c>
      <c r="C46" s="19">
        <v>85</v>
      </c>
      <c r="D46" s="19">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24</v>
      </c>
      <c r="C4" s="19">
        <v>10</v>
      </c>
      <c r="D4" s="19">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352</v>
      </c>
      <c r="B5" s="19">
        <v>18</v>
      </c>
      <c r="C5" s="19">
        <v>6</v>
      </c>
      <c r="D5" s="19">
        <v>7</v>
      </c>
      <c r="E5" s="4">
        <f t="shared" si="0"/>
        <v>0.33333333333333331</v>
      </c>
      <c r="F5" s="4">
        <f t="shared" si="1"/>
        <v>0.3888888888888889</v>
      </c>
      <c r="G5" s="4">
        <f>IFERROR(1-Table5[[#This Row],[Loss % Against]]-Table5[[#This Row],[Win% Against]],"")</f>
        <v>0.27777777777777785</v>
      </c>
      <c r="H5" s="16">
        <f>IFERROR(IF(B5=0,"",
 IF(Table5[[#This Row],[Win% Against]] &gt; Table5[[#This Row],[Loss % Against]], 1,
 IF(Table5[[#This Row],[Win% Against]] &lt; Table5[[#This Row],[Loss % Against]], -1, 0))), "")</f>
        <v>-1</v>
      </c>
    </row>
    <row r="6" spans="1:8" x14ac:dyDescent="0.45">
      <c r="A6" s="3" t="s">
        <v>28</v>
      </c>
      <c r="B6" s="19">
        <v>18</v>
      </c>
      <c r="C6" s="19">
        <v>7</v>
      </c>
      <c r="D6" s="19">
        <v>4</v>
      </c>
      <c r="E6" s="4">
        <f t="shared" si="0"/>
        <v>0.3888888888888889</v>
      </c>
      <c r="F6" s="4">
        <f t="shared" si="1"/>
        <v>0.22222222222222221</v>
      </c>
      <c r="G6" s="4">
        <f>IFERROR(1-Table5[[#This Row],[Loss % Against]]-Table5[[#This Row],[Win% Against]],"")</f>
        <v>0.3888888888888889</v>
      </c>
      <c r="H6" s="16">
        <f>IFERROR(IF(B6=0,"",
 IF(Table5[[#This Row],[Win% Against]] &gt; Table5[[#This Row],[Loss % Against]], 1,
 IF(Table5[[#This Row],[Win% Against]] &lt; Table5[[#This Row],[Loss % Against]], -1, 0))), "")</f>
        <v>1</v>
      </c>
    </row>
    <row r="7" spans="1:8" x14ac:dyDescent="0.45">
      <c r="A7" s="3" t="s">
        <v>14</v>
      </c>
      <c r="B7" s="19">
        <v>18</v>
      </c>
      <c r="C7" s="19">
        <v>7</v>
      </c>
      <c r="D7" s="19">
        <v>3</v>
      </c>
      <c r="E7" s="4">
        <f t="shared" si="0"/>
        <v>0.3888888888888889</v>
      </c>
      <c r="F7" s="4">
        <f t="shared" si="1"/>
        <v>0.16666666666666666</v>
      </c>
      <c r="G7" s="4">
        <f>IFERROR(1-Table5[[#This Row],[Loss % Against]]-Table5[[#This Row],[Win% Against]],"")</f>
        <v>0.44444444444444448</v>
      </c>
      <c r="H7" s="16">
        <f>IFERROR(IF(B7=0,"",
 IF(Table5[[#This Row],[Win% Against]] &gt; Table5[[#This Row],[Loss % Against]], 1,
 IF(Table5[[#This Row],[Win% Against]] &lt; Table5[[#This Row],[Loss % Against]], -1, 0))), "")</f>
        <v>1</v>
      </c>
    </row>
    <row r="8" spans="1:8" x14ac:dyDescent="0.45">
      <c r="A8" s="3" t="s">
        <v>10</v>
      </c>
      <c r="B8" s="19">
        <v>16</v>
      </c>
      <c r="C8" s="19">
        <v>5</v>
      </c>
      <c r="D8" s="19">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19</v>
      </c>
      <c r="B9" s="19">
        <v>15</v>
      </c>
      <c r="C9" s="19">
        <v>4</v>
      </c>
      <c r="D9" s="19">
        <v>3</v>
      </c>
      <c r="E9" s="4">
        <f t="shared" si="0"/>
        <v>0.26666666666666666</v>
      </c>
      <c r="F9" s="4">
        <f t="shared" si="1"/>
        <v>0.2</v>
      </c>
      <c r="G9" s="4">
        <f>IFERROR(1-Table5[[#This Row],[Loss % Against]]-Table5[[#This Row],[Win% Against]],"")</f>
        <v>0.53333333333333344</v>
      </c>
      <c r="H9" s="16">
        <f>IFERROR(IF(B9=0,"",
 IF(Table5[[#This Row],[Win% Against]] &gt; Table5[[#This Row],[Loss % Against]], 1,
 IF(Table5[[#This Row],[Win% Against]] &lt; Table5[[#This Row],[Loss % Against]], -1, 0))), "")</f>
        <v>1</v>
      </c>
    </row>
    <row r="10" spans="1:8" x14ac:dyDescent="0.45">
      <c r="A10" s="3" t="s">
        <v>15</v>
      </c>
      <c r="B10" s="19">
        <v>15</v>
      </c>
      <c r="C10" s="19">
        <v>7</v>
      </c>
      <c r="D10" s="19">
        <v>2</v>
      </c>
      <c r="E10" s="4">
        <f t="shared" si="0"/>
        <v>0.46666666666666667</v>
      </c>
      <c r="F10" s="4">
        <f t="shared" si="1"/>
        <v>0.13333333333333333</v>
      </c>
      <c r="G10" s="4">
        <f>IFERROR(1-Table5[[#This Row],[Loss % Against]]-Table5[[#This Row],[Win% Against]],"")</f>
        <v>0.4</v>
      </c>
      <c r="H10" s="16">
        <f>IFERROR(IF(B10=0,"",
 IF(Table5[[#This Row],[Win% Against]] &gt; Table5[[#This Row],[Loss % Against]], 1,
 IF(Table5[[#This Row],[Win% Against]] &lt; Table5[[#This Row],[Loss % Against]], -1, 0))), "")</f>
        <v>1</v>
      </c>
    </row>
    <row r="11" spans="1:8" x14ac:dyDescent="0.45">
      <c r="A11" s="3" t="s">
        <v>13</v>
      </c>
      <c r="B11" s="19">
        <v>14</v>
      </c>
      <c r="C11" s="19">
        <v>3</v>
      </c>
      <c r="D11" s="19">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11</v>
      </c>
      <c r="C15" s="19">
        <v>4</v>
      </c>
      <c r="D15" s="19">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s="19">
        <v>10</v>
      </c>
      <c r="C17" s="19">
        <v>3</v>
      </c>
      <c r="D17" s="19">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51</v>
      </c>
      <c r="B18" s="19">
        <v>9</v>
      </c>
      <c r="C18" s="19">
        <v>5</v>
      </c>
      <c r="D18" s="19">
        <v>0</v>
      </c>
      <c r="E18" s="4">
        <f t="shared" si="0"/>
        <v>0.55555555555555558</v>
      </c>
      <c r="F18" s="4">
        <f t="shared" si="1"/>
        <v>0</v>
      </c>
      <c r="G18" s="4">
        <f>IFERROR(1-Table5[[#This Row],[Loss % Against]]-Table5[[#This Row],[Win% Against]],"")</f>
        <v>0.44444444444444442</v>
      </c>
      <c r="H18" s="16">
        <f>IFERROR(IF(B18=0,"",
 IF(Table5[[#This Row],[Win% Against]] &gt; Table5[[#This Row],[Loss % Against]], 1,
 IF(Table5[[#This Row],[Win% Against]] &lt; Table5[[#This Row],[Loss % Against]], -1, 0))), "")</f>
        <v>1</v>
      </c>
    </row>
    <row r="19" spans="1:8" x14ac:dyDescent="0.45">
      <c r="A19" s="3" t="s">
        <v>436</v>
      </c>
      <c r="B19" s="19">
        <v>9</v>
      </c>
      <c r="C19" s="19">
        <v>2</v>
      </c>
      <c r="D19" s="19">
        <v>0</v>
      </c>
      <c r="E19" s="4">
        <f t="shared" si="0"/>
        <v>0.22222222222222221</v>
      </c>
      <c r="F19" s="4">
        <f t="shared" si="1"/>
        <v>0</v>
      </c>
      <c r="G19" s="4">
        <f>IFERROR(1-Table5[[#This Row],[Loss % Against]]-Table5[[#This Row],[Win% Against]],"")</f>
        <v>0.77777777777777779</v>
      </c>
      <c r="H19" s="16">
        <f>IFERROR(IF(B19=0,"",
 IF(Table5[[#This Row],[Win% Against]] &gt; Table5[[#This Row],[Loss % Against]], 1,
 IF(Table5[[#This Row],[Win% Against]] &lt; Table5[[#This Row],[Loss % Against]], -1, 0))), "")</f>
        <v>1</v>
      </c>
    </row>
    <row r="20" spans="1:8" x14ac:dyDescent="0.45">
      <c r="A20" s="3" t="s">
        <v>27</v>
      </c>
      <c r="B20" s="19">
        <v>8</v>
      </c>
      <c r="C20" s="19">
        <v>3</v>
      </c>
      <c r="D20" s="19">
        <v>0</v>
      </c>
      <c r="E20" s="4">
        <f t="shared" si="0"/>
        <v>0.375</v>
      </c>
      <c r="F20" s="4">
        <f t="shared" si="1"/>
        <v>0</v>
      </c>
      <c r="G20" s="4">
        <f>IFERROR(1-Table5[[#This Row],[Loss % Against]]-Table5[[#This Row],[Win% Against]],"")</f>
        <v>0.625</v>
      </c>
      <c r="H20" s="16">
        <f>IFERROR(IF(B20=0,"",
 IF(Table5[[#This Row],[Win% Against]] &gt; Table5[[#This Row],[Loss % Against]], 1,
 IF(Table5[[#This Row],[Win% Against]] &lt; Table5[[#This Row],[Loss % Against]], -1, 0))), "")</f>
        <v>1</v>
      </c>
    </row>
    <row r="21" spans="1:8" x14ac:dyDescent="0.45">
      <c r="A21" s="3" t="s">
        <v>405</v>
      </c>
      <c r="B21" s="19">
        <v>7</v>
      </c>
      <c r="C21" s="19">
        <v>1</v>
      </c>
      <c r="D21" s="19">
        <v>1</v>
      </c>
      <c r="E21" s="4">
        <f t="shared" si="0"/>
        <v>0.14285714285714285</v>
      </c>
      <c r="F21" s="4">
        <f t="shared" si="1"/>
        <v>0.14285714285714285</v>
      </c>
      <c r="G21" s="4">
        <f>IFERROR(1-Table5[[#This Row],[Loss % Against]]-Table5[[#This Row],[Win% Against]],"")</f>
        <v>0.71428571428571441</v>
      </c>
      <c r="H21" s="16">
        <f>IFERROR(IF(B21=0,"",
 IF(Table5[[#This Row],[Win% Against]] &gt; Table5[[#This Row],[Loss % Against]], 1,
 IF(Table5[[#This Row],[Win% Against]] &lt; Table5[[#This Row],[Loss % Against]], -1, 0))), "")</f>
        <v>0</v>
      </c>
    </row>
    <row r="22" spans="1:8" x14ac:dyDescent="0.45">
      <c r="A22" s="3" t="s">
        <v>321</v>
      </c>
      <c r="B22" s="19">
        <v>7</v>
      </c>
      <c r="C22" s="19">
        <v>2</v>
      </c>
      <c r="D22" s="19">
        <v>0</v>
      </c>
      <c r="E22" s="4">
        <f t="shared" si="0"/>
        <v>0.2857142857142857</v>
      </c>
      <c r="F22" s="4">
        <f t="shared" si="1"/>
        <v>0</v>
      </c>
      <c r="G22" s="4">
        <f>IFERROR(1-Table5[[#This Row],[Loss % Against]]-Table5[[#This Row],[Win% Against]],"")</f>
        <v>0.7142857142857143</v>
      </c>
      <c r="H22" s="16">
        <f>IFERROR(IF(B22=0,"",
 IF(Table5[[#This Row],[Win% Against]] &gt; Table5[[#This Row],[Loss % Against]], 1,
 IF(Table5[[#This Row],[Win% Against]] &lt; Table5[[#This Row],[Loss % Against]], -1, 0))), "")</f>
        <v>1</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76</v>
      </c>
      <c r="B25" s="19">
        <v>4</v>
      </c>
      <c r="C25" s="19">
        <v>2</v>
      </c>
      <c r="D25" s="19">
        <v>0</v>
      </c>
      <c r="E25" s="4">
        <f t="shared" si="0"/>
        <v>0.5</v>
      </c>
      <c r="F25" s="4">
        <f t="shared" si="1"/>
        <v>0</v>
      </c>
      <c r="G25" s="4">
        <f>IFERROR(1-Table5[[#This Row],[Loss % Against]]-Table5[[#This Row],[Win% Against]],"")</f>
        <v>0.5</v>
      </c>
      <c r="H25" s="16">
        <f>IFERROR(IF(B25=0,"",
 IF(Table5[[#This Row],[Win% Against]] &gt; Table5[[#This Row],[Loss % Against]], 1,
 IF(Table5[[#This Row],[Win% Against]] &lt; Table5[[#This Row],[Loss % Against]], -1, 0))), "")</f>
        <v>1</v>
      </c>
    </row>
    <row r="26" spans="1:8" x14ac:dyDescent="0.45">
      <c r="A26" s="3" t="s">
        <v>433</v>
      </c>
      <c r="B26" s="19">
        <v>4</v>
      </c>
      <c r="C26" s="19">
        <v>3</v>
      </c>
      <c r="D26" s="19">
        <v>0</v>
      </c>
      <c r="E26" s="4">
        <f t="shared" si="0"/>
        <v>0.75</v>
      </c>
      <c r="F26" s="4">
        <f t="shared" si="1"/>
        <v>0</v>
      </c>
      <c r="G26" s="4">
        <f>IFERROR(1-Table5[[#This Row],[Loss % Against]]-Table5[[#This Row],[Win% Against]],"")</f>
        <v>0.25</v>
      </c>
      <c r="H26" s="16">
        <f>IFERROR(IF(B26=0,"",
 IF(Table5[[#This Row],[Win% Against]] &gt; Table5[[#This Row],[Loss % Against]], 1,
 IF(Table5[[#This Row],[Win% Against]] &lt; Table5[[#This Row],[Loss % Against]], -1, 0))), "")</f>
        <v>1</v>
      </c>
    </row>
    <row r="27" spans="1:8" x14ac:dyDescent="0.45">
      <c r="A27" s="3" t="s">
        <v>326</v>
      </c>
      <c r="B27" s="19">
        <v>4</v>
      </c>
      <c r="C27" s="19">
        <v>2</v>
      </c>
      <c r="D27" s="19">
        <v>1</v>
      </c>
      <c r="E27" s="4">
        <f t="shared" si="0"/>
        <v>0.5</v>
      </c>
      <c r="F27" s="4">
        <f t="shared" si="1"/>
        <v>0.25</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44</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s="19">
        <v>4</v>
      </c>
      <c r="C30" s="19">
        <v>1</v>
      </c>
      <c r="D30" s="19">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363</v>
      </c>
      <c r="B31" s="19">
        <v>4</v>
      </c>
      <c r="C31" s="19">
        <v>1</v>
      </c>
      <c r="D31" s="19">
        <v>0</v>
      </c>
      <c r="E31" s="4">
        <f t="shared" si="0"/>
        <v>0.25</v>
      </c>
      <c r="F31" s="4">
        <f t="shared" si="1"/>
        <v>0</v>
      </c>
      <c r="G31" s="4">
        <f>IFERROR(1-Table5[[#This Row],[Loss % Against]]-Table5[[#This Row],[Win% Against]],"")</f>
        <v>0.75</v>
      </c>
      <c r="H31" s="16">
        <f>IFERROR(IF(B31=0,"",
 IF(Table5[[#This Row],[Win% Against]] &gt; Table5[[#This Row],[Loss % Against]], 1,
 IF(Table5[[#This Row],[Win% Against]] &lt; Table5[[#This Row],[Loss % Against]], -1, 0))), "")</f>
        <v>1</v>
      </c>
    </row>
    <row r="32" spans="1:8" x14ac:dyDescent="0.4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45">
      <c r="A33" s="3" t="s">
        <v>609</v>
      </c>
      <c r="B33" s="19">
        <v>3</v>
      </c>
      <c r="C33" s="19">
        <v>2</v>
      </c>
      <c r="D33" s="19">
        <v>0</v>
      </c>
      <c r="E33" s="4">
        <f t="shared" si="0"/>
        <v>0.66666666666666663</v>
      </c>
      <c r="F33" s="4">
        <f t="shared" si="1"/>
        <v>0</v>
      </c>
      <c r="G33" s="4">
        <f>IFERROR(1-Table5[[#This Row],[Loss % Against]]-Table5[[#This Row],[Win% Against]],"")</f>
        <v>0.33333333333333337</v>
      </c>
      <c r="H33" s="16">
        <f>IFERROR(IF(B33=0,"",
 IF(Table5[[#This Row],[Win% Against]] &gt; Table5[[#This Row],[Loss % Against]], 1,
 IF(Table5[[#This Row],[Win% Against]] &lt; Table5[[#This Row],[Loss % Against]], -1, 0))), "")</f>
        <v>1</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578</v>
      </c>
      <c r="B35" s="19">
        <v>3</v>
      </c>
      <c r="C35" s="19">
        <v>0</v>
      </c>
      <c r="D35" s="19">
        <v>1</v>
      </c>
      <c r="E35" s="4">
        <f t="shared" si="0"/>
        <v>0</v>
      </c>
      <c r="F35" s="4">
        <f t="shared" si="1"/>
        <v>0.33333333333333331</v>
      </c>
      <c r="G35" s="4">
        <f>IFERROR(1-Table5[[#This Row],[Loss % Against]]-Table5[[#This Row],[Win% Against]],"")</f>
        <v>0.66666666666666674</v>
      </c>
      <c r="H35" s="16">
        <f>IFERROR(IF(B35=0,"",
 IF(Table5[[#This Row],[Win% Against]] &gt; Table5[[#This Row],[Loss % Against]], 1,
 IF(Table5[[#This Row],[Win% Against]] &lt; Table5[[#This Row],[Loss % Against]], -1, 0))), "")</f>
        <v>-1</v>
      </c>
    </row>
    <row r="36" spans="1:8" x14ac:dyDescent="0.45">
      <c r="A36" s="3" t="s">
        <v>16</v>
      </c>
      <c r="B36" s="19">
        <v>2</v>
      </c>
      <c r="C36" s="19">
        <v>1</v>
      </c>
      <c r="D36" s="19">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567</v>
      </c>
      <c r="B37" s="19">
        <v>2</v>
      </c>
      <c r="C37" s="19">
        <v>1</v>
      </c>
      <c r="D37" s="19">
        <v>1</v>
      </c>
      <c r="E37" s="4">
        <f t="shared" si="0"/>
        <v>0.5</v>
      </c>
      <c r="F37" s="4">
        <f t="shared" si="1"/>
        <v>0.5</v>
      </c>
      <c r="G37" s="4">
        <f>IFERROR(1-Table5[[#This Row],[Loss % Against]]-Table5[[#This Row],[Win% Against]],"")</f>
        <v>0</v>
      </c>
      <c r="H37" s="16">
        <f>IFERROR(IF(B37=0,"",
 IF(Table5[[#This Row],[Win% Against]] &gt; Table5[[#This Row],[Loss % Against]], 1,
 IF(Table5[[#This Row],[Win% Against]] &lt; Table5[[#This Row],[Loss % Against]], -1, 0))), "")</f>
        <v>0</v>
      </c>
    </row>
    <row r="38" spans="1:8" x14ac:dyDescent="0.45">
      <c r="A38" s="3" t="s">
        <v>540</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57</v>
      </c>
      <c r="B39" s="19">
        <v>2</v>
      </c>
      <c r="C39" s="19">
        <v>0</v>
      </c>
      <c r="D39" s="1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18</v>
      </c>
      <c r="B40" s="19">
        <v>2</v>
      </c>
      <c r="C40" s="19">
        <v>0</v>
      </c>
      <c r="D40" s="19">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45">
      <c r="A41" s="3" t="s">
        <v>56</v>
      </c>
      <c r="B41" s="19">
        <v>2</v>
      </c>
      <c r="C41" s="19">
        <v>2</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42</v>
      </c>
      <c r="B42" s="19">
        <v>2</v>
      </c>
      <c r="C42" s="19">
        <v>2</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45">
      <c r="A43" s="3" t="s">
        <v>21</v>
      </c>
      <c r="B43" s="19">
        <v>2</v>
      </c>
      <c r="C43" s="19">
        <v>0</v>
      </c>
      <c r="D43" s="19">
        <v>1</v>
      </c>
      <c r="E43" s="4">
        <f t="shared" si="2"/>
        <v>0</v>
      </c>
      <c r="F43" s="4">
        <f t="shared" si="3"/>
        <v>0.5</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59</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478</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45">
      <c r="A46" s="3" t="s">
        <v>622</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55</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46</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45">
      <c r="A49" s="3" t="s">
        <v>365</v>
      </c>
      <c r="B49" s="19">
        <v>1</v>
      </c>
      <c r="C49" s="19">
        <v>0</v>
      </c>
      <c r="D49" s="19">
        <v>0</v>
      </c>
      <c r="E49" s="4">
        <f t="shared" si="2"/>
        <v>0</v>
      </c>
      <c r="F49" s="4">
        <f t="shared" si="3"/>
        <v>0</v>
      </c>
      <c r="G49" s="4">
        <f>IFERROR(1-Table5[[#This Row],[Loss % Against]]-Table5[[#This Row],[Win% Against]],"")</f>
        <v>1</v>
      </c>
      <c r="H49" s="16">
        <f>IFERROR(IF(B49=0,"",
 IF(Table5[[#This Row],[Win% Against]] &gt; Table5[[#This Row],[Loss % Against]], 1,
 IF(Table5[[#This Row],[Win% Against]] &lt; Table5[[#This Row],[Loss % Against]], -1, 0))), "")</f>
        <v>0</v>
      </c>
    </row>
    <row r="50" spans="1:8" x14ac:dyDescent="0.45">
      <c r="A50" s="3" t="s">
        <v>590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402</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61</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734</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45">
      <c r="A54" s="3" t="s">
        <v>29</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40</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421</v>
      </c>
      <c r="B57" s="19">
        <v>1</v>
      </c>
      <c r="C57" s="19">
        <v>1</v>
      </c>
      <c r="D57" s="19">
        <v>0</v>
      </c>
    </row>
    <row r="58" spans="1:8" x14ac:dyDescent="0.45">
      <c r="A58" s="3" t="s">
        <v>579</v>
      </c>
      <c r="B58" s="19">
        <v>1</v>
      </c>
      <c r="C58" s="19">
        <v>0</v>
      </c>
      <c r="D58" s="19">
        <v>0</v>
      </c>
    </row>
    <row r="59" spans="1:8" x14ac:dyDescent="0.45">
      <c r="A59" s="3" t="s">
        <v>322</v>
      </c>
      <c r="B59" s="19">
        <v>1</v>
      </c>
      <c r="C59" s="19">
        <v>0</v>
      </c>
      <c r="D59" s="19">
        <v>1</v>
      </c>
    </row>
    <row r="60" spans="1:8" x14ac:dyDescent="0.45">
      <c r="A60" s="3" t="s">
        <v>53</v>
      </c>
      <c r="B60" s="19">
        <v>1</v>
      </c>
      <c r="C60" s="19">
        <v>1</v>
      </c>
      <c r="D60" s="19">
        <v>0</v>
      </c>
    </row>
    <row r="61" spans="1:8" x14ac:dyDescent="0.45">
      <c r="A61" s="3" t="s">
        <v>434</v>
      </c>
      <c r="B61" s="19">
        <v>1</v>
      </c>
      <c r="C61" s="19">
        <v>0</v>
      </c>
      <c r="D61" s="19">
        <v>1</v>
      </c>
    </row>
    <row r="62" spans="1:8" x14ac:dyDescent="0.45">
      <c r="A62" s="3" t="s">
        <v>693</v>
      </c>
      <c r="B62" s="19">
        <v>1</v>
      </c>
      <c r="C62" s="19">
        <v>1</v>
      </c>
      <c r="D62" s="19">
        <v>0</v>
      </c>
    </row>
    <row r="63" spans="1:8" x14ac:dyDescent="0.45">
      <c r="A63" s="3" t="s">
        <v>437</v>
      </c>
      <c r="B63" s="19">
        <v>1</v>
      </c>
      <c r="C63" s="19">
        <v>0</v>
      </c>
      <c r="D63" s="19">
        <v>0</v>
      </c>
    </row>
    <row r="64" spans="1:8" x14ac:dyDescent="0.45">
      <c r="A64" s="3" t="s">
        <v>438</v>
      </c>
      <c r="B64" s="19">
        <v>1</v>
      </c>
      <c r="C64" s="19">
        <v>0</v>
      </c>
      <c r="D64" s="19">
        <v>0</v>
      </c>
    </row>
    <row r="65" spans="1:4" x14ac:dyDescent="0.45">
      <c r="A65" s="3" t="s">
        <v>404</v>
      </c>
      <c r="B65" s="19">
        <v>1</v>
      </c>
      <c r="C65" s="19">
        <v>0</v>
      </c>
      <c r="D65"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5"/>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5</v>
      </c>
      <c r="D6" s="19">
        <v>11</v>
      </c>
    </row>
    <row r="7" spans="1:4" x14ac:dyDescent="0.45">
      <c r="A7" s="3" t="s">
        <v>19</v>
      </c>
      <c r="B7" s="19">
        <v>9</v>
      </c>
      <c r="C7" s="19">
        <v>5</v>
      </c>
      <c r="D7" s="19">
        <v>10</v>
      </c>
    </row>
    <row r="8" spans="1:4" x14ac:dyDescent="0.45">
      <c r="A8" s="3" t="s">
        <v>13</v>
      </c>
      <c r="B8" s="19">
        <v>14</v>
      </c>
      <c r="C8" s="19">
        <v>3</v>
      </c>
      <c r="D8" s="19">
        <v>9</v>
      </c>
    </row>
    <row r="9" spans="1:4" x14ac:dyDescent="0.45">
      <c r="A9" s="3" t="s">
        <v>10</v>
      </c>
      <c r="B9" s="19">
        <v>11</v>
      </c>
      <c r="C9" s="19"/>
      <c r="D9" s="19">
        <v>7</v>
      </c>
    </row>
    <row r="10" spans="1:4" x14ac:dyDescent="0.45">
      <c r="A10" s="3" t="s">
        <v>7</v>
      </c>
      <c r="B10" s="19">
        <v>7</v>
      </c>
      <c r="C10" s="19">
        <v>8</v>
      </c>
      <c r="D10" s="19">
        <v>9</v>
      </c>
    </row>
    <row r="11" spans="1:4" x14ac:dyDescent="0.45">
      <c r="A11" s="3" t="s">
        <v>20</v>
      </c>
      <c r="B11" s="19">
        <v>5</v>
      </c>
      <c r="C11" s="19">
        <v>5</v>
      </c>
      <c r="D11" s="19">
        <v>4</v>
      </c>
    </row>
    <row r="12" spans="1:4" x14ac:dyDescent="0.45">
      <c r="A12" s="3" t="s">
        <v>15</v>
      </c>
      <c r="B12" s="19">
        <v>6</v>
      </c>
      <c r="C12" s="19">
        <v>11</v>
      </c>
      <c r="D12" s="19">
        <v>7</v>
      </c>
    </row>
    <row r="13" spans="1:4" x14ac:dyDescent="0.45">
      <c r="A13" s="3" t="s">
        <v>11</v>
      </c>
      <c r="B13" s="19">
        <v>5</v>
      </c>
      <c r="C13" s="19">
        <v>3</v>
      </c>
      <c r="D13" s="19">
        <v>6</v>
      </c>
    </row>
    <row r="14" spans="1:4" x14ac:dyDescent="0.45">
      <c r="A14" s="3" t="s">
        <v>9</v>
      </c>
      <c r="B14" s="19">
        <v>7</v>
      </c>
      <c r="C14" s="19">
        <v>3</v>
      </c>
      <c r="D14" s="19">
        <v>14</v>
      </c>
    </row>
    <row r="15" spans="1:4" x14ac:dyDescent="0.45">
      <c r="A15" s="3" t="s">
        <v>17</v>
      </c>
      <c r="B15" s="19">
        <v>10</v>
      </c>
      <c r="C15" s="19">
        <v>2</v>
      </c>
      <c r="D15" s="19">
        <v>8</v>
      </c>
    </row>
    <row r="16" spans="1:4" x14ac:dyDescent="0.45">
      <c r="A16" s="3" t="s">
        <v>28</v>
      </c>
      <c r="B16" s="19">
        <v>3</v>
      </c>
      <c r="C16" s="19">
        <v>8</v>
      </c>
      <c r="D16" s="19">
        <v>11</v>
      </c>
    </row>
    <row r="17" spans="1:4" x14ac:dyDescent="0.45">
      <c r="A17" s="3" t="s">
        <v>27</v>
      </c>
      <c r="B17" s="19">
        <v>12</v>
      </c>
      <c r="C17" s="19">
        <v>3</v>
      </c>
      <c r="D17" s="19">
        <v>1</v>
      </c>
    </row>
    <row r="18" spans="1:4" x14ac:dyDescent="0.45">
      <c r="A18" s="3" t="s">
        <v>41</v>
      </c>
      <c r="B18" s="19">
        <v>11</v>
      </c>
      <c r="C18" s="19">
        <v>2</v>
      </c>
      <c r="D18" s="19">
        <v>1</v>
      </c>
    </row>
    <row r="19" spans="1:4" x14ac:dyDescent="0.45">
      <c r="A19" s="3" t="s">
        <v>42</v>
      </c>
      <c r="B19" s="19">
        <v>2</v>
      </c>
      <c r="C19" s="19"/>
      <c r="D19" s="19"/>
    </row>
    <row r="20" spans="1:4" x14ac:dyDescent="0.45">
      <c r="A20" s="3" t="s">
        <v>51</v>
      </c>
      <c r="B20" s="19">
        <v>9</v>
      </c>
      <c r="C20" s="19"/>
      <c r="D20" s="19">
        <v>7</v>
      </c>
    </row>
    <row r="21" spans="1:4" x14ac:dyDescent="0.45">
      <c r="A21" s="3" t="s">
        <v>352</v>
      </c>
      <c r="B21" s="19">
        <v>7</v>
      </c>
      <c r="C21" s="19">
        <v>3</v>
      </c>
      <c r="D21" s="19">
        <v>2</v>
      </c>
    </row>
    <row r="22" spans="1:4" x14ac:dyDescent="0.45">
      <c r="A22" s="3" t="s">
        <v>325</v>
      </c>
      <c r="B22" s="19">
        <v>14</v>
      </c>
      <c r="C22" s="19">
        <v>3</v>
      </c>
      <c r="D22" s="19">
        <v>5</v>
      </c>
    </row>
    <row r="23" spans="1:4" x14ac:dyDescent="0.45">
      <c r="A23" s="3" t="s">
        <v>326</v>
      </c>
      <c r="B23" s="19">
        <v>4</v>
      </c>
      <c r="C23" s="19">
        <v>2</v>
      </c>
      <c r="D23" s="19">
        <v>2</v>
      </c>
    </row>
    <row r="24" spans="1:4" x14ac:dyDescent="0.45">
      <c r="A24" s="3" t="s">
        <v>351</v>
      </c>
      <c r="B24" s="19">
        <v>6</v>
      </c>
      <c r="C24" s="19">
        <v>2</v>
      </c>
      <c r="D24" s="19">
        <v>10</v>
      </c>
    </row>
    <row r="25" spans="1:4" x14ac:dyDescent="0.45">
      <c r="A25" s="3" t="s">
        <v>364</v>
      </c>
      <c r="B25" s="19">
        <v>2</v>
      </c>
      <c r="C25" s="19"/>
      <c r="D25" s="19">
        <v>2</v>
      </c>
    </row>
    <row r="26" spans="1:4" x14ac:dyDescent="0.45">
      <c r="A26" s="3" t="s">
        <v>402</v>
      </c>
      <c r="B26" s="19">
        <v>3</v>
      </c>
      <c r="C26" s="19">
        <v>1</v>
      </c>
      <c r="D26" s="19">
        <v>2</v>
      </c>
    </row>
    <row r="27" spans="1:4" x14ac:dyDescent="0.45">
      <c r="A27" s="3" t="s">
        <v>404</v>
      </c>
      <c r="B27" s="19">
        <v>1</v>
      </c>
      <c r="C27" s="19"/>
      <c r="D27" s="19"/>
    </row>
    <row r="28" spans="1:4" x14ac:dyDescent="0.45">
      <c r="A28" s="3" t="s">
        <v>405</v>
      </c>
      <c r="B28" s="19">
        <v>3</v>
      </c>
      <c r="C28" s="19">
        <v>5</v>
      </c>
      <c r="D28" s="19">
        <v>8</v>
      </c>
    </row>
    <row r="29" spans="1:4" x14ac:dyDescent="0.45">
      <c r="A29" s="3" t="s">
        <v>435</v>
      </c>
      <c r="B29" s="19">
        <v>2</v>
      </c>
      <c r="C29" s="19"/>
      <c r="D29" s="19"/>
    </row>
    <row r="30" spans="1:4" x14ac:dyDescent="0.45">
      <c r="A30" s="3" t="s">
        <v>433</v>
      </c>
      <c r="B30" s="19">
        <v>8</v>
      </c>
      <c r="C30" s="19"/>
      <c r="D30" s="19">
        <v>4</v>
      </c>
    </row>
    <row r="31" spans="1:4" x14ac:dyDescent="0.45">
      <c r="A31" s="3" t="s">
        <v>438</v>
      </c>
      <c r="B31" s="19"/>
      <c r="C31" s="19">
        <v>1</v>
      </c>
      <c r="D31" s="19">
        <v>1</v>
      </c>
    </row>
    <row r="32" spans="1:4" x14ac:dyDescent="0.45">
      <c r="A32" s="3" t="s">
        <v>464</v>
      </c>
      <c r="B32" s="19"/>
      <c r="C32" s="19"/>
      <c r="D32" s="19">
        <v>2</v>
      </c>
    </row>
    <row r="33" spans="1:4" x14ac:dyDescent="0.45">
      <c r="A33" s="3" t="s">
        <v>519</v>
      </c>
      <c r="B33" s="19">
        <v>9</v>
      </c>
      <c r="C33" s="19">
        <v>1</v>
      </c>
      <c r="D33" s="19">
        <v>2</v>
      </c>
    </row>
    <row r="34" spans="1:4" x14ac:dyDescent="0.45">
      <c r="A34" s="3" t="s">
        <v>540</v>
      </c>
      <c r="B34" s="19">
        <v>5</v>
      </c>
      <c r="C34" s="19"/>
      <c r="D34" s="19">
        <v>3</v>
      </c>
    </row>
    <row r="35" spans="1:4" x14ac:dyDescent="0.45">
      <c r="A35" s="3" t="s">
        <v>567</v>
      </c>
      <c r="B35" s="19">
        <v>3</v>
      </c>
      <c r="C35" s="19"/>
      <c r="D35" s="19">
        <v>1</v>
      </c>
    </row>
    <row r="36" spans="1:4" x14ac:dyDescent="0.45">
      <c r="A36" s="3" t="s">
        <v>578</v>
      </c>
      <c r="B36" s="19">
        <v>8</v>
      </c>
      <c r="C36" s="19">
        <v>6</v>
      </c>
      <c r="D36" s="19">
        <v>8</v>
      </c>
    </row>
    <row r="37" spans="1:4" x14ac:dyDescent="0.45">
      <c r="A37" s="3" t="s">
        <v>605</v>
      </c>
      <c r="B37" s="19">
        <v>2</v>
      </c>
      <c r="C37" s="19"/>
      <c r="D37" s="19"/>
    </row>
    <row r="38" spans="1:4" x14ac:dyDescent="0.45">
      <c r="A38" s="3" t="s">
        <v>608</v>
      </c>
      <c r="B38" s="19">
        <v>2</v>
      </c>
      <c r="C38" s="19"/>
      <c r="D38" s="19"/>
    </row>
    <row r="39" spans="1:4" x14ac:dyDescent="0.45">
      <c r="A39" s="3" t="s">
        <v>609</v>
      </c>
      <c r="B39" s="19">
        <v>11</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723</v>
      </c>
      <c r="B43" s="19">
        <v>4</v>
      </c>
      <c r="C43" s="19"/>
      <c r="D43" s="19">
        <v>2</v>
      </c>
    </row>
    <row r="44" spans="1:4" x14ac:dyDescent="0.45">
      <c r="A44" s="3" t="s">
        <v>734</v>
      </c>
      <c r="B44" s="19">
        <v>2</v>
      </c>
      <c r="C44" s="19"/>
      <c r="D44" s="19">
        <v>2</v>
      </c>
    </row>
    <row r="45" spans="1:4" x14ac:dyDescent="0.45">
      <c r="A45" s="3" t="s">
        <v>24</v>
      </c>
      <c r="B45" s="19">
        <v>225</v>
      </c>
      <c r="C45" s="19">
        <v>85</v>
      </c>
      <c r="D45" s="19">
        <v>167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285"/>
  <sheetViews>
    <sheetView topLeftCell="A2088" workbookViewId="0">
      <selection activeCell="A2139" sqref="A2139"/>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x14ac:dyDescent="0.45">
      <c r="A2208" t="s">
        <v>433</v>
      </c>
      <c r="B2208" t="s">
        <v>63</v>
      </c>
      <c r="C2208">
        <v>1</v>
      </c>
      <c r="D2208">
        <v>1</v>
      </c>
      <c r="E2208">
        <v>1</v>
      </c>
      <c r="F2208" s="1">
        <v>46293</v>
      </c>
      <c r="G2208" s="11" t="str">
        <f t="shared" ref="G2208:G2237" si="48">_xlfn.TEXTJOIN("|",TRUE,D2208,TEXT(INT(E2208),"yyyymmdd"),F2208)</f>
        <v>1|19000101|46293</v>
      </c>
      <c r="H2208">
        <f>COUNTIF(GameLog[Pod ID],GameLog[[#This Row],[Pod ID]])</f>
        <v>4</v>
      </c>
      <c r="I2208">
        <f>YEAR(GameLog[[#This Row],[Date]])</f>
        <v>2026</v>
      </c>
      <c r="J2208">
        <f>MONTH(GameLog[[#This Row],[Date]])</f>
        <v>9</v>
      </c>
      <c r="K2208" t="str">
        <f>IF(GameLog[[#This Row],[Date]]=MAX(GameLog[Date]),"Current","Previous")</f>
        <v>Previous</v>
      </c>
    </row>
    <row r="2209" spans="1:11" x14ac:dyDescent="0.45">
      <c r="A2209" t="s">
        <v>28</v>
      </c>
      <c r="B2209" t="s">
        <v>63</v>
      </c>
      <c r="C2209">
        <v>2</v>
      </c>
      <c r="D2209">
        <v>1</v>
      </c>
      <c r="E2209">
        <v>1</v>
      </c>
      <c r="F2209" s="1">
        <v>46293</v>
      </c>
      <c r="G2209" s="11" t="str">
        <f t="shared" si="48"/>
        <v>1|19000101|46293</v>
      </c>
      <c r="H2209">
        <f>COUNTIF(GameLog[Pod ID],GameLog[[#This Row],[Pod ID]])</f>
        <v>4</v>
      </c>
      <c r="I2209">
        <f>YEAR(GameLog[[#This Row],[Date]])</f>
        <v>2026</v>
      </c>
      <c r="J2209">
        <f>MONTH(GameLog[[#This Row],[Date]])</f>
        <v>9</v>
      </c>
      <c r="K2209" t="str">
        <f>IF(GameLog[[#This Row],[Date]]=MAX(GameLog[Date]),"Current","Previous")</f>
        <v>Previous</v>
      </c>
    </row>
    <row r="2210" spans="1:11" x14ac:dyDescent="0.45">
      <c r="A2210" t="s">
        <v>51</v>
      </c>
      <c r="B2210" t="s">
        <v>63</v>
      </c>
      <c r="C2210">
        <v>3</v>
      </c>
      <c r="D2210">
        <v>1</v>
      </c>
      <c r="E2210">
        <v>1</v>
      </c>
      <c r="F2210" s="1">
        <v>46293</v>
      </c>
      <c r="G2210" s="11" t="str">
        <f t="shared" si="48"/>
        <v>1|19000101|46293</v>
      </c>
      <c r="H2210">
        <f>COUNTIF(GameLog[Pod ID],GameLog[[#This Row],[Pod ID]])</f>
        <v>4</v>
      </c>
      <c r="I2210">
        <f>YEAR(GameLog[[#This Row],[Date]])</f>
        <v>2026</v>
      </c>
      <c r="J2210">
        <f>MONTH(GameLog[[#This Row],[Date]])</f>
        <v>9</v>
      </c>
      <c r="K2210" t="str">
        <f>IF(GameLog[[#This Row],[Date]]=MAX(GameLog[Date]),"Current","Previous")</f>
        <v>Previous</v>
      </c>
    </row>
    <row r="2211" spans="1:11" x14ac:dyDescent="0.45">
      <c r="A2211" t="s">
        <v>15</v>
      </c>
      <c r="B2211" t="s">
        <v>63</v>
      </c>
      <c r="C2211">
        <v>4</v>
      </c>
      <c r="D2211">
        <v>1</v>
      </c>
      <c r="E2211">
        <v>1</v>
      </c>
      <c r="F2211" s="1">
        <v>46293</v>
      </c>
      <c r="G2211" s="11" t="str">
        <f t="shared" si="48"/>
        <v>1|19000101|46293</v>
      </c>
      <c r="H2211">
        <f>COUNTIF(GameLog[Pod ID],GameLog[[#This Row],[Pod ID]])</f>
        <v>4</v>
      </c>
      <c r="I2211">
        <f>YEAR(GameLog[[#This Row],[Date]])</f>
        <v>2026</v>
      </c>
      <c r="J2211">
        <f>MONTH(GameLog[[#This Row],[Date]])</f>
        <v>9</v>
      </c>
      <c r="K2211" t="str">
        <f>IF(GameLog[[#This Row],[Date]]=MAX(GameLog[Date]),"Current","Previous")</f>
        <v>Previous</v>
      </c>
    </row>
    <row r="2212" spans="1:11" x14ac:dyDescent="0.45">
      <c r="A2212" t="s">
        <v>13</v>
      </c>
      <c r="B2212" t="s">
        <v>8</v>
      </c>
      <c r="C2212">
        <v>1</v>
      </c>
      <c r="D2212">
        <v>2</v>
      </c>
      <c r="E2212">
        <v>1</v>
      </c>
      <c r="F2212" s="1">
        <v>46293</v>
      </c>
      <c r="G2212" s="11" t="str">
        <f t="shared" si="48"/>
        <v>2|19000101|46293</v>
      </c>
      <c r="H2212">
        <f>COUNTIF(GameLog[Pod ID],GameLog[[#This Row],[Pod ID]])</f>
        <v>4</v>
      </c>
      <c r="I2212">
        <f>YEAR(GameLog[[#This Row],[Date]])</f>
        <v>2026</v>
      </c>
      <c r="J2212">
        <f>MONTH(GameLog[[#This Row],[Date]])</f>
        <v>9</v>
      </c>
      <c r="K2212" t="str">
        <f>IF(GameLog[[#This Row],[Date]]=MAX(GameLog[Date]),"Current","Previous")</f>
        <v>Previous</v>
      </c>
    </row>
    <row r="2213" spans="1:11" x14ac:dyDescent="0.45">
      <c r="A2213" t="s">
        <v>27</v>
      </c>
      <c r="B2213" t="s">
        <v>6</v>
      </c>
      <c r="C2213">
        <v>2</v>
      </c>
      <c r="D2213">
        <v>2</v>
      </c>
      <c r="E2213">
        <v>1</v>
      </c>
      <c r="F2213" s="1">
        <v>46293</v>
      </c>
      <c r="G2213" s="11" t="str">
        <f t="shared" si="48"/>
        <v>2|19000101|46293</v>
      </c>
      <c r="H2213">
        <f>COUNTIF(GameLog[Pod ID],GameLog[[#This Row],[Pod ID]])</f>
        <v>4</v>
      </c>
      <c r="I2213">
        <f>YEAR(GameLog[[#This Row],[Date]])</f>
        <v>2026</v>
      </c>
      <c r="J2213">
        <f>MONTH(GameLog[[#This Row],[Date]])</f>
        <v>9</v>
      </c>
      <c r="K2213" t="str">
        <f>IF(GameLog[[#This Row],[Date]]=MAX(GameLog[Date]),"Current","Previous")</f>
        <v>Previous</v>
      </c>
    </row>
    <row r="2214" spans="1:11" x14ac:dyDescent="0.45">
      <c r="A2214" t="s">
        <v>734</v>
      </c>
      <c r="B2214" t="s">
        <v>6</v>
      </c>
      <c r="C2214">
        <v>3</v>
      </c>
      <c r="D2214">
        <v>2</v>
      </c>
      <c r="E2214">
        <v>1</v>
      </c>
      <c r="F2214" s="1">
        <v>46293</v>
      </c>
      <c r="G2214" s="11" t="str">
        <f t="shared" si="48"/>
        <v>2|19000101|46293</v>
      </c>
      <c r="H2214">
        <f>COUNTIF(GameLog[Pod ID],GameLog[[#This Row],[Pod ID]])</f>
        <v>4</v>
      </c>
      <c r="I2214">
        <f>YEAR(GameLog[[#This Row],[Date]])</f>
        <v>2026</v>
      </c>
      <c r="J2214">
        <f>MONTH(GameLog[[#This Row],[Date]])</f>
        <v>9</v>
      </c>
      <c r="K2214" t="str">
        <f>IF(GameLog[[#This Row],[Date]]=MAX(GameLog[Date]),"Current","Previous")</f>
        <v>Previous</v>
      </c>
    </row>
    <row r="2215" spans="1:11" x14ac:dyDescent="0.45">
      <c r="A2215" t="s">
        <v>352</v>
      </c>
      <c r="B2215" t="s">
        <v>6</v>
      </c>
      <c r="C2215">
        <v>4</v>
      </c>
      <c r="D2215">
        <v>2</v>
      </c>
      <c r="E2215">
        <v>1</v>
      </c>
      <c r="F2215" s="1">
        <v>46293</v>
      </c>
      <c r="G2215" s="11" t="str">
        <f t="shared" si="48"/>
        <v>2|19000101|46293</v>
      </c>
      <c r="H2215">
        <f>COUNTIF(GameLog[Pod ID],GameLog[[#This Row],[Pod ID]])</f>
        <v>4</v>
      </c>
      <c r="I2215">
        <f>YEAR(GameLog[[#This Row],[Date]])</f>
        <v>2026</v>
      </c>
      <c r="J2215">
        <f>MONTH(GameLog[[#This Row],[Date]])</f>
        <v>9</v>
      </c>
      <c r="K2215" t="str">
        <f>IF(GameLog[[#This Row],[Date]]=MAX(GameLog[Date]),"Current","Previous")</f>
        <v>Previous</v>
      </c>
    </row>
    <row r="2216" spans="1:11" x14ac:dyDescent="0.45">
      <c r="A2216" t="s">
        <v>19</v>
      </c>
      <c r="B2216" t="s">
        <v>63</v>
      </c>
      <c r="C2216">
        <v>1</v>
      </c>
      <c r="D2216">
        <v>3</v>
      </c>
      <c r="E2216">
        <v>1</v>
      </c>
      <c r="F2216" s="1">
        <v>46293</v>
      </c>
      <c r="G2216" s="11" t="str">
        <f t="shared" si="48"/>
        <v>3|19000101|46293</v>
      </c>
      <c r="H2216">
        <f>COUNTIF(GameLog[Pod ID],GameLog[[#This Row],[Pod ID]])</f>
        <v>4</v>
      </c>
      <c r="I2216">
        <f>YEAR(GameLog[[#This Row],[Date]])</f>
        <v>2026</v>
      </c>
      <c r="J2216">
        <f>MONTH(GameLog[[#This Row],[Date]])</f>
        <v>9</v>
      </c>
      <c r="K2216" t="str">
        <f>IF(GameLog[[#This Row],[Date]]=MAX(GameLog[Date]),"Current","Previous")</f>
        <v>Previous</v>
      </c>
    </row>
    <row r="2217" spans="1:11" x14ac:dyDescent="0.45">
      <c r="A2217" t="s">
        <v>7</v>
      </c>
      <c r="B2217" t="s">
        <v>63</v>
      </c>
      <c r="C2217">
        <v>2</v>
      </c>
      <c r="D2217">
        <v>3</v>
      </c>
      <c r="E2217">
        <v>1</v>
      </c>
      <c r="F2217" s="1">
        <v>46293</v>
      </c>
      <c r="G2217" s="11" t="str">
        <f t="shared" si="48"/>
        <v>3|19000101|46293</v>
      </c>
      <c r="H2217">
        <f>COUNTIF(GameLog[Pod ID],GameLog[[#This Row],[Pod ID]])</f>
        <v>4</v>
      </c>
      <c r="I2217">
        <f>YEAR(GameLog[[#This Row],[Date]])</f>
        <v>2026</v>
      </c>
      <c r="J2217">
        <f>MONTH(GameLog[[#This Row],[Date]])</f>
        <v>9</v>
      </c>
      <c r="K2217" t="str">
        <f>IF(GameLog[[#This Row],[Date]]=MAX(GameLog[Date]),"Current","Previous")</f>
        <v>Previous</v>
      </c>
    </row>
    <row r="2218" spans="1:11" x14ac:dyDescent="0.45">
      <c r="A2218" t="s">
        <v>405</v>
      </c>
      <c r="B2218" t="s">
        <v>63</v>
      </c>
      <c r="C2218">
        <v>3</v>
      </c>
      <c r="D2218">
        <v>3</v>
      </c>
      <c r="E2218">
        <v>1</v>
      </c>
      <c r="F2218" s="1">
        <v>46293</v>
      </c>
      <c r="G2218" s="11" t="str">
        <f t="shared" si="48"/>
        <v>3|19000101|46293</v>
      </c>
      <c r="H2218">
        <f>COUNTIF(GameLog[Pod ID],GameLog[[#This Row],[Pod ID]])</f>
        <v>4</v>
      </c>
      <c r="I2218">
        <f>YEAR(GameLog[[#This Row],[Date]])</f>
        <v>2026</v>
      </c>
      <c r="J2218">
        <f>MONTH(GameLog[[#This Row],[Date]])</f>
        <v>9</v>
      </c>
      <c r="K2218" t="str">
        <f>IF(GameLog[[#This Row],[Date]]=MAX(GameLog[Date]),"Current","Previous")</f>
        <v>Previous</v>
      </c>
    </row>
    <row r="2219" spans="1:11" x14ac:dyDescent="0.45">
      <c r="A2219" t="s">
        <v>14</v>
      </c>
      <c r="B2219" t="s">
        <v>63</v>
      </c>
      <c r="C2219">
        <v>4</v>
      </c>
      <c r="D2219">
        <v>3</v>
      </c>
      <c r="E2219">
        <v>1</v>
      </c>
      <c r="F2219" s="1">
        <v>46293</v>
      </c>
      <c r="G2219" s="11" t="str">
        <f t="shared" si="48"/>
        <v>3|19000101|46293</v>
      </c>
      <c r="H2219">
        <f>COUNTIF(GameLog[Pod ID],GameLog[[#This Row],[Pod ID]])</f>
        <v>4</v>
      </c>
      <c r="I2219">
        <f>YEAR(GameLog[[#This Row],[Date]])</f>
        <v>2026</v>
      </c>
      <c r="J2219">
        <f>MONTH(GameLog[[#This Row],[Date]])</f>
        <v>9</v>
      </c>
      <c r="K2219" t="str">
        <f>IF(GameLog[[#This Row],[Date]]=MAX(GameLog[Date]),"Current","Previous")</f>
        <v>Previous</v>
      </c>
    </row>
    <row r="2220" spans="1:11" x14ac:dyDescent="0.45">
      <c r="A2220" t="s">
        <v>351</v>
      </c>
      <c r="B2220" t="s">
        <v>8</v>
      </c>
      <c r="C2220">
        <v>1</v>
      </c>
      <c r="D2220">
        <v>4</v>
      </c>
      <c r="E2220">
        <v>1</v>
      </c>
      <c r="F2220" s="1">
        <v>46293</v>
      </c>
      <c r="G2220" s="11" t="str">
        <f t="shared" si="48"/>
        <v>4|19000101|46293</v>
      </c>
      <c r="H2220">
        <f>COUNTIF(GameLog[Pod ID],GameLog[[#This Row],[Pod ID]])</f>
        <v>3</v>
      </c>
      <c r="I2220">
        <f>YEAR(GameLog[[#This Row],[Date]])</f>
        <v>2026</v>
      </c>
      <c r="J2220">
        <f>MONTH(GameLog[[#This Row],[Date]])</f>
        <v>9</v>
      </c>
      <c r="K2220" t="str">
        <f>IF(GameLog[[#This Row],[Date]]=MAX(GameLog[Date]),"Current","Previous")</f>
        <v>Previous</v>
      </c>
    </row>
    <row r="2221" spans="1:11" x14ac:dyDescent="0.45">
      <c r="A2221" t="s">
        <v>9</v>
      </c>
      <c r="B2221" t="s">
        <v>6</v>
      </c>
      <c r="C2221">
        <v>2</v>
      </c>
      <c r="D2221">
        <v>4</v>
      </c>
      <c r="E2221">
        <v>1</v>
      </c>
      <c r="F2221" s="1">
        <v>46293</v>
      </c>
      <c r="G2221" s="11" t="str">
        <f t="shared" si="48"/>
        <v>4|19000101|46293</v>
      </c>
      <c r="H2221">
        <f>COUNTIF(GameLog[Pod ID],GameLog[[#This Row],[Pod ID]])</f>
        <v>3</v>
      </c>
      <c r="I2221">
        <f>YEAR(GameLog[[#This Row],[Date]])</f>
        <v>2026</v>
      </c>
      <c r="J2221">
        <f>MONTH(GameLog[[#This Row],[Date]])</f>
        <v>9</v>
      </c>
      <c r="K2221" t="str">
        <f>IF(GameLog[[#This Row],[Date]]=MAX(GameLog[Date]),"Current","Previous")</f>
        <v>Previous</v>
      </c>
    </row>
    <row r="2222" spans="1:11" x14ac:dyDescent="0.45">
      <c r="A2222" t="s">
        <v>723</v>
      </c>
      <c r="B2222" t="s">
        <v>6</v>
      </c>
      <c r="C2222">
        <v>3</v>
      </c>
      <c r="D2222">
        <v>4</v>
      </c>
      <c r="E2222">
        <v>1</v>
      </c>
      <c r="F2222" s="1">
        <v>46293</v>
      </c>
      <c r="G2222" s="11" t="str">
        <f t="shared" si="48"/>
        <v>4|19000101|46293</v>
      </c>
      <c r="H2222">
        <f>COUNTIF(GameLog[Pod ID],GameLog[[#This Row],[Pod ID]])</f>
        <v>3</v>
      </c>
      <c r="I2222">
        <f>YEAR(GameLog[[#This Row],[Date]])</f>
        <v>2026</v>
      </c>
      <c r="J2222">
        <f>MONTH(GameLog[[#This Row],[Date]])</f>
        <v>9</v>
      </c>
      <c r="K2222" t="str">
        <f>IF(GameLog[[#This Row],[Date]]=MAX(GameLog[Date]),"Current","Previous")</f>
        <v>Previous</v>
      </c>
    </row>
    <row r="2223" spans="1:11" x14ac:dyDescent="0.45">
      <c r="A2223" t="s">
        <v>14</v>
      </c>
      <c r="B2223" t="s">
        <v>8</v>
      </c>
      <c r="C2223">
        <v>1</v>
      </c>
      <c r="D2223">
        <v>1</v>
      </c>
      <c r="E2223">
        <v>2</v>
      </c>
      <c r="F2223" s="1">
        <v>46293</v>
      </c>
      <c r="G2223" s="11" t="str">
        <f t="shared" si="48"/>
        <v>1|19000102|46293</v>
      </c>
      <c r="H2223">
        <f>COUNTIF(GameLog[Pod ID],GameLog[[#This Row],[Pod ID]])</f>
        <v>4</v>
      </c>
      <c r="I2223">
        <f>YEAR(GameLog[[#This Row],[Date]])</f>
        <v>2026</v>
      </c>
      <c r="J2223">
        <f>MONTH(GameLog[[#This Row],[Date]])</f>
        <v>9</v>
      </c>
      <c r="K2223" t="str">
        <f>IF(GameLog[[#This Row],[Date]]=MAX(GameLog[Date]),"Current","Previous")</f>
        <v>Previous</v>
      </c>
    </row>
    <row r="2224" spans="1:11" x14ac:dyDescent="0.45">
      <c r="A2224" t="s">
        <v>13</v>
      </c>
      <c r="B2224" t="s">
        <v>6</v>
      </c>
      <c r="C2224">
        <v>2</v>
      </c>
      <c r="D2224">
        <v>1</v>
      </c>
      <c r="E2224">
        <v>2</v>
      </c>
      <c r="F2224" s="1">
        <v>46293</v>
      </c>
      <c r="G2224" s="11" t="str">
        <f t="shared" si="48"/>
        <v>1|19000102|46293</v>
      </c>
      <c r="H2224">
        <f>COUNTIF(GameLog[Pod ID],GameLog[[#This Row],[Pod ID]])</f>
        <v>4</v>
      </c>
      <c r="I2224">
        <f>YEAR(GameLog[[#This Row],[Date]])</f>
        <v>2026</v>
      </c>
      <c r="J2224">
        <f>MONTH(GameLog[[#This Row],[Date]])</f>
        <v>9</v>
      </c>
      <c r="K2224" t="str">
        <f>IF(GameLog[[#This Row],[Date]]=MAX(GameLog[Date]),"Current","Previous")</f>
        <v>Previous</v>
      </c>
    </row>
    <row r="2225" spans="1:11" x14ac:dyDescent="0.45">
      <c r="A2225" t="s">
        <v>351</v>
      </c>
      <c r="B2225" t="s">
        <v>6</v>
      </c>
      <c r="C2225">
        <v>3</v>
      </c>
      <c r="D2225">
        <v>1</v>
      </c>
      <c r="E2225">
        <v>2</v>
      </c>
      <c r="F2225" s="1">
        <v>46293</v>
      </c>
      <c r="G2225" s="11" t="str">
        <f t="shared" si="48"/>
        <v>1|19000102|46293</v>
      </c>
      <c r="H2225">
        <f>COUNTIF(GameLog[Pod ID],GameLog[[#This Row],[Pod ID]])</f>
        <v>4</v>
      </c>
      <c r="I2225">
        <f>YEAR(GameLog[[#This Row],[Date]])</f>
        <v>2026</v>
      </c>
      <c r="J2225">
        <f>MONTH(GameLog[[#This Row],[Date]])</f>
        <v>9</v>
      </c>
      <c r="K2225" t="str">
        <f>IF(GameLog[[#This Row],[Date]]=MAX(GameLog[Date]),"Current","Previous")</f>
        <v>Previous</v>
      </c>
    </row>
    <row r="2226" spans="1:11" x14ac:dyDescent="0.45">
      <c r="A2226" t="s">
        <v>433</v>
      </c>
      <c r="B2226" t="s">
        <v>6</v>
      </c>
      <c r="C2226">
        <v>4</v>
      </c>
      <c r="D2226">
        <v>1</v>
      </c>
      <c r="E2226">
        <v>2</v>
      </c>
      <c r="F2226" s="1">
        <v>46293</v>
      </c>
      <c r="G2226" s="11" t="str">
        <f t="shared" si="48"/>
        <v>1|19000102|46293</v>
      </c>
      <c r="H2226">
        <f>COUNTIF(GameLog[Pod ID],GameLog[[#This Row],[Pod ID]])</f>
        <v>4</v>
      </c>
      <c r="I2226">
        <f>YEAR(GameLog[[#This Row],[Date]])</f>
        <v>2026</v>
      </c>
      <c r="J2226">
        <f>MONTH(GameLog[[#This Row],[Date]])</f>
        <v>9</v>
      </c>
      <c r="K2226" t="str">
        <f>IF(GameLog[[#This Row],[Date]]=MAX(GameLog[Date]),"Current","Previous")</f>
        <v>Previous</v>
      </c>
    </row>
    <row r="2227" spans="1:11" x14ac:dyDescent="0.45">
      <c r="A2227" t="s">
        <v>15</v>
      </c>
      <c r="B2227" t="s">
        <v>8</v>
      </c>
      <c r="C2227">
        <v>1</v>
      </c>
      <c r="D2227">
        <v>2</v>
      </c>
      <c r="E2227">
        <v>2</v>
      </c>
      <c r="F2227" s="1">
        <v>46293</v>
      </c>
      <c r="G2227" s="11" t="str">
        <f t="shared" si="48"/>
        <v>2|19000102|46293</v>
      </c>
      <c r="H2227">
        <f>COUNTIF(GameLog[Pod ID],GameLog[[#This Row],[Pod ID]])</f>
        <v>4</v>
      </c>
      <c r="I2227">
        <f>YEAR(GameLog[[#This Row],[Date]])</f>
        <v>2026</v>
      </c>
      <c r="J2227">
        <f>MONTH(GameLog[[#This Row],[Date]])</f>
        <v>9</v>
      </c>
      <c r="K2227" t="str">
        <f>IF(GameLog[[#This Row],[Date]]=MAX(GameLog[Date]),"Current","Previous")</f>
        <v>Previous</v>
      </c>
    </row>
    <row r="2228" spans="1:11" x14ac:dyDescent="0.45">
      <c r="A2228" t="s">
        <v>723</v>
      </c>
      <c r="B2228" t="s">
        <v>6</v>
      </c>
      <c r="C2228">
        <v>2</v>
      </c>
      <c r="D2228">
        <v>2</v>
      </c>
      <c r="E2228">
        <v>2</v>
      </c>
      <c r="F2228" s="1">
        <v>46293</v>
      </c>
      <c r="G2228" s="11" t="str">
        <f t="shared" si="48"/>
        <v>2|19000102|46293</v>
      </c>
      <c r="H2228">
        <f>COUNTIF(GameLog[Pod ID],GameLog[[#This Row],[Pod ID]])</f>
        <v>4</v>
      </c>
      <c r="I2228">
        <f>YEAR(GameLog[[#This Row],[Date]])</f>
        <v>2026</v>
      </c>
      <c r="J2228">
        <f>MONTH(GameLog[[#This Row],[Date]])</f>
        <v>9</v>
      </c>
      <c r="K2228" t="str">
        <f>IF(GameLog[[#This Row],[Date]]=MAX(GameLog[Date]),"Current","Previous")</f>
        <v>Previous</v>
      </c>
    </row>
    <row r="2229" spans="1:11" x14ac:dyDescent="0.45">
      <c r="A2229" t="s">
        <v>27</v>
      </c>
      <c r="B2229" t="s">
        <v>6</v>
      </c>
      <c r="C2229">
        <v>3</v>
      </c>
      <c r="D2229">
        <v>2</v>
      </c>
      <c r="E2229">
        <v>2</v>
      </c>
      <c r="F2229" s="1">
        <v>46293</v>
      </c>
      <c r="G2229" s="11" t="str">
        <f t="shared" si="48"/>
        <v>2|19000102|46293</v>
      </c>
      <c r="H2229">
        <f>COUNTIF(GameLog[Pod ID],GameLog[[#This Row],[Pod ID]])</f>
        <v>4</v>
      </c>
      <c r="I2229">
        <f>YEAR(GameLog[[#This Row],[Date]])</f>
        <v>2026</v>
      </c>
      <c r="J2229">
        <f>MONTH(GameLog[[#This Row],[Date]])</f>
        <v>9</v>
      </c>
      <c r="K2229" t="str">
        <f>IF(GameLog[[#This Row],[Date]]=MAX(GameLog[Date]),"Current","Previous")</f>
        <v>Previous</v>
      </c>
    </row>
    <row r="2230" spans="1:11" x14ac:dyDescent="0.45">
      <c r="A2230" t="s">
        <v>19</v>
      </c>
      <c r="B2230" t="s">
        <v>6</v>
      </c>
      <c r="C2230">
        <v>4</v>
      </c>
      <c r="D2230">
        <v>2</v>
      </c>
      <c r="E2230">
        <v>2</v>
      </c>
      <c r="F2230" s="1">
        <v>46293</v>
      </c>
      <c r="G2230" s="11" t="str">
        <f t="shared" si="48"/>
        <v>2|19000102|46293</v>
      </c>
      <c r="H2230">
        <f>COUNTIF(GameLog[Pod ID],GameLog[[#This Row],[Pod ID]])</f>
        <v>4</v>
      </c>
      <c r="I2230">
        <f>YEAR(GameLog[[#This Row],[Date]])</f>
        <v>2026</v>
      </c>
      <c r="J2230">
        <f>MONTH(GameLog[[#This Row],[Date]])</f>
        <v>9</v>
      </c>
      <c r="K2230" t="str">
        <f>IF(GameLog[[#This Row],[Date]]=MAX(GameLog[Date]),"Current","Previous")</f>
        <v>Previous</v>
      </c>
    </row>
    <row r="2231" spans="1:11" x14ac:dyDescent="0.45">
      <c r="A2231" t="s">
        <v>28</v>
      </c>
      <c r="B2231" t="s">
        <v>63</v>
      </c>
      <c r="C2231">
        <v>1</v>
      </c>
      <c r="D2231">
        <v>3</v>
      </c>
      <c r="E2231">
        <v>2</v>
      </c>
      <c r="F2231" s="1">
        <v>46293</v>
      </c>
      <c r="G2231" s="11" t="str">
        <f t="shared" si="48"/>
        <v>3|19000102|46293</v>
      </c>
      <c r="H2231">
        <f>COUNTIF(GameLog[Pod ID],GameLog[[#This Row],[Pod ID]])</f>
        <v>4</v>
      </c>
      <c r="I2231">
        <f>YEAR(GameLog[[#This Row],[Date]])</f>
        <v>2026</v>
      </c>
      <c r="J2231">
        <f>MONTH(GameLog[[#This Row],[Date]])</f>
        <v>9</v>
      </c>
      <c r="K2231" t="str">
        <f>IF(GameLog[[#This Row],[Date]]=MAX(GameLog[Date]),"Current","Previous")</f>
        <v>Previous</v>
      </c>
    </row>
    <row r="2232" spans="1:11" x14ac:dyDescent="0.45">
      <c r="A2232" t="s">
        <v>405</v>
      </c>
      <c r="B2232" t="s">
        <v>63</v>
      </c>
      <c r="C2232">
        <v>2</v>
      </c>
      <c r="D2232">
        <v>3</v>
      </c>
      <c r="E2232">
        <v>2</v>
      </c>
      <c r="F2232" s="1">
        <v>46293</v>
      </c>
      <c r="G2232" s="11" t="str">
        <f t="shared" si="48"/>
        <v>3|19000102|46293</v>
      </c>
      <c r="H2232">
        <f>COUNTIF(GameLog[Pod ID],GameLog[[#This Row],[Pod ID]])</f>
        <v>4</v>
      </c>
      <c r="I2232">
        <f>YEAR(GameLog[[#This Row],[Date]])</f>
        <v>2026</v>
      </c>
      <c r="J2232">
        <f>MONTH(GameLog[[#This Row],[Date]])</f>
        <v>9</v>
      </c>
      <c r="K2232" t="str">
        <f>IF(GameLog[[#This Row],[Date]]=MAX(GameLog[Date]),"Current","Previous")</f>
        <v>Previous</v>
      </c>
    </row>
    <row r="2233" spans="1:11" x14ac:dyDescent="0.45">
      <c r="A2233" t="s">
        <v>9</v>
      </c>
      <c r="B2233" t="s">
        <v>63</v>
      </c>
      <c r="C2233">
        <v>3</v>
      </c>
      <c r="D2233">
        <v>3</v>
      </c>
      <c r="E2233">
        <v>2</v>
      </c>
      <c r="F2233" s="1">
        <v>46293</v>
      </c>
      <c r="G2233" s="11" t="str">
        <f t="shared" si="48"/>
        <v>3|19000102|46293</v>
      </c>
      <c r="H2233">
        <f>COUNTIF(GameLog[Pod ID],GameLog[[#This Row],[Pod ID]])</f>
        <v>4</v>
      </c>
      <c r="I2233">
        <f>YEAR(GameLog[[#This Row],[Date]])</f>
        <v>2026</v>
      </c>
      <c r="J2233">
        <f>MONTH(GameLog[[#This Row],[Date]])</f>
        <v>9</v>
      </c>
      <c r="K2233" t="str">
        <f>IF(GameLog[[#This Row],[Date]]=MAX(GameLog[Date]),"Current","Previous")</f>
        <v>Previous</v>
      </c>
    </row>
    <row r="2234" spans="1:11" x14ac:dyDescent="0.45">
      <c r="A2234" t="s">
        <v>734</v>
      </c>
      <c r="B2234" t="s">
        <v>63</v>
      </c>
      <c r="C2234">
        <v>4</v>
      </c>
      <c r="D2234">
        <v>3</v>
      </c>
      <c r="E2234">
        <v>2</v>
      </c>
      <c r="F2234" s="1">
        <v>46293</v>
      </c>
      <c r="G2234" s="11" t="str">
        <f t="shared" si="48"/>
        <v>3|19000102|46293</v>
      </c>
      <c r="H2234">
        <f>COUNTIF(GameLog[Pod ID],GameLog[[#This Row],[Pod ID]])</f>
        <v>4</v>
      </c>
      <c r="I2234">
        <f>YEAR(GameLog[[#This Row],[Date]])</f>
        <v>2026</v>
      </c>
      <c r="J2234">
        <f>MONTH(GameLog[[#This Row],[Date]])</f>
        <v>9</v>
      </c>
      <c r="K2234" t="str">
        <f>IF(GameLog[[#This Row],[Date]]=MAX(GameLog[Date]),"Current","Previous")</f>
        <v>Previous</v>
      </c>
    </row>
    <row r="2235" spans="1:11" x14ac:dyDescent="0.45">
      <c r="A2235" t="s">
        <v>352</v>
      </c>
      <c r="B2235" t="s">
        <v>6</v>
      </c>
      <c r="C2235">
        <v>1</v>
      </c>
      <c r="D2235">
        <v>4</v>
      </c>
      <c r="E2235">
        <v>2</v>
      </c>
      <c r="F2235" s="1">
        <v>46293</v>
      </c>
      <c r="G2235" s="11" t="str">
        <f t="shared" si="48"/>
        <v>4|19000102|46293</v>
      </c>
      <c r="H2235">
        <f>COUNTIF(GameLog[Pod ID],GameLog[[#This Row],[Pod ID]])</f>
        <v>3</v>
      </c>
      <c r="I2235">
        <f>YEAR(GameLog[[#This Row],[Date]])</f>
        <v>2026</v>
      </c>
      <c r="J2235">
        <f>MONTH(GameLog[[#This Row],[Date]])</f>
        <v>9</v>
      </c>
      <c r="K2235" t="str">
        <f>IF(GameLog[[#This Row],[Date]]=MAX(GameLog[Date]),"Current","Previous")</f>
        <v>Previous</v>
      </c>
    </row>
    <row r="2236" spans="1:11" x14ac:dyDescent="0.45">
      <c r="A2236" t="s">
        <v>7</v>
      </c>
      <c r="B2236" t="s">
        <v>8</v>
      </c>
      <c r="C2236">
        <v>2</v>
      </c>
      <c r="D2236">
        <v>4</v>
      </c>
      <c r="E2236">
        <v>2</v>
      </c>
      <c r="F2236" s="1">
        <v>46293</v>
      </c>
      <c r="G2236" s="11" t="str">
        <f t="shared" si="48"/>
        <v>4|19000102|46293</v>
      </c>
      <c r="H2236">
        <f>COUNTIF(GameLog[Pod ID],GameLog[[#This Row],[Pod ID]])</f>
        <v>3</v>
      </c>
      <c r="I2236">
        <f>YEAR(GameLog[[#This Row],[Date]])</f>
        <v>2026</v>
      </c>
      <c r="J2236">
        <f>MONTH(GameLog[[#This Row],[Date]])</f>
        <v>9</v>
      </c>
      <c r="K2236" t="str">
        <f>IF(GameLog[[#This Row],[Date]]=MAX(GameLog[Date]),"Current","Previous")</f>
        <v>Previous</v>
      </c>
    </row>
    <row r="2237" spans="1:11" x14ac:dyDescent="0.45">
      <c r="A2237" t="s">
        <v>51</v>
      </c>
      <c r="B2237" t="s">
        <v>6</v>
      </c>
      <c r="C2237">
        <v>3</v>
      </c>
      <c r="D2237">
        <v>4</v>
      </c>
      <c r="E2237">
        <v>2</v>
      </c>
      <c r="F2237" s="1">
        <v>46293</v>
      </c>
      <c r="G2237" s="11" t="str">
        <f t="shared" si="48"/>
        <v>4|19000102|46293</v>
      </c>
      <c r="H2237">
        <f>COUNTIF(GameLog[Pod ID],GameLog[[#This Row],[Pod ID]])</f>
        <v>3</v>
      </c>
      <c r="I2237">
        <f>YEAR(GameLog[[#This Row],[Date]])</f>
        <v>2026</v>
      </c>
      <c r="J2237">
        <f>MONTH(GameLog[[#This Row],[Date]])</f>
        <v>9</v>
      </c>
      <c r="K2237" t="str">
        <f>IF(GameLog[[#This Row],[Date]]=MAX(GameLog[Date]),"Current","Previous")</f>
        <v>Previous</v>
      </c>
    </row>
    <row r="2238" spans="1:11" x14ac:dyDescent="0.45">
      <c r="A2238" t="s">
        <v>402</v>
      </c>
      <c r="B2238" t="s">
        <v>63</v>
      </c>
      <c r="C2238">
        <v>1</v>
      </c>
      <c r="D2238">
        <v>1</v>
      </c>
      <c r="E2238">
        <v>1</v>
      </c>
      <c r="F2238" s="1">
        <v>46300</v>
      </c>
      <c r="G2238" s="11" t="str">
        <f>_xlfn.TEXTJOIN("|",TRUE,D2238,TEXT(INT(E2238),"yyyymmdd"),F2238)</f>
        <v>1|19000101|46300</v>
      </c>
      <c r="H2238" s="19">
        <f>COUNTIF(GameLog[Pod ID],GameLog[[#This Row],[Pod ID]])</f>
        <v>4</v>
      </c>
      <c r="I2238" s="19">
        <f>YEAR(GameLog[[#This Row],[Date]])</f>
        <v>2026</v>
      </c>
      <c r="J2238" s="19">
        <f>MONTH(GameLog[[#This Row],[Date]])</f>
        <v>10</v>
      </c>
      <c r="K2238" s="19" t="str">
        <f>IF(GameLog[[#This Row],[Date]]=MAX(GameLog[Date]),"Current","Previous")</f>
        <v>Current</v>
      </c>
    </row>
    <row r="2239" spans="1:11" x14ac:dyDescent="0.45">
      <c r="A2239" t="s">
        <v>622</v>
      </c>
      <c r="B2239" t="s">
        <v>63</v>
      </c>
      <c r="C2239">
        <v>2</v>
      </c>
      <c r="D2239">
        <v>1</v>
      </c>
      <c r="E2239">
        <v>1</v>
      </c>
      <c r="F2239" s="1">
        <v>46300</v>
      </c>
      <c r="G2239" s="11" t="str">
        <f>_xlfn.TEXTJOIN("|",TRUE,D2239,TEXT(INT(E2239),"yyyymmdd"),F2239)</f>
        <v>1|19000101|46300</v>
      </c>
      <c r="H2239" s="19">
        <f>COUNTIF(GameLog[Pod ID],GameLog[[#This Row],[Pod ID]])</f>
        <v>4</v>
      </c>
      <c r="I2239" s="19">
        <f>YEAR(GameLog[[#This Row],[Date]])</f>
        <v>2026</v>
      </c>
      <c r="J2239" s="19">
        <f>MONTH(GameLog[[#This Row],[Date]])</f>
        <v>10</v>
      </c>
      <c r="K2239" s="19" t="str">
        <f>IF(GameLog[[#This Row],[Date]]=MAX(GameLog[Date]),"Current","Previous")</f>
        <v>Current</v>
      </c>
    </row>
    <row r="2240" spans="1:11" x14ac:dyDescent="0.45">
      <c r="A2240" t="s">
        <v>27</v>
      </c>
      <c r="B2240" t="s">
        <v>63</v>
      </c>
      <c r="C2240">
        <v>3</v>
      </c>
      <c r="D2240">
        <v>1</v>
      </c>
      <c r="E2240">
        <v>1</v>
      </c>
      <c r="F2240" s="1">
        <v>46300</v>
      </c>
      <c r="G2240" s="11" t="str">
        <f>_xlfn.TEXTJOIN("|",TRUE,D2240,TEXT(INT(E2240),"yyyymmdd"),F2240)</f>
        <v>1|19000101|46300</v>
      </c>
      <c r="H2240" s="19">
        <f>COUNTIF(GameLog[Pod ID],GameLog[[#This Row],[Pod ID]])</f>
        <v>4</v>
      </c>
      <c r="I2240" s="19">
        <f>YEAR(GameLog[[#This Row],[Date]])</f>
        <v>2026</v>
      </c>
      <c r="J2240" s="19">
        <f>MONTH(GameLog[[#This Row],[Date]])</f>
        <v>10</v>
      </c>
      <c r="K2240" s="19" t="str">
        <f>IF(GameLog[[#This Row],[Date]]=MAX(GameLog[Date]),"Current","Previous")</f>
        <v>Current</v>
      </c>
    </row>
    <row r="2241" spans="1:11" x14ac:dyDescent="0.45">
      <c r="A2241" t="s">
        <v>7</v>
      </c>
      <c r="B2241" t="s">
        <v>63</v>
      </c>
      <c r="C2241">
        <v>4</v>
      </c>
      <c r="D2241">
        <v>1</v>
      </c>
      <c r="E2241">
        <v>1</v>
      </c>
      <c r="F2241" s="1">
        <v>46300</v>
      </c>
      <c r="G2241" s="11" t="str">
        <f>_xlfn.TEXTJOIN("|",TRUE,D2241,TEXT(INT(E2241),"yyyymmdd"),F2241)</f>
        <v>1|19000101|46300</v>
      </c>
      <c r="H2241" s="19">
        <f>COUNTIF(GameLog[Pod ID],GameLog[[#This Row],[Pod ID]])</f>
        <v>4</v>
      </c>
      <c r="I2241" s="19">
        <f>YEAR(GameLog[[#This Row],[Date]])</f>
        <v>2026</v>
      </c>
      <c r="J2241" s="19">
        <f>MONTH(GameLog[[#This Row],[Date]])</f>
        <v>10</v>
      </c>
      <c r="K2241" s="19" t="str">
        <f>IF(GameLog[[#This Row],[Date]]=MAX(GameLog[Date]),"Current","Previous")</f>
        <v>Current</v>
      </c>
    </row>
    <row r="2242" spans="1:11" x14ac:dyDescent="0.45">
      <c r="A2242" t="s">
        <v>13</v>
      </c>
      <c r="B2242" t="s">
        <v>63</v>
      </c>
      <c r="C2242">
        <v>1</v>
      </c>
      <c r="D2242">
        <v>2</v>
      </c>
      <c r="E2242">
        <v>1</v>
      </c>
      <c r="F2242" s="1">
        <v>46300</v>
      </c>
      <c r="G2242" s="11" t="str">
        <f>_xlfn.TEXTJOIN("|",TRUE,D2242,TEXT(INT(E2242),"yyyymmdd"),F2242)</f>
        <v>2|19000101|46300</v>
      </c>
      <c r="H2242" s="19">
        <f>COUNTIF(GameLog[Pod ID],GameLog[[#This Row],[Pod ID]])</f>
        <v>4</v>
      </c>
      <c r="I2242" s="19">
        <f>YEAR(GameLog[[#This Row],[Date]])</f>
        <v>2026</v>
      </c>
      <c r="J2242" s="19">
        <f>MONTH(GameLog[[#This Row],[Date]])</f>
        <v>10</v>
      </c>
      <c r="K2242" s="19" t="str">
        <f>IF(GameLog[[#This Row],[Date]]=MAX(GameLog[Date]),"Current","Previous")</f>
        <v>Current</v>
      </c>
    </row>
    <row r="2243" spans="1:11" x14ac:dyDescent="0.45">
      <c r="A2243" t="s">
        <v>351</v>
      </c>
      <c r="B2243" t="s">
        <v>63</v>
      </c>
      <c r="C2243">
        <v>2</v>
      </c>
      <c r="D2243">
        <v>2</v>
      </c>
      <c r="E2243">
        <v>1</v>
      </c>
      <c r="F2243" s="1">
        <v>46300</v>
      </c>
      <c r="G2243" s="11" t="str">
        <f>_xlfn.TEXTJOIN("|",TRUE,D2243,TEXT(INT(E2243),"yyyymmdd"),F2243)</f>
        <v>2|19000101|46300</v>
      </c>
      <c r="H2243" s="19">
        <f>COUNTIF(GameLog[Pod ID],GameLog[[#This Row],[Pod ID]])</f>
        <v>4</v>
      </c>
      <c r="I2243" s="19">
        <f>YEAR(GameLog[[#This Row],[Date]])</f>
        <v>2026</v>
      </c>
      <c r="J2243" s="19">
        <f>MONTH(GameLog[[#This Row],[Date]])</f>
        <v>10</v>
      </c>
      <c r="K2243" s="19" t="str">
        <f>IF(GameLog[[#This Row],[Date]]=MAX(GameLog[Date]),"Current","Previous")</f>
        <v>Current</v>
      </c>
    </row>
    <row r="2244" spans="1:11" x14ac:dyDescent="0.45">
      <c r="A2244" t="s">
        <v>9</v>
      </c>
      <c r="B2244" t="s">
        <v>63</v>
      </c>
      <c r="C2244">
        <v>3</v>
      </c>
      <c r="D2244">
        <v>2</v>
      </c>
      <c r="E2244">
        <v>1</v>
      </c>
      <c r="F2244" s="1">
        <v>46300</v>
      </c>
      <c r="G2244" s="11" t="str">
        <f>_xlfn.TEXTJOIN("|",TRUE,D2244,TEXT(INT(E2244),"yyyymmdd"),F2244)</f>
        <v>2|19000101|46300</v>
      </c>
      <c r="H2244" s="19">
        <f>COUNTIF(GameLog[Pod ID],GameLog[[#This Row],[Pod ID]])</f>
        <v>4</v>
      </c>
      <c r="I2244" s="19">
        <f>YEAR(GameLog[[#This Row],[Date]])</f>
        <v>2026</v>
      </c>
      <c r="J2244" s="19">
        <f>MONTH(GameLog[[#This Row],[Date]])</f>
        <v>10</v>
      </c>
      <c r="K2244" s="19" t="str">
        <f>IF(GameLog[[#This Row],[Date]]=MAX(GameLog[Date]),"Current","Previous")</f>
        <v>Current</v>
      </c>
    </row>
    <row r="2245" spans="1:11" x14ac:dyDescent="0.45">
      <c r="A2245" t="s">
        <v>17</v>
      </c>
      <c r="B2245" t="s">
        <v>63</v>
      </c>
      <c r="C2245">
        <v>4</v>
      </c>
      <c r="D2245">
        <v>2</v>
      </c>
      <c r="E2245">
        <v>1</v>
      </c>
      <c r="F2245" s="1">
        <v>46300</v>
      </c>
      <c r="G2245" s="11" t="str">
        <f>_xlfn.TEXTJOIN("|",TRUE,D2245,TEXT(INT(E2245),"yyyymmdd"),F2245)</f>
        <v>2|19000101|46300</v>
      </c>
      <c r="H2245" s="19">
        <f>COUNTIF(GameLog[Pod ID],GameLog[[#This Row],[Pod ID]])</f>
        <v>4</v>
      </c>
      <c r="I2245" s="19">
        <f>YEAR(GameLog[[#This Row],[Date]])</f>
        <v>2026</v>
      </c>
      <c r="J2245" s="19">
        <f>MONTH(GameLog[[#This Row],[Date]])</f>
        <v>10</v>
      </c>
      <c r="K2245" s="19" t="str">
        <f>IF(GameLog[[#This Row],[Date]]=MAX(GameLog[Date]),"Current","Previous")</f>
        <v>Current</v>
      </c>
    </row>
    <row r="2246" spans="1:11" x14ac:dyDescent="0.45">
      <c r="A2246" t="s">
        <v>433</v>
      </c>
      <c r="B2246" t="s">
        <v>6</v>
      </c>
      <c r="C2246">
        <v>1</v>
      </c>
      <c r="D2246">
        <v>3</v>
      </c>
      <c r="E2246">
        <v>1</v>
      </c>
      <c r="F2246" s="1">
        <v>46300</v>
      </c>
      <c r="G2246" s="11" t="str">
        <f>_xlfn.TEXTJOIN("|",TRUE,D2246,TEXT(INT(E2246),"yyyymmdd"),F2246)</f>
        <v>3|19000101|46300</v>
      </c>
      <c r="H2246" s="19">
        <f>COUNTIF(GameLog[Pod ID],GameLog[[#This Row],[Pod ID]])</f>
        <v>4</v>
      </c>
      <c r="I2246" s="19">
        <f>YEAR(GameLog[[#This Row],[Date]])</f>
        <v>2026</v>
      </c>
      <c r="J2246" s="19">
        <f>MONTH(GameLog[[#This Row],[Date]])</f>
        <v>10</v>
      </c>
      <c r="K2246" s="19" t="str">
        <f>IF(GameLog[[#This Row],[Date]]=MAX(GameLog[Date]),"Current","Previous")</f>
        <v>Current</v>
      </c>
    </row>
    <row r="2247" spans="1:11" x14ac:dyDescent="0.45">
      <c r="A2247" t="s">
        <v>19</v>
      </c>
      <c r="B2247" t="s">
        <v>6</v>
      </c>
      <c r="C2247">
        <v>2</v>
      </c>
      <c r="D2247">
        <v>3</v>
      </c>
      <c r="E2247">
        <v>1</v>
      </c>
      <c r="F2247" s="1">
        <v>46300</v>
      </c>
      <c r="G2247" s="11" t="str">
        <f>_xlfn.TEXTJOIN("|",TRUE,D2247,TEXT(INT(E2247),"yyyymmdd"),F2247)</f>
        <v>3|19000101|46300</v>
      </c>
      <c r="H2247" s="19">
        <f>COUNTIF(GameLog[Pod ID],GameLog[[#This Row],[Pod ID]])</f>
        <v>4</v>
      </c>
      <c r="I2247" s="19">
        <f>YEAR(GameLog[[#This Row],[Date]])</f>
        <v>2026</v>
      </c>
      <c r="J2247" s="19">
        <f>MONTH(GameLog[[#This Row],[Date]])</f>
        <v>10</v>
      </c>
      <c r="K2247" s="19" t="str">
        <f>IF(GameLog[[#This Row],[Date]]=MAX(GameLog[Date]),"Current","Previous")</f>
        <v>Current</v>
      </c>
    </row>
    <row r="2248" spans="1:11" x14ac:dyDescent="0.45">
      <c r="A2248" t="s">
        <v>14</v>
      </c>
      <c r="B2248" t="s">
        <v>8</v>
      </c>
      <c r="C2248">
        <v>3</v>
      </c>
      <c r="D2248">
        <v>3</v>
      </c>
      <c r="E2248">
        <v>1</v>
      </c>
      <c r="F2248" s="1">
        <v>46300</v>
      </c>
      <c r="G2248" s="11" t="str">
        <f>_xlfn.TEXTJOIN("|",TRUE,D2248,TEXT(INT(E2248),"yyyymmdd"),F2248)</f>
        <v>3|19000101|46300</v>
      </c>
      <c r="H2248" s="19">
        <f>COUNTIF(GameLog[Pod ID],GameLog[[#This Row],[Pod ID]])</f>
        <v>4</v>
      </c>
      <c r="I2248" s="19">
        <f>YEAR(GameLog[[#This Row],[Date]])</f>
        <v>2026</v>
      </c>
      <c r="J2248" s="19">
        <f>MONTH(GameLog[[#This Row],[Date]])</f>
        <v>10</v>
      </c>
      <c r="K2248" s="19" t="str">
        <f>IF(GameLog[[#This Row],[Date]]=MAX(GameLog[Date]),"Current","Previous")</f>
        <v>Current</v>
      </c>
    </row>
    <row r="2249" spans="1:11" x14ac:dyDescent="0.45">
      <c r="A2249" t="s">
        <v>609</v>
      </c>
      <c r="B2249" t="s">
        <v>6</v>
      </c>
      <c r="C2249">
        <v>4</v>
      </c>
      <c r="D2249">
        <v>3</v>
      </c>
      <c r="E2249">
        <v>1</v>
      </c>
      <c r="F2249" s="1">
        <v>46300</v>
      </c>
      <c r="G2249" s="11" t="str">
        <f>_xlfn.TEXTJOIN("|",TRUE,D2249,TEXT(INT(E2249),"yyyymmdd"),F2249)</f>
        <v>3|19000101|46300</v>
      </c>
      <c r="H2249" s="19">
        <f>COUNTIF(GameLog[Pod ID],GameLog[[#This Row],[Pod ID]])</f>
        <v>4</v>
      </c>
      <c r="I2249" s="19">
        <f>YEAR(GameLog[[#This Row],[Date]])</f>
        <v>2026</v>
      </c>
      <c r="J2249" s="19">
        <f>MONTH(GameLog[[#This Row],[Date]])</f>
        <v>10</v>
      </c>
      <c r="K2249" s="19" t="str">
        <f>IF(GameLog[[#This Row],[Date]]=MAX(GameLog[Date]),"Current","Previous")</f>
        <v>Current</v>
      </c>
    </row>
    <row r="2250" spans="1:11" x14ac:dyDescent="0.45">
      <c r="A2250" t="s">
        <v>578</v>
      </c>
      <c r="B2250" t="s">
        <v>8</v>
      </c>
      <c r="C2250">
        <v>1</v>
      </c>
      <c r="D2250">
        <v>4</v>
      </c>
      <c r="E2250">
        <v>1</v>
      </c>
      <c r="F2250" s="1">
        <v>46300</v>
      </c>
      <c r="G2250" s="11" t="str">
        <f>_xlfn.TEXTJOIN("|",TRUE,D2250,TEXT(INT(E2250),"yyyymmdd"),F2250)</f>
        <v>4|19000101|46300</v>
      </c>
      <c r="H2250" s="19">
        <f>COUNTIF(GameLog[Pod ID],GameLog[[#This Row],[Pod ID]])</f>
        <v>4</v>
      </c>
      <c r="I2250" s="19">
        <f>YEAR(GameLog[[#This Row],[Date]])</f>
        <v>2026</v>
      </c>
      <c r="J2250" s="19">
        <f>MONTH(GameLog[[#This Row],[Date]])</f>
        <v>10</v>
      </c>
      <c r="K2250" s="19" t="str">
        <f>IF(GameLog[[#This Row],[Date]]=MAX(GameLog[Date]),"Current","Previous")</f>
        <v>Current</v>
      </c>
    </row>
    <row r="2251" spans="1:11" x14ac:dyDescent="0.45">
      <c r="A2251" t="s">
        <v>519</v>
      </c>
      <c r="B2251" t="s">
        <v>6</v>
      </c>
      <c r="C2251">
        <v>2</v>
      </c>
      <c r="D2251">
        <v>4</v>
      </c>
      <c r="E2251">
        <v>1</v>
      </c>
      <c r="F2251" s="1">
        <v>46300</v>
      </c>
      <c r="G2251" s="11" t="str">
        <f>_xlfn.TEXTJOIN("|",TRUE,D2251,TEXT(INT(E2251),"yyyymmdd"),F2251)</f>
        <v>4|19000101|46300</v>
      </c>
      <c r="H2251" s="19">
        <f>COUNTIF(GameLog[Pod ID],GameLog[[#This Row],[Pod ID]])</f>
        <v>4</v>
      </c>
      <c r="I2251" s="19">
        <f>YEAR(GameLog[[#This Row],[Date]])</f>
        <v>2026</v>
      </c>
      <c r="J2251" s="19">
        <f>MONTH(GameLog[[#This Row],[Date]])</f>
        <v>10</v>
      </c>
      <c r="K2251" s="19" t="str">
        <f>IF(GameLog[[#This Row],[Date]]=MAX(GameLog[Date]),"Current","Previous")</f>
        <v>Current</v>
      </c>
    </row>
    <row r="2252" spans="1:11" x14ac:dyDescent="0.45">
      <c r="A2252" t="s">
        <v>51</v>
      </c>
      <c r="B2252" t="s">
        <v>6</v>
      </c>
      <c r="C2252">
        <v>3</v>
      </c>
      <c r="D2252">
        <v>4</v>
      </c>
      <c r="E2252">
        <v>1</v>
      </c>
      <c r="F2252" s="1">
        <v>46300</v>
      </c>
      <c r="G2252" s="11" t="str">
        <f>_xlfn.TEXTJOIN("|",TRUE,D2252,TEXT(INT(E2252),"yyyymmdd"),F2252)</f>
        <v>4|19000101|46300</v>
      </c>
      <c r="H2252" s="19">
        <f>COUNTIF(GameLog[Pod ID],GameLog[[#This Row],[Pod ID]])</f>
        <v>4</v>
      </c>
      <c r="I2252" s="19">
        <f>YEAR(GameLog[[#This Row],[Date]])</f>
        <v>2026</v>
      </c>
      <c r="J2252" s="19">
        <f>MONTH(GameLog[[#This Row],[Date]])</f>
        <v>10</v>
      </c>
      <c r="K2252" s="19" t="str">
        <f>IF(GameLog[[#This Row],[Date]]=MAX(GameLog[Date]),"Current","Previous")</f>
        <v>Current</v>
      </c>
    </row>
    <row r="2253" spans="1:11" x14ac:dyDescent="0.45">
      <c r="A2253" t="s">
        <v>41</v>
      </c>
      <c r="B2253" t="s">
        <v>6</v>
      </c>
      <c r="C2253">
        <v>4</v>
      </c>
      <c r="D2253">
        <v>4</v>
      </c>
      <c r="E2253">
        <v>1</v>
      </c>
      <c r="F2253" s="1">
        <v>46300</v>
      </c>
      <c r="G2253" s="11" t="str">
        <f>_xlfn.TEXTJOIN("|",TRUE,D2253,TEXT(INT(E2253),"yyyymmdd"),F2253)</f>
        <v>4|19000101|46300</v>
      </c>
      <c r="H2253" s="19">
        <f>COUNTIF(GameLog[Pod ID],GameLog[[#This Row],[Pod ID]])</f>
        <v>4</v>
      </c>
      <c r="I2253" s="19">
        <f>YEAR(GameLog[[#This Row],[Date]])</f>
        <v>2026</v>
      </c>
      <c r="J2253" s="19">
        <f>MONTH(GameLog[[#This Row],[Date]])</f>
        <v>10</v>
      </c>
      <c r="K2253" s="19" t="str">
        <f>IF(GameLog[[#This Row],[Date]]=MAX(GameLog[Date]),"Current","Previous")</f>
        <v>Current</v>
      </c>
    </row>
    <row r="2254" spans="1:11" x14ac:dyDescent="0.45">
      <c r="A2254" t="s">
        <v>28</v>
      </c>
      <c r="B2254" t="s">
        <v>63</v>
      </c>
      <c r="C2254">
        <v>1</v>
      </c>
      <c r="D2254">
        <v>5</v>
      </c>
      <c r="E2254">
        <v>1</v>
      </c>
      <c r="F2254" s="1">
        <v>46300</v>
      </c>
      <c r="G2254" s="11" t="str">
        <f>_xlfn.TEXTJOIN("|",TRUE,D2254,TEXT(INT(E2254),"yyyymmdd"),F2254)</f>
        <v>5|19000101|46300</v>
      </c>
      <c r="H2254" s="19">
        <f>COUNTIF(GameLog[Pod ID],GameLog[[#This Row],[Pod ID]])</f>
        <v>4</v>
      </c>
      <c r="I2254" s="19">
        <f>YEAR(GameLog[[#This Row],[Date]])</f>
        <v>2026</v>
      </c>
      <c r="J2254" s="19">
        <f>MONTH(GameLog[[#This Row],[Date]])</f>
        <v>10</v>
      </c>
      <c r="K2254" s="19" t="str">
        <f>IF(GameLog[[#This Row],[Date]]=MAX(GameLog[Date]),"Current","Previous")</f>
        <v>Current</v>
      </c>
    </row>
    <row r="2255" spans="1:11" x14ac:dyDescent="0.45">
      <c r="A2255" t="s">
        <v>20</v>
      </c>
      <c r="B2255" t="s">
        <v>63</v>
      </c>
      <c r="C2255">
        <v>2</v>
      </c>
      <c r="D2255">
        <v>5</v>
      </c>
      <c r="E2255">
        <v>1</v>
      </c>
      <c r="F2255" s="1">
        <v>46300</v>
      </c>
      <c r="G2255" s="11" t="str">
        <f>_xlfn.TEXTJOIN("|",TRUE,D2255,TEXT(INT(E2255),"yyyymmdd"),F2255)</f>
        <v>5|19000101|46300</v>
      </c>
      <c r="H2255" s="19">
        <f>COUNTIF(GameLog[Pod ID],GameLog[[#This Row],[Pod ID]])</f>
        <v>4</v>
      </c>
      <c r="I2255" s="19">
        <f>YEAR(GameLog[[#This Row],[Date]])</f>
        <v>2026</v>
      </c>
      <c r="J2255" s="19">
        <f>MONTH(GameLog[[#This Row],[Date]])</f>
        <v>10</v>
      </c>
      <c r="K2255" s="19" t="str">
        <f>IF(GameLog[[#This Row],[Date]]=MAX(GameLog[Date]),"Current","Previous")</f>
        <v>Current</v>
      </c>
    </row>
    <row r="2256" spans="1:11" x14ac:dyDescent="0.45">
      <c r="A2256" t="s">
        <v>15</v>
      </c>
      <c r="B2256" t="s">
        <v>63</v>
      </c>
      <c r="C2256">
        <v>3</v>
      </c>
      <c r="D2256">
        <v>5</v>
      </c>
      <c r="E2256">
        <v>1</v>
      </c>
      <c r="F2256" s="1">
        <v>46300</v>
      </c>
      <c r="G2256" s="11" t="str">
        <f>_xlfn.TEXTJOIN("|",TRUE,D2256,TEXT(INT(E2256),"yyyymmdd"),F2256)</f>
        <v>5|19000101|46300</v>
      </c>
      <c r="H2256" s="19">
        <f>COUNTIF(GameLog[Pod ID],GameLog[[#This Row],[Pod ID]])</f>
        <v>4</v>
      </c>
      <c r="I2256" s="19">
        <f>YEAR(GameLog[[#This Row],[Date]])</f>
        <v>2026</v>
      </c>
      <c r="J2256" s="19">
        <f>MONTH(GameLog[[#This Row],[Date]])</f>
        <v>10</v>
      </c>
      <c r="K2256" s="19" t="str">
        <f>IF(GameLog[[#This Row],[Date]]=MAX(GameLog[Date]),"Current","Previous")</f>
        <v>Current</v>
      </c>
    </row>
    <row r="2257" spans="1:11" x14ac:dyDescent="0.45">
      <c r="A2257" t="s">
        <v>11</v>
      </c>
      <c r="B2257" t="s">
        <v>63</v>
      </c>
      <c r="C2257">
        <v>4</v>
      </c>
      <c r="D2257">
        <v>5</v>
      </c>
      <c r="E2257">
        <v>1</v>
      </c>
      <c r="F2257" s="1">
        <v>46300</v>
      </c>
      <c r="G2257" s="11" t="str">
        <f>_xlfn.TEXTJOIN("|",TRUE,D2257,TEXT(INT(E2257),"yyyymmdd"),F2257)</f>
        <v>5|19000101|46300</v>
      </c>
      <c r="H2257" s="19">
        <f>COUNTIF(GameLog[Pod ID],GameLog[[#This Row],[Pod ID]])</f>
        <v>4</v>
      </c>
      <c r="I2257" s="19">
        <f>YEAR(GameLog[[#This Row],[Date]])</f>
        <v>2026</v>
      </c>
      <c r="J2257" s="19">
        <f>MONTH(GameLog[[#This Row],[Date]])</f>
        <v>10</v>
      </c>
      <c r="K2257" s="19" t="str">
        <f>IF(GameLog[[#This Row],[Date]]=MAX(GameLog[Date]),"Current","Previous")</f>
        <v>Current</v>
      </c>
    </row>
    <row r="2258" spans="1:11" x14ac:dyDescent="0.45">
      <c r="A2258" t="s">
        <v>405</v>
      </c>
      <c r="B2258" t="s">
        <v>8</v>
      </c>
      <c r="C2258">
        <v>1</v>
      </c>
      <c r="D2258">
        <v>6</v>
      </c>
      <c r="E2258">
        <v>1</v>
      </c>
      <c r="F2258" s="1">
        <v>46300</v>
      </c>
      <c r="G2258" s="11" t="str">
        <f>_xlfn.TEXTJOIN("|",TRUE,D2258,TEXT(INT(E2258),"yyyymmdd"),F2258)</f>
        <v>6|19000101|46300</v>
      </c>
      <c r="H2258" s="19">
        <f>COUNTIF(GameLog[Pod ID],GameLog[[#This Row],[Pod ID]])</f>
        <v>4</v>
      </c>
      <c r="I2258" s="19">
        <f>YEAR(GameLog[[#This Row],[Date]])</f>
        <v>2026</v>
      </c>
      <c r="J2258" s="19">
        <f>MONTH(GameLog[[#This Row],[Date]])</f>
        <v>10</v>
      </c>
      <c r="K2258" s="19" t="str">
        <f>IF(GameLog[[#This Row],[Date]]=MAX(GameLog[Date]),"Current","Previous")</f>
        <v>Current</v>
      </c>
    </row>
    <row r="2259" spans="1:11" x14ac:dyDescent="0.45">
      <c r="A2259" t="s">
        <v>567</v>
      </c>
      <c r="B2259" t="s">
        <v>6</v>
      </c>
      <c r="C2259">
        <v>2</v>
      </c>
      <c r="D2259">
        <v>6</v>
      </c>
      <c r="E2259">
        <v>1</v>
      </c>
      <c r="F2259" s="1">
        <v>46300</v>
      </c>
      <c r="G2259" s="11" t="str">
        <f>_xlfn.TEXTJOIN("|",TRUE,D2259,TEXT(INT(E2259),"yyyymmdd"),F2259)</f>
        <v>6|19000101|46300</v>
      </c>
      <c r="H2259" s="19">
        <f>COUNTIF(GameLog[Pod ID],GameLog[[#This Row],[Pod ID]])</f>
        <v>4</v>
      </c>
      <c r="I2259" s="19">
        <f>YEAR(GameLog[[#This Row],[Date]])</f>
        <v>2026</v>
      </c>
      <c r="J2259" s="19">
        <f>MONTH(GameLog[[#This Row],[Date]])</f>
        <v>10</v>
      </c>
      <c r="K2259" s="19" t="str">
        <f>IF(GameLog[[#This Row],[Date]]=MAX(GameLog[Date]),"Current","Previous")</f>
        <v>Current</v>
      </c>
    </row>
    <row r="2260" spans="1:11" x14ac:dyDescent="0.45">
      <c r="A2260" t="s">
        <v>10</v>
      </c>
      <c r="B2260" t="s">
        <v>6</v>
      </c>
      <c r="C2260">
        <v>3</v>
      </c>
      <c r="D2260">
        <v>6</v>
      </c>
      <c r="E2260">
        <v>1</v>
      </c>
      <c r="F2260" s="1">
        <v>46300</v>
      </c>
      <c r="G2260" s="11" t="str">
        <f>_xlfn.TEXTJOIN("|",TRUE,D2260,TEXT(INT(E2260),"yyyymmdd"),F2260)</f>
        <v>6|19000101|46300</v>
      </c>
      <c r="H2260" s="19">
        <f>COUNTIF(GameLog[Pod ID],GameLog[[#This Row],[Pod ID]])</f>
        <v>4</v>
      </c>
      <c r="I2260" s="19">
        <f>YEAR(GameLog[[#This Row],[Date]])</f>
        <v>2026</v>
      </c>
      <c r="J2260" s="19">
        <f>MONTH(GameLog[[#This Row],[Date]])</f>
        <v>10</v>
      </c>
      <c r="K2260" s="19" t="str">
        <f>IF(GameLog[[#This Row],[Date]]=MAX(GameLog[Date]),"Current","Previous")</f>
        <v>Current</v>
      </c>
    </row>
    <row r="2261" spans="1:11" x14ac:dyDescent="0.45">
      <c r="A2261" t="s">
        <v>734</v>
      </c>
      <c r="B2261" t="s">
        <v>6</v>
      </c>
      <c r="C2261">
        <v>4</v>
      </c>
      <c r="D2261">
        <v>6</v>
      </c>
      <c r="E2261">
        <v>1</v>
      </c>
      <c r="F2261" s="1">
        <v>46300</v>
      </c>
      <c r="G2261" s="11" t="str">
        <f>_xlfn.TEXTJOIN("|",TRUE,D2261,TEXT(INT(E2261),"yyyymmdd"),F2261)</f>
        <v>6|19000101|46300</v>
      </c>
      <c r="H2261" s="19">
        <f>COUNTIF(GameLog[Pod ID],GameLog[[#This Row],[Pod ID]])</f>
        <v>4</v>
      </c>
      <c r="I2261" s="19">
        <f>YEAR(GameLog[[#This Row],[Date]])</f>
        <v>2026</v>
      </c>
      <c r="J2261" s="19">
        <f>MONTH(GameLog[[#This Row],[Date]])</f>
        <v>10</v>
      </c>
      <c r="K2261" s="19" t="str">
        <f>IF(GameLog[[#This Row],[Date]]=MAX(GameLog[Date]),"Current","Previous")</f>
        <v>Current</v>
      </c>
    </row>
    <row r="2262" spans="1:11" x14ac:dyDescent="0.45">
      <c r="A2262" t="s">
        <v>27</v>
      </c>
      <c r="B2262" t="s">
        <v>8</v>
      </c>
      <c r="C2262">
        <v>1</v>
      </c>
      <c r="D2262">
        <v>1</v>
      </c>
      <c r="E2262">
        <v>2</v>
      </c>
      <c r="F2262" s="1">
        <v>46300</v>
      </c>
      <c r="G2262" s="11" t="str">
        <f>_xlfn.TEXTJOIN("|",TRUE,D2262,TEXT(INT(E2262),"yyyymmdd"),F2262)</f>
        <v>1|19000102|46300</v>
      </c>
      <c r="H2262" s="19">
        <f>COUNTIF(GameLog[Pod ID],GameLog[[#This Row],[Pod ID]])</f>
        <v>4</v>
      </c>
      <c r="I2262" s="19">
        <f>YEAR(GameLog[[#This Row],[Date]])</f>
        <v>2026</v>
      </c>
      <c r="J2262" s="19">
        <f>MONTH(GameLog[[#This Row],[Date]])</f>
        <v>10</v>
      </c>
      <c r="K2262" s="19" t="str">
        <f>IF(GameLog[[#This Row],[Date]]=MAX(GameLog[Date]),"Current","Previous")</f>
        <v>Current</v>
      </c>
    </row>
    <row r="2263" spans="1:11" x14ac:dyDescent="0.45">
      <c r="A2263" t="s">
        <v>405</v>
      </c>
      <c r="B2263" t="s">
        <v>6</v>
      </c>
      <c r="C2263">
        <v>2</v>
      </c>
      <c r="D2263">
        <v>1</v>
      </c>
      <c r="E2263">
        <v>2</v>
      </c>
      <c r="F2263" s="1">
        <v>46300</v>
      </c>
      <c r="G2263" s="11" t="str">
        <f>_xlfn.TEXTJOIN("|",TRUE,D2263,TEXT(INT(E2263),"yyyymmdd"),F2263)</f>
        <v>1|19000102|46300</v>
      </c>
      <c r="H2263" s="19">
        <f>COUNTIF(GameLog[Pod ID],GameLog[[#This Row],[Pod ID]])</f>
        <v>4</v>
      </c>
      <c r="I2263" s="19">
        <f>YEAR(GameLog[[#This Row],[Date]])</f>
        <v>2026</v>
      </c>
      <c r="J2263" s="19">
        <f>MONTH(GameLog[[#This Row],[Date]])</f>
        <v>10</v>
      </c>
      <c r="K2263" s="19" t="str">
        <f>IF(GameLog[[#This Row],[Date]]=MAX(GameLog[Date]),"Current","Previous")</f>
        <v>Current</v>
      </c>
    </row>
    <row r="2264" spans="1:11" x14ac:dyDescent="0.45">
      <c r="A2264" t="s">
        <v>9</v>
      </c>
      <c r="B2264" t="s">
        <v>6</v>
      </c>
      <c r="C2264">
        <v>3</v>
      </c>
      <c r="D2264">
        <v>1</v>
      </c>
      <c r="E2264">
        <v>2</v>
      </c>
      <c r="F2264" s="1">
        <v>46300</v>
      </c>
      <c r="G2264" s="11" t="str">
        <f>_xlfn.TEXTJOIN("|",TRUE,D2264,TEXT(INT(E2264),"yyyymmdd"),F2264)</f>
        <v>1|19000102|46300</v>
      </c>
      <c r="H2264" s="19">
        <f>COUNTIF(GameLog[Pod ID],GameLog[[#This Row],[Pod ID]])</f>
        <v>4</v>
      </c>
      <c r="I2264" s="19">
        <f>YEAR(GameLog[[#This Row],[Date]])</f>
        <v>2026</v>
      </c>
      <c r="J2264" s="19">
        <f>MONTH(GameLog[[#This Row],[Date]])</f>
        <v>10</v>
      </c>
      <c r="K2264" s="19" t="str">
        <f>IF(GameLog[[#This Row],[Date]]=MAX(GameLog[Date]),"Current","Previous")</f>
        <v>Current</v>
      </c>
    </row>
    <row r="2265" spans="1:11" x14ac:dyDescent="0.45">
      <c r="A2265" t="s">
        <v>20</v>
      </c>
      <c r="B2265" t="s">
        <v>6</v>
      </c>
      <c r="C2265">
        <v>4</v>
      </c>
      <c r="D2265">
        <v>1</v>
      </c>
      <c r="E2265">
        <v>2</v>
      </c>
      <c r="F2265" s="1">
        <v>46300</v>
      </c>
      <c r="G2265" s="11" t="str">
        <f>_xlfn.TEXTJOIN("|",TRUE,D2265,TEXT(INT(E2265),"yyyymmdd"),F2265)</f>
        <v>1|19000102|46300</v>
      </c>
      <c r="H2265" s="19">
        <f>COUNTIF(GameLog[Pod ID],GameLog[[#This Row],[Pod ID]])</f>
        <v>4</v>
      </c>
      <c r="I2265" s="19">
        <f>YEAR(GameLog[[#This Row],[Date]])</f>
        <v>2026</v>
      </c>
      <c r="J2265" s="19">
        <f>MONTH(GameLog[[#This Row],[Date]])</f>
        <v>10</v>
      </c>
      <c r="K2265" s="19" t="str">
        <f>IF(GameLog[[#This Row],[Date]]=MAX(GameLog[Date]),"Current","Previous")</f>
        <v>Current</v>
      </c>
    </row>
    <row r="2266" spans="1:11" x14ac:dyDescent="0.45">
      <c r="A2266" t="s">
        <v>28</v>
      </c>
      <c r="B2266" t="s">
        <v>8</v>
      </c>
      <c r="C2266">
        <v>1</v>
      </c>
      <c r="D2266">
        <v>2</v>
      </c>
      <c r="E2266">
        <v>2</v>
      </c>
      <c r="F2266" s="1">
        <v>46300</v>
      </c>
      <c r="G2266" s="11" t="str">
        <f>_xlfn.TEXTJOIN("|",TRUE,D2266,TEXT(INT(E2266),"yyyymmdd"),F2266)</f>
        <v>2|19000102|46300</v>
      </c>
      <c r="H2266" s="19">
        <f>COUNTIF(GameLog[Pod ID],GameLog[[#This Row],[Pod ID]])</f>
        <v>4</v>
      </c>
      <c r="I2266" s="19">
        <f>YEAR(GameLog[[#This Row],[Date]])</f>
        <v>2026</v>
      </c>
      <c r="J2266" s="19">
        <f>MONTH(GameLog[[#This Row],[Date]])</f>
        <v>10</v>
      </c>
      <c r="K2266" s="19" t="str">
        <f>IF(GameLog[[#This Row],[Date]]=MAX(GameLog[Date]),"Current","Previous")</f>
        <v>Current</v>
      </c>
    </row>
    <row r="2267" spans="1:11" x14ac:dyDescent="0.45">
      <c r="A2267" t="s">
        <v>578</v>
      </c>
      <c r="B2267" t="s">
        <v>6</v>
      </c>
      <c r="C2267">
        <v>2</v>
      </c>
      <c r="D2267">
        <v>2</v>
      </c>
      <c r="E2267">
        <v>2</v>
      </c>
      <c r="F2267" s="1">
        <v>46300</v>
      </c>
      <c r="G2267" s="11" t="str">
        <f>_xlfn.TEXTJOIN("|",TRUE,D2267,TEXT(INT(E2267),"yyyymmdd"),F2267)</f>
        <v>2|19000102|46300</v>
      </c>
      <c r="H2267" s="19">
        <f>COUNTIF(GameLog[Pod ID],GameLog[[#This Row],[Pod ID]])</f>
        <v>4</v>
      </c>
      <c r="I2267" s="19">
        <f>YEAR(GameLog[[#This Row],[Date]])</f>
        <v>2026</v>
      </c>
      <c r="J2267" s="19">
        <f>MONTH(GameLog[[#This Row],[Date]])</f>
        <v>10</v>
      </c>
      <c r="K2267" s="19" t="str">
        <f>IF(GameLog[[#This Row],[Date]]=MAX(GameLog[Date]),"Current","Previous")</f>
        <v>Current</v>
      </c>
    </row>
    <row r="2268" spans="1:11" x14ac:dyDescent="0.45">
      <c r="A2268" t="s">
        <v>17</v>
      </c>
      <c r="B2268" t="s">
        <v>6</v>
      </c>
      <c r="C2268">
        <v>3</v>
      </c>
      <c r="D2268">
        <v>2</v>
      </c>
      <c r="E2268">
        <v>2</v>
      </c>
      <c r="F2268" s="1">
        <v>46300</v>
      </c>
      <c r="G2268" s="11" t="str">
        <f>_xlfn.TEXTJOIN("|",TRUE,D2268,TEXT(INT(E2268),"yyyymmdd"),F2268)</f>
        <v>2|19000102|46300</v>
      </c>
      <c r="H2268" s="19">
        <f>COUNTIF(GameLog[Pod ID],GameLog[[#This Row],[Pod ID]])</f>
        <v>4</v>
      </c>
      <c r="I2268" s="19">
        <f>YEAR(GameLog[[#This Row],[Date]])</f>
        <v>2026</v>
      </c>
      <c r="J2268" s="19">
        <f>MONTH(GameLog[[#This Row],[Date]])</f>
        <v>10</v>
      </c>
      <c r="K2268" s="19" t="str">
        <f>IF(GameLog[[#This Row],[Date]]=MAX(GameLog[Date]),"Current","Previous")</f>
        <v>Current</v>
      </c>
    </row>
    <row r="2269" spans="1:11" x14ac:dyDescent="0.45">
      <c r="A2269" t="s">
        <v>7</v>
      </c>
      <c r="B2269" t="s">
        <v>6</v>
      </c>
      <c r="C2269">
        <v>4</v>
      </c>
      <c r="D2269">
        <v>2</v>
      </c>
      <c r="E2269">
        <v>2</v>
      </c>
      <c r="F2269" s="1">
        <v>46300</v>
      </c>
      <c r="G2269" s="11" t="str">
        <f>_xlfn.TEXTJOIN("|",TRUE,D2269,TEXT(INT(E2269),"yyyymmdd"),F2269)</f>
        <v>2|19000102|46300</v>
      </c>
      <c r="H2269" s="19">
        <f>COUNTIF(GameLog[Pod ID],GameLog[[#This Row],[Pod ID]])</f>
        <v>4</v>
      </c>
      <c r="I2269" s="19">
        <f>YEAR(GameLog[[#This Row],[Date]])</f>
        <v>2026</v>
      </c>
      <c r="J2269" s="19">
        <f>MONTH(GameLog[[#This Row],[Date]])</f>
        <v>10</v>
      </c>
      <c r="K2269" s="19" t="str">
        <f>IF(GameLog[[#This Row],[Date]]=MAX(GameLog[Date]),"Current","Previous")</f>
        <v>Current</v>
      </c>
    </row>
    <row r="2270" spans="1:11" x14ac:dyDescent="0.45">
      <c r="A2270" t="s">
        <v>11</v>
      </c>
      <c r="B2270" t="s">
        <v>8</v>
      </c>
      <c r="C2270">
        <v>1</v>
      </c>
      <c r="D2270">
        <v>3</v>
      </c>
      <c r="E2270">
        <v>2</v>
      </c>
      <c r="F2270" s="1">
        <v>46300</v>
      </c>
      <c r="G2270" s="11" t="str">
        <f>_xlfn.TEXTJOIN("|",TRUE,D2270,TEXT(INT(E2270),"yyyymmdd"),F2270)</f>
        <v>3|19000102|46300</v>
      </c>
      <c r="H2270" s="19">
        <f>COUNTIF(GameLog[Pod ID],GameLog[[#This Row],[Pod ID]])</f>
        <v>4</v>
      </c>
      <c r="I2270" s="19">
        <f>YEAR(GameLog[[#This Row],[Date]])</f>
        <v>2026</v>
      </c>
      <c r="J2270" s="19">
        <f>MONTH(GameLog[[#This Row],[Date]])</f>
        <v>10</v>
      </c>
      <c r="K2270" s="19" t="str">
        <f>IF(GameLog[[#This Row],[Date]]=MAX(GameLog[Date]),"Current","Previous")</f>
        <v>Current</v>
      </c>
    </row>
    <row r="2271" spans="1:11" x14ac:dyDescent="0.45">
      <c r="A2271" t="s">
        <v>14</v>
      </c>
      <c r="B2271" t="s">
        <v>6</v>
      </c>
      <c r="C2271">
        <v>2</v>
      </c>
      <c r="D2271">
        <v>3</v>
      </c>
      <c r="E2271">
        <v>2</v>
      </c>
      <c r="F2271" s="1">
        <v>46300</v>
      </c>
      <c r="G2271" s="11" t="str">
        <f>_xlfn.TEXTJOIN("|",TRUE,D2271,TEXT(INT(E2271),"yyyymmdd"),F2271)</f>
        <v>3|19000102|46300</v>
      </c>
      <c r="H2271" s="19">
        <f>COUNTIF(GameLog[Pod ID],GameLog[[#This Row],[Pod ID]])</f>
        <v>4</v>
      </c>
      <c r="I2271" s="19">
        <f>YEAR(GameLog[[#This Row],[Date]])</f>
        <v>2026</v>
      </c>
      <c r="J2271" s="19">
        <f>MONTH(GameLog[[#This Row],[Date]])</f>
        <v>10</v>
      </c>
      <c r="K2271" s="19" t="str">
        <f>IF(GameLog[[#This Row],[Date]]=MAX(GameLog[Date]),"Current","Previous")</f>
        <v>Current</v>
      </c>
    </row>
    <row r="2272" spans="1:11" x14ac:dyDescent="0.45">
      <c r="A2272" t="s">
        <v>402</v>
      </c>
      <c r="B2272" t="s">
        <v>6</v>
      </c>
      <c r="C2272">
        <v>3</v>
      </c>
      <c r="D2272">
        <v>3</v>
      </c>
      <c r="E2272">
        <v>2</v>
      </c>
      <c r="F2272" s="1">
        <v>46300</v>
      </c>
      <c r="G2272" s="11" t="str">
        <f>_xlfn.TEXTJOIN("|",TRUE,D2272,TEXT(INT(E2272),"yyyymmdd"),F2272)</f>
        <v>3|19000102|46300</v>
      </c>
      <c r="H2272" s="19">
        <f>COUNTIF(GameLog[Pod ID],GameLog[[#This Row],[Pod ID]])</f>
        <v>4</v>
      </c>
      <c r="I2272" s="19">
        <f>YEAR(GameLog[[#This Row],[Date]])</f>
        <v>2026</v>
      </c>
      <c r="J2272" s="19">
        <f>MONTH(GameLog[[#This Row],[Date]])</f>
        <v>10</v>
      </c>
      <c r="K2272" s="19" t="str">
        <f>IF(GameLog[[#This Row],[Date]]=MAX(GameLog[Date]),"Current","Previous")</f>
        <v>Current</v>
      </c>
    </row>
    <row r="2273" spans="1:11" x14ac:dyDescent="0.45">
      <c r="A2273" t="s">
        <v>13</v>
      </c>
      <c r="B2273" t="s">
        <v>6</v>
      </c>
      <c r="C2273">
        <v>4</v>
      </c>
      <c r="D2273">
        <v>3</v>
      </c>
      <c r="E2273">
        <v>2</v>
      </c>
      <c r="F2273" s="1">
        <v>46300</v>
      </c>
      <c r="G2273" s="11" t="str">
        <f>_xlfn.TEXTJOIN("|",TRUE,D2273,TEXT(INT(E2273),"yyyymmdd"),F2273)</f>
        <v>3|19000102|46300</v>
      </c>
      <c r="H2273" s="19">
        <f>COUNTIF(GameLog[Pod ID],GameLog[[#This Row],[Pod ID]])</f>
        <v>4</v>
      </c>
      <c r="I2273" s="19">
        <f>YEAR(GameLog[[#This Row],[Date]])</f>
        <v>2026</v>
      </c>
      <c r="J2273" s="19">
        <f>MONTH(GameLog[[#This Row],[Date]])</f>
        <v>10</v>
      </c>
      <c r="K2273" s="19" t="str">
        <f>IF(GameLog[[#This Row],[Date]]=MAX(GameLog[Date]),"Current","Previous")</f>
        <v>Current</v>
      </c>
    </row>
    <row r="2274" spans="1:11" x14ac:dyDescent="0.45">
      <c r="A2274" t="s">
        <v>15</v>
      </c>
      <c r="B2274" t="s">
        <v>8</v>
      </c>
      <c r="C2274">
        <v>1</v>
      </c>
      <c r="D2274">
        <v>4</v>
      </c>
      <c r="E2274">
        <v>2</v>
      </c>
      <c r="F2274" s="1">
        <v>46300</v>
      </c>
      <c r="G2274" s="11" t="str">
        <f>_xlfn.TEXTJOIN("|",TRUE,D2274,TEXT(INT(E2274),"yyyymmdd"),F2274)</f>
        <v>4|19000102|46300</v>
      </c>
      <c r="H2274" s="19">
        <f>COUNTIF(GameLog[Pod ID],GameLog[[#This Row],[Pod ID]])</f>
        <v>4</v>
      </c>
      <c r="I2274" s="19">
        <f>YEAR(GameLog[[#This Row],[Date]])</f>
        <v>2026</v>
      </c>
      <c r="J2274" s="19">
        <f>MONTH(GameLog[[#This Row],[Date]])</f>
        <v>10</v>
      </c>
      <c r="K2274" s="19" t="str">
        <f>IF(GameLog[[#This Row],[Date]]=MAX(GameLog[Date]),"Current","Previous")</f>
        <v>Current</v>
      </c>
    </row>
    <row r="2275" spans="1:11" x14ac:dyDescent="0.45">
      <c r="A2275" t="s">
        <v>519</v>
      </c>
      <c r="B2275" t="s">
        <v>6</v>
      </c>
      <c r="C2275">
        <v>2</v>
      </c>
      <c r="D2275">
        <v>4</v>
      </c>
      <c r="E2275">
        <v>2</v>
      </c>
      <c r="F2275" s="1">
        <v>46300</v>
      </c>
      <c r="G2275" s="11" t="str">
        <f>_xlfn.TEXTJOIN("|",TRUE,D2275,TEXT(INT(E2275),"yyyymmdd"),F2275)</f>
        <v>4|19000102|46300</v>
      </c>
      <c r="H2275" s="19">
        <f>COUNTIF(GameLog[Pod ID],GameLog[[#This Row],[Pod ID]])</f>
        <v>4</v>
      </c>
      <c r="I2275" s="19">
        <f>YEAR(GameLog[[#This Row],[Date]])</f>
        <v>2026</v>
      </c>
      <c r="J2275" s="19">
        <f>MONTH(GameLog[[#This Row],[Date]])</f>
        <v>10</v>
      </c>
      <c r="K2275" s="19" t="str">
        <f>IF(GameLog[[#This Row],[Date]]=MAX(GameLog[Date]),"Current","Previous")</f>
        <v>Current</v>
      </c>
    </row>
    <row r="2276" spans="1:11" x14ac:dyDescent="0.45">
      <c r="A2276" t="s">
        <v>351</v>
      </c>
      <c r="B2276" t="s">
        <v>6</v>
      </c>
      <c r="C2276">
        <v>3</v>
      </c>
      <c r="D2276">
        <v>4</v>
      </c>
      <c r="E2276">
        <v>2</v>
      </c>
      <c r="F2276" s="1">
        <v>46300</v>
      </c>
      <c r="G2276" s="11" t="str">
        <f>_xlfn.TEXTJOIN("|",TRUE,D2276,TEXT(INT(E2276),"yyyymmdd"),F2276)</f>
        <v>4|19000102|46300</v>
      </c>
      <c r="H2276" s="19">
        <f>COUNTIF(GameLog[Pod ID],GameLog[[#This Row],[Pod ID]])</f>
        <v>4</v>
      </c>
      <c r="I2276" s="19">
        <f>YEAR(GameLog[[#This Row],[Date]])</f>
        <v>2026</v>
      </c>
      <c r="J2276" s="19">
        <f>MONTH(GameLog[[#This Row],[Date]])</f>
        <v>10</v>
      </c>
      <c r="K2276" s="19" t="str">
        <f>IF(GameLog[[#This Row],[Date]]=MAX(GameLog[Date]),"Current","Previous")</f>
        <v>Current</v>
      </c>
    </row>
    <row r="2277" spans="1:11" x14ac:dyDescent="0.45">
      <c r="A2277" t="s">
        <v>622</v>
      </c>
      <c r="B2277" t="s">
        <v>6</v>
      </c>
      <c r="C2277">
        <v>4</v>
      </c>
      <c r="D2277">
        <v>4</v>
      </c>
      <c r="E2277">
        <v>2</v>
      </c>
      <c r="F2277" s="1">
        <v>46300</v>
      </c>
      <c r="G2277" s="11" t="str">
        <f>_xlfn.TEXTJOIN("|",TRUE,D2277,TEXT(INT(E2277),"yyyymmdd"),F2277)</f>
        <v>4|19000102|46300</v>
      </c>
      <c r="H2277" s="19">
        <f>COUNTIF(GameLog[Pod ID],GameLog[[#This Row],[Pod ID]])</f>
        <v>4</v>
      </c>
      <c r="I2277" s="19">
        <f>YEAR(GameLog[[#This Row],[Date]])</f>
        <v>2026</v>
      </c>
      <c r="J2277" s="19">
        <f>MONTH(GameLog[[#This Row],[Date]])</f>
        <v>10</v>
      </c>
      <c r="K2277" s="19" t="str">
        <f>IF(GameLog[[#This Row],[Date]]=MAX(GameLog[Date]),"Current","Previous")</f>
        <v>Current</v>
      </c>
    </row>
    <row r="2278" spans="1:11" x14ac:dyDescent="0.45">
      <c r="A2278" t="s">
        <v>41</v>
      </c>
      <c r="B2278" t="s">
        <v>6</v>
      </c>
      <c r="C2278">
        <v>1</v>
      </c>
      <c r="D2278">
        <v>5</v>
      </c>
      <c r="E2278">
        <v>2</v>
      </c>
      <c r="F2278" s="1">
        <v>46300</v>
      </c>
      <c r="G2278" s="11" t="str">
        <f>_xlfn.TEXTJOIN("|",TRUE,D2278,TEXT(INT(E2278),"yyyymmdd"),F2278)</f>
        <v>5|19000102|46300</v>
      </c>
      <c r="H2278" s="19">
        <f>COUNTIF(GameLog[Pod ID],GameLog[[#This Row],[Pod ID]])</f>
        <v>4</v>
      </c>
      <c r="I2278" s="19">
        <f>YEAR(GameLog[[#This Row],[Date]])</f>
        <v>2026</v>
      </c>
      <c r="J2278" s="19">
        <f>MONTH(GameLog[[#This Row],[Date]])</f>
        <v>10</v>
      </c>
      <c r="K2278" s="19" t="str">
        <f>IF(GameLog[[#This Row],[Date]]=MAX(GameLog[Date]),"Current","Previous")</f>
        <v>Current</v>
      </c>
    </row>
    <row r="2279" spans="1:11" x14ac:dyDescent="0.45">
      <c r="A2279" t="s">
        <v>10</v>
      </c>
      <c r="B2279" t="s">
        <v>6</v>
      </c>
      <c r="C2279">
        <v>2</v>
      </c>
      <c r="D2279">
        <v>5</v>
      </c>
      <c r="E2279">
        <v>2</v>
      </c>
      <c r="F2279" s="1">
        <v>46300</v>
      </c>
      <c r="G2279" s="11" t="str">
        <f>_xlfn.TEXTJOIN("|",TRUE,D2279,TEXT(INT(E2279),"yyyymmdd"),F2279)</f>
        <v>5|19000102|46300</v>
      </c>
      <c r="H2279" s="19">
        <f>COUNTIF(GameLog[Pod ID],GameLog[[#This Row],[Pod ID]])</f>
        <v>4</v>
      </c>
      <c r="I2279" s="19">
        <f>YEAR(GameLog[[#This Row],[Date]])</f>
        <v>2026</v>
      </c>
      <c r="J2279" s="19">
        <f>MONTH(GameLog[[#This Row],[Date]])</f>
        <v>10</v>
      </c>
      <c r="K2279" s="19" t="str">
        <f>IF(GameLog[[#This Row],[Date]]=MAX(GameLog[Date]),"Current","Previous")</f>
        <v>Current</v>
      </c>
    </row>
    <row r="2280" spans="1:11" x14ac:dyDescent="0.45">
      <c r="A2280" t="s">
        <v>19</v>
      </c>
      <c r="B2280" t="s">
        <v>8</v>
      </c>
      <c r="C2280">
        <v>3</v>
      </c>
      <c r="D2280">
        <v>5</v>
      </c>
      <c r="E2280">
        <v>2</v>
      </c>
      <c r="F2280" s="1">
        <v>46300</v>
      </c>
      <c r="G2280" s="11" t="str">
        <f>_xlfn.TEXTJOIN("|",TRUE,D2280,TEXT(INT(E2280),"yyyymmdd"),F2280)</f>
        <v>5|19000102|46300</v>
      </c>
      <c r="H2280" s="19">
        <f>COUNTIF(GameLog[Pod ID],GameLog[[#This Row],[Pod ID]])</f>
        <v>4</v>
      </c>
      <c r="I2280" s="19">
        <f>YEAR(GameLog[[#This Row],[Date]])</f>
        <v>2026</v>
      </c>
      <c r="J2280" s="19">
        <f>MONTH(GameLog[[#This Row],[Date]])</f>
        <v>10</v>
      </c>
      <c r="K2280" s="19" t="str">
        <f>IF(GameLog[[#This Row],[Date]]=MAX(GameLog[Date]),"Current","Previous")</f>
        <v>Current</v>
      </c>
    </row>
    <row r="2281" spans="1:11" x14ac:dyDescent="0.45">
      <c r="A2281" t="s">
        <v>567</v>
      </c>
      <c r="B2281" t="s">
        <v>6</v>
      </c>
      <c r="C2281">
        <v>4</v>
      </c>
      <c r="D2281">
        <v>5</v>
      </c>
      <c r="E2281">
        <v>2</v>
      </c>
      <c r="F2281" s="1">
        <v>46300</v>
      </c>
      <c r="G2281" s="11" t="str">
        <f>_xlfn.TEXTJOIN("|",TRUE,D2281,TEXT(INT(E2281),"yyyymmdd"),F2281)</f>
        <v>5|19000102|46300</v>
      </c>
      <c r="H2281" s="19">
        <f>COUNTIF(GameLog[Pod ID],GameLog[[#This Row],[Pod ID]])</f>
        <v>4</v>
      </c>
      <c r="I2281" s="19">
        <f>YEAR(GameLog[[#This Row],[Date]])</f>
        <v>2026</v>
      </c>
      <c r="J2281" s="19">
        <f>MONTH(GameLog[[#This Row],[Date]])</f>
        <v>10</v>
      </c>
      <c r="K2281" s="19" t="str">
        <f>IF(GameLog[[#This Row],[Date]]=MAX(GameLog[Date]),"Current","Previous")</f>
        <v>Current</v>
      </c>
    </row>
    <row r="2282" spans="1:11" x14ac:dyDescent="0.45">
      <c r="A2282" t="s">
        <v>51</v>
      </c>
      <c r="B2282" t="s">
        <v>6</v>
      </c>
      <c r="C2282">
        <v>1</v>
      </c>
      <c r="D2282">
        <v>6</v>
      </c>
      <c r="E2282">
        <v>2</v>
      </c>
      <c r="F2282" s="1">
        <v>46300</v>
      </c>
      <c r="G2282" s="11" t="str">
        <f>_xlfn.TEXTJOIN("|",TRUE,D2282,TEXT(INT(E2282),"yyyymmdd"),F2282)</f>
        <v>6|19000102|46300</v>
      </c>
      <c r="H2282" s="19">
        <f>COUNTIF(GameLog[Pod ID],GameLog[[#This Row],[Pod ID]])</f>
        <v>4</v>
      </c>
      <c r="I2282" s="19">
        <f>YEAR(GameLog[[#This Row],[Date]])</f>
        <v>2026</v>
      </c>
      <c r="J2282" s="19">
        <f>MONTH(GameLog[[#This Row],[Date]])</f>
        <v>10</v>
      </c>
      <c r="K2282" s="19" t="str">
        <f>IF(GameLog[[#This Row],[Date]]=MAX(GameLog[Date]),"Current","Previous")</f>
        <v>Current</v>
      </c>
    </row>
    <row r="2283" spans="1:11" x14ac:dyDescent="0.45">
      <c r="A2283" t="s">
        <v>609</v>
      </c>
      <c r="B2283" t="s">
        <v>8</v>
      </c>
      <c r="C2283">
        <v>2</v>
      </c>
      <c r="D2283">
        <v>6</v>
      </c>
      <c r="E2283">
        <v>2</v>
      </c>
      <c r="F2283" s="1">
        <v>46300</v>
      </c>
      <c r="G2283" s="11" t="str">
        <f>_xlfn.TEXTJOIN("|",TRUE,D2283,TEXT(INT(E2283),"yyyymmdd"),F2283)</f>
        <v>6|19000102|46300</v>
      </c>
      <c r="H2283" s="19">
        <f>COUNTIF(GameLog[Pod ID],GameLog[[#This Row],[Pod ID]])</f>
        <v>4</v>
      </c>
      <c r="I2283" s="19">
        <f>YEAR(GameLog[[#This Row],[Date]])</f>
        <v>2026</v>
      </c>
      <c r="J2283" s="19">
        <f>MONTH(GameLog[[#This Row],[Date]])</f>
        <v>10</v>
      </c>
      <c r="K2283" s="19" t="str">
        <f>IF(GameLog[[#This Row],[Date]]=MAX(GameLog[Date]),"Current","Previous")</f>
        <v>Current</v>
      </c>
    </row>
    <row r="2284" spans="1:11" x14ac:dyDescent="0.45">
      <c r="A2284" t="s">
        <v>734</v>
      </c>
      <c r="B2284" t="s">
        <v>6</v>
      </c>
      <c r="C2284">
        <v>3</v>
      </c>
      <c r="D2284">
        <v>6</v>
      </c>
      <c r="E2284">
        <v>2</v>
      </c>
      <c r="F2284" s="1">
        <v>46300</v>
      </c>
      <c r="G2284" s="11" t="str">
        <f>_xlfn.TEXTJOIN("|",TRUE,D2284,TEXT(INT(E2284),"yyyymmdd"),F2284)</f>
        <v>6|19000102|46300</v>
      </c>
      <c r="H2284" s="19">
        <f>COUNTIF(GameLog[Pod ID],GameLog[[#This Row],[Pod ID]])</f>
        <v>4</v>
      </c>
      <c r="I2284" s="19">
        <f>YEAR(GameLog[[#This Row],[Date]])</f>
        <v>2026</v>
      </c>
      <c r="J2284" s="19">
        <f>MONTH(GameLog[[#This Row],[Date]])</f>
        <v>10</v>
      </c>
      <c r="K2284" s="19" t="str">
        <f>IF(GameLog[[#This Row],[Date]]=MAX(GameLog[Date]),"Current","Previous")</f>
        <v>Current</v>
      </c>
    </row>
    <row r="2285" spans="1:11" x14ac:dyDescent="0.45">
      <c r="A2285" t="s">
        <v>433</v>
      </c>
      <c r="B2285" t="s">
        <v>6</v>
      </c>
      <c r="C2285">
        <v>4</v>
      </c>
      <c r="D2285">
        <v>6</v>
      </c>
      <c r="E2285">
        <v>2</v>
      </c>
      <c r="F2285" s="1">
        <v>46300</v>
      </c>
      <c r="G2285" s="11" t="str">
        <f>_xlfn.TEXTJOIN("|",TRUE,D2285,TEXT(INT(E2285),"yyyymmdd"),F2285)</f>
        <v>6|19000102|46300</v>
      </c>
      <c r="H2285" s="19">
        <f>COUNTIF(GameLog[Pod ID],GameLog[[#This Row],[Pod ID]])</f>
        <v>4</v>
      </c>
      <c r="I2285" s="19">
        <f>YEAR(GameLog[[#This Row],[Date]])</f>
        <v>2026</v>
      </c>
      <c r="J2285" s="19">
        <f>MONTH(GameLog[[#This Row],[Date]])</f>
        <v>10</v>
      </c>
      <c r="K2285"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52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87</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87</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87</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87</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87</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87</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87</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87</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87</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87</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87</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87</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87</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87</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87</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87</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87</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87</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87</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87</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87</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87</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87</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87</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87</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87</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87</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87</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87</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87</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87</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87</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87</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87</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87</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87</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87</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87</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87</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87</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87</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87</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87</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87</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87</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87</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87</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87</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87</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87</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87</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87</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87</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87</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87</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87</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87</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87</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87</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87</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87</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87</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87</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87</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87</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87</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87</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87</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87</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87</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87</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87</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87</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87</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87</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87</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87</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87</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87</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87</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87</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87</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87</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87</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87</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87</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87</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87</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87</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87</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87</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87</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87</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87</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87</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87</v>
      </c>
      <c r="L6067" s="19" t="s">
        <v>7</v>
      </c>
      <c r="M6067" s="19" t="s">
        <v>8</v>
      </c>
      <c r="N6067" t="b">
        <v>0</v>
      </c>
      <c r="O6067">
        <v>0</v>
      </c>
      <c r="P6067">
        <v>1</v>
      </c>
      <c r="Q6067">
        <v>0</v>
      </c>
      <c r="R6067">
        <v>1</v>
      </c>
    </row>
    <row r="6068" spans="1:18" x14ac:dyDescent="0.45">
      <c r="A6068" s="19" t="s">
        <v>13</v>
      </c>
      <c r="B6068" s="19" t="s">
        <v>6</v>
      </c>
      <c r="C6068">
        <v>1</v>
      </c>
      <c r="D6068">
        <v>1</v>
      </c>
      <c r="E6068">
        <v>1</v>
      </c>
      <c r="F6068" s="15">
        <v>46279</v>
      </c>
      <c r="G6068" s="19" t="s">
        <v>724</v>
      </c>
      <c r="H6068">
        <v>4</v>
      </c>
      <c r="I6068">
        <v>2026</v>
      </c>
      <c r="J6068">
        <v>9</v>
      </c>
      <c r="K6068" s="19" t="s">
        <v>87</v>
      </c>
      <c r="L6068" s="19" t="s">
        <v>578</v>
      </c>
      <c r="M6068" s="19" t="s">
        <v>8</v>
      </c>
      <c r="N6068" t="b">
        <v>0</v>
      </c>
      <c r="O6068">
        <v>0</v>
      </c>
      <c r="P6068">
        <v>1</v>
      </c>
      <c r="Q6068">
        <v>0</v>
      </c>
      <c r="R6068">
        <v>1</v>
      </c>
    </row>
    <row r="6069" spans="1:18" x14ac:dyDescent="0.45">
      <c r="A6069" s="19" t="s">
        <v>13</v>
      </c>
      <c r="B6069" s="19" t="s">
        <v>6</v>
      </c>
      <c r="C6069">
        <v>1</v>
      </c>
      <c r="D6069">
        <v>1</v>
      </c>
      <c r="E6069">
        <v>1</v>
      </c>
      <c r="F6069" s="15">
        <v>46279</v>
      </c>
      <c r="G6069" s="19" t="s">
        <v>724</v>
      </c>
      <c r="H6069">
        <v>4</v>
      </c>
      <c r="I6069">
        <v>2026</v>
      </c>
      <c r="J6069">
        <v>9</v>
      </c>
      <c r="K6069" s="19" t="s">
        <v>87</v>
      </c>
      <c r="L6069" s="19" t="s">
        <v>19</v>
      </c>
      <c r="M6069" s="19" t="s">
        <v>6</v>
      </c>
      <c r="N6069" t="b">
        <v>0</v>
      </c>
      <c r="O6069">
        <v>0</v>
      </c>
      <c r="P6069">
        <v>1</v>
      </c>
      <c r="Q6069">
        <v>0</v>
      </c>
      <c r="R6069">
        <v>0</v>
      </c>
    </row>
    <row r="6070" spans="1:18" x14ac:dyDescent="0.45">
      <c r="A6070" s="19" t="s">
        <v>13</v>
      </c>
      <c r="B6070" s="19" t="s">
        <v>6</v>
      </c>
      <c r="C6070">
        <v>1</v>
      </c>
      <c r="D6070">
        <v>1</v>
      </c>
      <c r="E6070">
        <v>1</v>
      </c>
      <c r="F6070" s="15">
        <v>46279</v>
      </c>
      <c r="G6070" s="19" t="s">
        <v>724</v>
      </c>
      <c r="H6070">
        <v>4</v>
      </c>
      <c r="I6070">
        <v>2026</v>
      </c>
      <c r="J6070">
        <v>9</v>
      </c>
      <c r="K6070" s="19" t="s">
        <v>87</v>
      </c>
      <c r="L6070" s="19" t="s">
        <v>609</v>
      </c>
      <c r="M6070" s="19" t="s">
        <v>6</v>
      </c>
      <c r="N6070" t="b">
        <v>0</v>
      </c>
      <c r="O6070">
        <v>0</v>
      </c>
      <c r="P6070">
        <v>1</v>
      </c>
      <c r="Q6070">
        <v>0</v>
      </c>
      <c r="R6070">
        <v>0</v>
      </c>
    </row>
    <row r="6071" spans="1:18" x14ac:dyDescent="0.45">
      <c r="A6071" s="19" t="s">
        <v>578</v>
      </c>
      <c r="B6071" s="19" t="s">
        <v>8</v>
      </c>
      <c r="C6071">
        <v>2</v>
      </c>
      <c r="D6071">
        <v>1</v>
      </c>
      <c r="E6071">
        <v>1</v>
      </c>
      <c r="F6071" s="15">
        <v>46279</v>
      </c>
      <c r="G6071" s="19" t="s">
        <v>724</v>
      </c>
      <c r="H6071">
        <v>4</v>
      </c>
      <c r="I6071">
        <v>2026</v>
      </c>
      <c r="J6071">
        <v>9</v>
      </c>
      <c r="K6071" s="19" t="s">
        <v>87</v>
      </c>
      <c r="L6071" s="19" t="s">
        <v>13</v>
      </c>
      <c r="M6071" s="19" t="s">
        <v>6</v>
      </c>
      <c r="N6071" t="b">
        <v>0</v>
      </c>
      <c r="O6071">
        <v>1</v>
      </c>
      <c r="P6071">
        <v>0</v>
      </c>
      <c r="Q6071">
        <v>0</v>
      </c>
      <c r="R6071">
        <v>0</v>
      </c>
    </row>
    <row r="6072" spans="1:18" x14ac:dyDescent="0.45">
      <c r="A6072" s="19" t="s">
        <v>578</v>
      </c>
      <c r="B6072" s="19" t="s">
        <v>8</v>
      </c>
      <c r="C6072">
        <v>2</v>
      </c>
      <c r="D6072">
        <v>1</v>
      </c>
      <c r="E6072">
        <v>1</v>
      </c>
      <c r="F6072" s="15">
        <v>46279</v>
      </c>
      <c r="G6072" s="19" t="s">
        <v>724</v>
      </c>
      <c r="H6072">
        <v>4</v>
      </c>
      <c r="I6072">
        <v>2026</v>
      </c>
      <c r="J6072">
        <v>9</v>
      </c>
      <c r="K6072" s="19" t="s">
        <v>87</v>
      </c>
      <c r="L6072" s="19" t="s">
        <v>19</v>
      </c>
      <c r="M6072" s="19" t="s">
        <v>6</v>
      </c>
      <c r="N6072" t="b">
        <v>0</v>
      </c>
      <c r="O6072">
        <v>1</v>
      </c>
      <c r="P6072">
        <v>0</v>
      </c>
      <c r="Q6072">
        <v>0</v>
      </c>
      <c r="R6072">
        <v>0</v>
      </c>
    </row>
    <row r="6073" spans="1:18" x14ac:dyDescent="0.45">
      <c r="A6073" s="19" t="s">
        <v>578</v>
      </c>
      <c r="B6073" s="19" t="s">
        <v>8</v>
      </c>
      <c r="C6073">
        <v>2</v>
      </c>
      <c r="D6073">
        <v>1</v>
      </c>
      <c r="E6073">
        <v>1</v>
      </c>
      <c r="F6073" s="15">
        <v>46279</v>
      </c>
      <c r="G6073" s="19" t="s">
        <v>724</v>
      </c>
      <c r="H6073">
        <v>4</v>
      </c>
      <c r="I6073">
        <v>2026</v>
      </c>
      <c r="J6073">
        <v>9</v>
      </c>
      <c r="K6073" s="19" t="s">
        <v>87</v>
      </c>
      <c r="L6073" s="19" t="s">
        <v>609</v>
      </c>
      <c r="M6073" s="19" t="s">
        <v>6</v>
      </c>
      <c r="N6073" t="b">
        <v>0</v>
      </c>
      <c r="O6073">
        <v>1</v>
      </c>
      <c r="P6073">
        <v>0</v>
      </c>
      <c r="Q6073">
        <v>0</v>
      </c>
      <c r="R6073">
        <v>0</v>
      </c>
    </row>
    <row r="6074" spans="1:18" x14ac:dyDescent="0.45">
      <c r="A6074" s="19" t="s">
        <v>19</v>
      </c>
      <c r="B6074" s="19" t="s">
        <v>6</v>
      </c>
      <c r="C6074">
        <v>3</v>
      </c>
      <c r="D6074">
        <v>1</v>
      </c>
      <c r="E6074">
        <v>1</v>
      </c>
      <c r="F6074" s="15">
        <v>46279</v>
      </c>
      <c r="G6074" s="19" t="s">
        <v>724</v>
      </c>
      <c r="H6074">
        <v>4</v>
      </c>
      <c r="I6074">
        <v>2026</v>
      </c>
      <c r="J6074">
        <v>9</v>
      </c>
      <c r="K6074" s="19" t="s">
        <v>87</v>
      </c>
      <c r="L6074" s="19" t="s">
        <v>13</v>
      </c>
      <c r="M6074" s="19" t="s">
        <v>6</v>
      </c>
      <c r="N6074" t="b">
        <v>0</v>
      </c>
      <c r="O6074">
        <v>0</v>
      </c>
      <c r="P6074">
        <v>1</v>
      </c>
      <c r="Q6074">
        <v>0</v>
      </c>
      <c r="R6074">
        <v>0</v>
      </c>
    </row>
    <row r="6075" spans="1:18" x14ac:dyDescent="0.45">
      <c r="A6075" s="19" t="s">
        <v>19</v>
      </c>
      <c r="B6075" s="19" t="s">
        <v>6</v>
      </c>
      <c r="C6075">
        <v>3</v>
      </c>
      <c r="D6075">
        <v>1</v>
      </c>
      <c r="E6075">
        <v>1</v>
      </c>
      <c r="F6075" s="15">
        <v>46279</v>
      </c>
      <c r="G6075" s="19" t="s">
        <v>724</v>
      </c>
      <c r="H6075">
        <v>4</v>
      </c>
      <c r="I6075">
        <v>2026</v>
      </c>
      <c r="J6075">
        <v>9</v>
      </c>
      <c r="K6075" s="19" t="s">
        <v>87</v>
      </c>
      <c r="L6075" s="19" t="s">
        <v>578</v>
      </c>
      <c r="M6075" s="19" t="s">
        <v>8</v>
      </c>
      <c r="N6075" t="b">
        <v>0</v>
      </c>
      <c r="O6075">
        <v>0</v>
      </c>
      <c r="P6075">
        <v>1</v>
      </c>
      <c r="Q6075">
        <v>0</v>
      </c>
      <c r="R6075">
        <v>1</v>
      </c>
    </row>
    <row r="6076" spans="1:18" x14ac:dyDescent="0.45">
      <c r="A6076" s="19" t="s">
        <v>19</v>
      </c>
      <c r="B6076" s="19" t="s">
        <v>6</v>
      </c>
      <c r="C6076">
        <v>3</v>
      </c>
      <c r="D6076">
        <v>1</v>
      </c>
      <c r="E6076">
        <v>1</v>
      </c>
      <c r="F6076" s="15">
        <v>46279</v>
      </c>
      <c r="G6076" s="19" t="s">
        <v>724</v>
      </c>
      <c r="H6076">
        <v>4</v>
      </c>
      <c r="I6076">
        <v>2026</v>
      </c>
      <c r="J6076">
        <v>9</v>
      </c>
      <c r="K6076" s="19" t="s">
        <v>87</v>
      </c>
      <c r="L6076" s="19" t="s">
        <v>609</v>
      </c>
      <c r="M6076" s="19" t="s">
        <v>6</v>
      </c>
      <c r="N6076" t="b">
        <v>0</v>
      </c>
      <c r="O6076">
        <v>0</v>
      </c>
      <c r="P6076">
        <v>1</v>
      </c>
      <c r="Q6076">
        <v>0</v>
      </c>
      <c r="R6076">
        <v>0</v>
      </c>
    </row>
    <row r="6077" spans="1:18" x14ac:dyDescent="0.45">
      <c r="A6077" s="19" t="s">
        <v>609</v>
      </c>
      <c r="B6077" s="19" t="s">
        <v>6</v>
      </c>
      <c r="C6077">
        <v>4</v>
      </c>
      <c r="D6077">
        <v>1</v>
      </c>
      <c r="E6077">
        <v>1</v>
      </c>
      <c r="F6077" s="15">
        <v>46279</v>
      </c>
      <c r="G6077" s="19" t="s">
        <v>724</v>
      </c>
      <c r="H6077">
        <v>4</v>
      </c>
      <c r="I6077">
        <v>2026</v>
      </c>
      <c r="J6077">
        <v>9</v>
      </c>
      <c r="K6077" s="19" t="s">
        <v>87</v>
      </c>
      <c r="L6077" s="19" t="s">
        <v>13</v>
      </c>
      <c r="M6077" s="19" t="s">
        <v>6</v>
      </c>
      <c r="N6077" t="b">
        <v>0</v>
      </c>
      <c r="O6077">
        <v>0</v>
      </c>
      <c r="P6077">
        <v>1</v>
      </c>
      <c r="Q6077">
        <v>0</v>
      </c>
      <c r="R6077">
        <v>0</v>
      </c>
    </row>
    <row r="6078" spans="1:18" x14ac:dyDescent="0.45">
      <c r="A6078" s="19" t="s">
        <v>609</v>
      </c>
      <c r="B6078" s="19" t="s">
        <v>6</v>
      </c>
      <c r="C6078">
        <v>4</v>
      </c>
      <c r="D6078">
        <v>1</v>
      </c>
      <c r="E6078">
        <v>1</v>
      </c>
      <c r="F6078" s="15">
        <v>46279</v>
      </c>
      <c r="G6078" s="19" t="s">
        <v>724</v>
      </c>
      <c r="H6078">
        <v>4</v>
      </c>
      <c r="I6078">
        <v>2026</v>
      </c>
      <c r="J6078">
        <v>9</v>
      </c>
      <c r="K6078" s="19" t="s">
        <v>87</v>
      </c>
      <c r="L6078" s="19" t="s">
        <v>578</v>
      </c>
      <c r="M6078" s="19" t="s">
        <v>8</v>
      </c>
      <c r="N6078" t="b">
        <v>0</v>
      </c>
      <c r="O6078">
        <v>0</v>
      </c>
      <c r="P6078">
        <v>1</v>
      </c>
      <c r="Q6078">
        <v>0</v>
      </c>
      <c r="R6078">
        <v>1</v>
      </c>
    </row>
    <row r="6079" spans="1:18" x14ac:dyDescent="0.45">
      <c r="A6079" s="19" t="s">
        <v>609</v>
      </c>
      <c r="B6079" s="19" t="s">
        <v>6</v>
      </c>
      <c r="C6079">
        <v>4</v>
      </c>
      <c r="D6079">
        <v>1</v>
      </c>
      <c r="E6079">
        <v>1</v>
      </c>
      <c r="F6079" s="15">
        <v>46279</v>
      </c>
      <c r="G6079" s="19" t="s">
        <v>724</v>
      </c>
      <c r="H6079">
        <v>4</v>
      </c>
      <c r="I6079">
        <v>2026</v>
      </c>
      <c r="J6079">
        <v>9</v>
      </c>
      <c r="K6079" s="19" t="s">
        <v>87</v>
      </c>
      <c r="L6079" s="19" t="s">
        <v>19</v>
      </c>
      <c r="M6079" s="19" t="s">
        <v>6</v>
      </c>
      <c r="N6079" t="b">
        <v>0</v>
      </c>
      <c r="O6079">
        <v>0</v>
      </c>
      <c r="P6079">
        <v>1</v>
      </c>
      <c r="Q6079">
        <v>0</v>
      </c>
      <c r="R6079">
        <v>0</v>
      </c>
    </row>
    <row r="6080" spans="1:18" x14ac:dyDescent="0.45">
      <c r="A6080" s="19" t="s">
        <v>28</v>
      </c>
      <c r="B6080" s="19" t="s">
        <v>63</v>
      </c>
      <c r="C6080">
        <v>1</v>
      </c>
      <c r="D6080">
        <v>2</v>
      </c>
      <c r="E6080">
        <v>1</v>
      </c>
      <c r="F6080" s="15">
        <v>46279</v>
      </c>
      <c r="G6080" s="19" t="s">
        <v>725</v>
      </c>
      <c r="H6080">
        <v>4</v>
      </c>
      <c r="I6080">
        <v>2026</v>
      </c>
      <c r="J6080">
        <v>9</v>
      </c>
      <c r="K6080" s="19" t="s">
        <v>87</v>
      </c>
      <c r="L6080" s="19" t="s">
        <v>17</v>
      </c>
      <c r="M6080" s="19" t="s">
        <v>63</v>
      </c>
      <c r="N6080" t="b">
        <v>0</v>
      </c>
      <c r="O6080">
        <v>0</v>
      </c>
      <c r="P6080">
        <v>0</v>
      </c>
      <c r="Q6080">
        <v>1</v>
      </c>
      <c r="R6080">
        <v>0</v>
      </c>
    </row>
    <row r="6081" spans="1:18" x14ac:dyDescent="0.45">
      <c r="A6081" s="19" t="s">
        <v>28</v>
      </c>
      <c r="B6081" s="19" t="s">
        <v>63</v>
      </c>
      <c r="C6081">
        <v>1</v>
      </c>
      <c r="D6081">
        <v>2</v>
      </c>
      <c r="E6081">
        <v>1</v>
      </c>
      <c r="F6081" s="15">
        <v>46279</v>
      </c>
      <c r="G6081" s="19" t="s">
        <v>725</v>
      </c>
      <c r="H6081">
        <v>4</v>
      </c>
      <c r="I6081">
        <v>2026</v>
      </c>
      <c r="J6081">
        <v>9</v>
      </c>
      <c r="K6081" s="19" t="s">
        <v>87</v>
      </c>
      <c r="L6081" s="19" t="s">
        <v>325</v>
      </c>
      <c r="M6081" s="19" t="s">
        <v>63</v>
      </c>
      <c r="N6081" t="b">
        <v>0</v>
      </c>
      <c r="O6081">
        <v>0</v>
      </c>
      <c r="P6081">
        <v>0</v>
      </c>
      <c r="Q6081">
        <v>1</v>
      </c>
      <c r="R6081">
        <v>0</v>
      </c>
    </row>
    <row r="6082" spans="1:18" x14ac:dyDescent="0.45">
      <c r="A6082" s="19" t="s">
        <v>28</v>
      </c>
      <c r="B6082" s="19" t="s">
        <v>63</v>
      </c>
      <c r="C6082">
        <v>1</v>
      </c>
      <c r="D6082">
        <v>2</v>
      </c>
      <c r="E6082">
        <v>1</v>
      </c>
      <c r="F6082" s="15">
        <v>46279</v>
      </c>
      <c r="G6082" s="19" t="s">
        <v>725</v>
      </c>
      <c r="H6082">
        <v>4</v>
      </c>
      <c r="I6082">
        <v>2026</v>
      </c>
      <c r="J6082">
        <v>9</v>
      </c>
      <c r="K6082" s="19" t="s">
        <v>87</v>
      </c>
      <c r="L6082" s="19" t="s">
        <v>9</v>
      </c>
      <c r="M6082" s="19" t="s">
        <v>63</v>
      </c>
      <c r="N6082" t="b">
        <v>0</v>
      </c>
      <c r="O6082">
        <v>0</v>
      </c>
      <c r="P6082">
        <v>0</v>
      </c>
      <c r="Q6082">
        <v>1</v>
      </c>
      <c r="R6082">
        <v>0</v>
      </c>
    </row>
    <row r="6083" spans="1:18" x14ac:dyDescent="0.45">
      <c r="A6083" s="19" t="s">
        <v>17</v>
      </c>
      <c r="B6083" s="19" t="s">
        <v>63</v>
      </c>
      <c r="C6083">
        <v>2</v>
      </c>
      <c r="D6083">
        <v>2</v>
      </c>
      <c r="E6083">
        <v>1</v>
      </c>
      <c r="F6083" s="15">
        <v>46279</v>
      </c>
      <c r="G6083" s="19" t="s">
        <v>725</v>
      </c>
      <c r="H6083">
        <v>4</v>
      </c>
      <c r="I6083">
        <v>2026</v>
      </c>
      <c r="J6083">
        <v>9</v>
      </c>
      <c r="K6083" s="19" t="s">
        <v>87</v>
      </c>
      <c r="L6083" s="19" t="s">
        <v>28</v>
      </c>
      <c r="M6083" s="19" t="s">
        <v>63</v>
      </c>
      <c r="N6083" t="b">
        <v>0</v>
      </c>
      <c r="O6083">
        <v>0</v>
      </c>
      <c r="P6083">
        <v>0</v>
      </c>
      <c r="Q6083">
        <v>1</v>
      </c>
      <c r="R6083">
        <v>0</v>
      </c>
    </row>
    <row r="6084" spans="1:18" x14ac:dyDescent="0.45">
      <c r="A6084" s="19" t="s">
        <v>17</v>
      </c>
      <c r="B6084" s="19" t="s">
        <v>63</v>
      </c>
      <c r="C6084">
        <v>2</v>
      </c>
      <c r="D6084">
        <v>2</v>
      </c>
      <c r="E6084">
        <v>1</v>
      </c>
      <c r="F6084" s="15">
        <v>46279</v>
      </c>
      <c r="G6084" s="19" t="s">
        <v>725</v>
      </c>
      <c r="H6084">
        <v>4</v>
      </c>
      <c r="I6084">
        <v>2026</v>
      </c>
      <c r="J6084">
        <v>9</v>
      </c>
      <c r="K6084" s="19" t="s">
        <v>87</v>
      </c>
      <c r="L6084" s="19" t="s">
        <v>325</v>
      </c>
      <c r="M6084" s="19" t="s">
        <v>63</v>
      </c>
      <c r="N6084" t="b">
        <v>0</v>
      </c>
      <c r="O6084">
        <v>0</v>
      </c>
      <c r="P6084">
        <v>0</v>
      </c>
      <c r="Q6084">
        <v>1</v>
      </c>
      <c r="R6084">
        <v>0</v>
      </c>
    </row>
    <row r="6085" spans="1:18" x14ac:dyDescent="0.45">
      <c r="A6085" s="19" t="s">
        <v>17</v>
      </c>
      <c r="B6085" s="19" t="s">
        <v>63</v>
      </c>
      <c r="C6085">
        <v>2</v>
      </c>
      <c r="D6085">
        <v>2</v>
      </c>
      <c r="E6085">
        <v>1</v>
      </c>
      <c r="F6085" s="15">
        <v>46279</v>
      </c>
      <c r="G6085" s="19" t="s">
        <v>725</v>
      </c>
      <c r="H6085">
        <v>4</v>
      </c>
      <c r="I6085">
        <v>2026</v>
      </c>
      <c r="J6085">
        <v>9</v>
      </c>
      <c r="K6085" s="19" t="s">
        <v>87</v>
      </c>
      <c r="L6085" s="19" t="s">
        <v>9</v>
      </c>
      <c r="M6085" s="19" t="s">
        <v>63</v>
      </c>
      <c r="N6085" t="b">
        <v>0</v>
      </c>
      <c r="O6085">
        <v>0</v>
      </c>
      <c r="P6085">
        <v>0</v>
      </c>
      <c r="Q6085">
        <v>1</v>
      </c>
      <c r="R6085">
        <v>0</v>
      </c>
    </row>
    <row r="6086" spans="1:18" x14ac:dyDescent="0.45">
      <c r="A6086" s="19" t="s">
        <v>325</v>
      </c>
      <c r="B6086" s="19" t="s">
        <v>63</v>
      </c>
      <c r="C6086">
        <v>3</v>
      </c>
      <c r="D6086">
        <v>2</v>
      </c>
      <c r="E6086">
        <v>1</v>
      </c>
      <c r="F6086" s="15">
        <v>46279</v>
      </c>
      <c r="G6086" s="19" t="s">
        <v>725</v>
      </c>
      <c r="H6086">
        <v>4</v>
      </c>
      <c r="I6086">
        <v>2026</v>
      </c>
      <c r="J6086">
        <v>9</v>
      </c>
      <c r="K6086" s="19" t="s">
        <v>87</v>
      </c>
      <c r="L6086" s="19" t="s">
        <v>28</v>
      </c>
      <c r="M6086" s="19" t="s">
        <v>63</v>
      </c>
      <c r="N6086" t="b">
        <v>0</v>
      </c>
      <c r="O6086">
        <v>0</v>
      </c>
      <c r="P6086">
        <v>0</v>
      </c>
      <c r="Q6086">
        <v>1</v>
      </c>
      <c r="R6086">
        <v>0</v>
      </c>
    </row>
    <row r="6087" spans="1:18" x14ac:dyDescent="0.45">
      <c r="A6087" s="19" t="s">
        <v>325</v>
      </c>
      <c r="B6087" s="19" t="s">
        <v>63</v>
      </c>
      <c r="C6087">
        <v>3</v>
      </c>
      <c r="D6087">
        <v>2</v>
      </c>
      <c r="E6087">
        <v>1</v>
      </c>
      <c r="F6087" s="15">
        <v>46279</v>
      </c>
      <c r="G6087" s="19" t="s">
        <v>725</v>
      </c>
      <c r="H6087">
        <v>4</v>
      </c>
      <c r="I6087">
        <v>2026</v>
      </c>
      <c r="J6087">
        <v>9</v>
      </c>
      <c r="K6087" s="19" t="s">
        <v>87</v>
      </c>
      <c r="L6087" s="19" t="s">
        <v>17</v>
      </c>
      <c r="M6087" s="19" t="s">
        <v>63</v>
      </c>
      <c r="N6087" t="b">
        <v>0</v>
      </c>
      <c r="O6087">
        <v>0</v>
      </c>
      <c r="P6087">
        <v>0</v>
      </c>
      <c r="Q6087">
        <v>1</v>
      </c>
      <c r="R6087">
        <v>0</v>
      </c>
    </row>
    <row r="6088" spans="1:18" x14ac:dyDescent="0.45">
      <c r="A6088" s="19" t="s">
        <v>325</v>
      </c>
      <c r="B6088" s="19" t="s">
        <v>63</v>
      </c>
      <c r="C6088">
        <v>3</v>
      </c>
      <c r="D6088">
        <v>2</v>
      </c>
      <c r="E6088">
        <v>1</v>
      </c>
      <c r="F6088" s="15">
        <v>46279</v>
      </c>
      <c r="G6088" s="19" t="s">
        <v>725</v>
      </c>
      <c r="H6088">
        <v>4</v>
      </c>
      <c r="I6088">
        <v>2026</v>
      </c>
      <c r="J6088">
        <v>9</v>
      </c>
      <c r="K6088" s="19" t="s">
        <v>87</v>
      </c>
      <c r="L6088" s="19" t="s">
        <v>9</v>
      </c>
      <c r="M6088" s="19" t="s">
        <v>63</v>
      </c>
      <c r="N6088" t="b">
        <v>0</v>
      </c>
      <c r="O6088">
        <v>0</v>
      </c>
      <c r="P6088">
        <v>0</v>
      </c>
      <c r="Q6088">
        <v>1</v>
      </c>
      <c r="R6088">
        <v>0</v>
      </c>
    </row>
    <row r="6089" spans="1:18" x14ac:dyDescent="0.45">
      <c r="A6089" s="19" t="s">
        <v>9</v>
      </c>
      <c r="B6089" s="19" t="s">
        <v>63</v>
      </c>
      <c r="C6089">
        <v>4</v>
      </c>
      <c r="D6089">
        <v>2</v>
      </c>
      <c r="E6089">
        <v>1</v>
      </c>
      <c r="F6089" s="15">
        <v>46279</v>
      </c>
      <c r="G6089" s="19" t="s">
        <v>725</v>
      </c>
      <c r="H6089">
        <v>4</v>
      </c>
      <c r="I6089">
        <v>2026</v>
      </c>
      <c r="J6089">
        <v>9</v>
      </c>
      <c r="K6089" s="19" t="s">
        <v>87</v>
      </c>
      <c r="L6089" s="19" t="s">
        <v>28</v>
      </c>
      <c r="M6089" s="19" t="s">
        <v>63</v>
      </c>
      <c r="N6089" t="b">
        <v>0</v>
      </c>
      <c r="O6089">
        <v>0</v>
      </c>
      <c r="P6089">
        <v>0</v>
      </c>
      <c r="Q6089">
        <v>1</v>
      </c>
      <c r="R6089">
        <v>0</v>
      </c>
    </row>
    <row r="6090" spans="1:18" x14ac:dyDescent="0.45">
      <c r="A6090" s="19" t="s">
        <v>9</v>
      </c>
      <c r="B6090" s="19" t="s">
        <v>63</v>
      </c>
      <c r="C6090">
        <v>4</v>
      </c>
      <c r="D6090">
        <v>2</v>
      </c>
      <c r="E6090">
        <v>1</v>
      </c>
      <c r="F6090" s="15">
        <v>46279</v>
      </c>
      <c r="G6090" s="19" t="s">
        <v>725</v>
      </c>
      <c r="H6090">
        <v>4</v>
      </c>
      <c r="I6090">
        <v>2026</v>
      </c>
      <c r="J6090">
        <v>9</v>
      </c>
      <c r="K6090" s="19" t="s">
        <v>87</v>
      </c>
      <c r="L6090" s="19" t="s">
        <v>17</v>
      </c>
      <c r="M6090" s="19" t="s">
        <v>63</v>
      </c>
      <c r="N6090" t="b">
        <v>0</v>
      </c>
      <c r="O6090">
        <v>0</v>
      </c>
      <c r="P6090">
        <v>0</v>
      </c>
      <c r="Q6090">
        <v>1</v>
      </c>
      <c r="R6090">
        <v>0</v>
      </c>
    </row>
    <row r="6091" spans="1:18" x14ac:dyDescent="0.45">
      <c r="A6091" s="19" t="s">
        <v>9</v>
      </c>
      <c r="B6091" s="19" t="s">
        <v>63</v>
      </c>
      <c r="C6091">
        <v>4</v>
      </c>
      <c r="D6091">
        <v>2</v>
      </c>
      <c r="E6091">
        <v>1</v>
      </c>
      <c r="F6091" s="15">
        <v>46279</v>
      </c>
      <c r="G6091" s="19" t="s">
        <v>725</v>
      </c>
      <c r="H6091">
        <v>4</v>
      </c>
      <c r="I6091">
        <v>2026</v>
      </c>
      <c r="J6091">
        <v>9</v>
      </c>
      <c r="K6091" s="19" t="s">
        <v>87</v>
      </c>
      <c r="L6091" s="19" t="s">
        <v>325</v>
      </c>
      <c r="M6091" s="19" t="s">
        <v>63</v>
      </c>
      <c r="N6091" t="b">
        <v>0</v>
      </c>
      <c r="O6091">
        <v>0</v>
      </c>
      <c r="P6091">
        <v>0</v>
      </c>
      <c r="Q6091">
        <v>1</v>
      </c>
      <c r="R6091">
        <v>0</v>
      </c>
    </row>
    <row r="6092" spans="1:18" x14ac:dyDescent="0.45">
      <c r="A6092" s="19" t="s">
        <v>10</v>
      </c>
      <c r="B6092" s="19" t="s">
        <v>63</v>
      </c>
      <c r="C6092">
        <v>1</v>
      </c>
      <c r="D6092">
        <v>3</v>
      </c>
      <c r="E6092">
        <v>1</v>
      </c>
      <c r="F6092" s="15">
        <v>46279</v>
      </c>
      <c r="G6092" s="19" t="s">
        <v>726</v>
      </c>
      <c r="H6092">
        <v>4</v>
      </c>
      <c r="I6092">
        <v>2026</v>
      </c>
      <c r="J6092">
        <v>9</v>
      </c>
      <c r="K6092" s="19" t="s">
        <v>87</v>
      </c>
      <c r="L6092" s="19" t="s">
        <v>7</v>
      </c>
      <c r="M6092" s="19" t="s">
        <v>63</v>
      </c>
      <c r="N6092" t="b">
        <v>0</v>
      </c>
      <c r="O6092">
        <v>0</v>
      </c>
      <c r="P6092">
        <v>0</v>
      </c>
      <c r="Q6092">
        <v>1</v>
      </c>
      <c r="R6092">
        <v>0</v>
      </c>
    </row>
    <row r="6093" spans="1:18" x14ac:dyDescent="0.45">
      <c r="A6093" s="19" t="s">
        <v>10</v>
      </c>
      <c r="B6093" s="19" t="s">
        <v>63</v>
      </c>
      <c r="C6093">
        <v>1</v>
      </c>
      <c r="D6093">
        <v>3</v>
      </c>
      <c r="E6093">
        <v>1</v>
      </c>
      <c r="F6093" s="15">
        <v>46279</v>
      </c>
      <c r="G6093" s="19" t="s">
        <v>726</v>
      </c>
      <c r="H6093">
        <v>4</v>
      </c>
      <c r="I6093">
        <v>2026</v>
      </c>
      <c r="J6093">
        <v>9</v>
      </c>
      <c r="K6093" s="19" t="s">
        <v>87</v>
      </c>
      <c r="L6093" s="19" t="s">
        <v>519</v>
      </c>
      <c r="M6093" s="19" t="s">
        <v>63</v>
      </c>
      <c r="N6093" t="b">
        <v>0</v>
      </c>
      <c r="O6093">
        <v>0</v>
      </c>
      <c r="P6093">
        <v>0</v>
      </c>
      <c r="Q6093">
        <v>1</v>
      </c>
      <c r="R6093">
        <v>0</v>
      </c>
    </row>
    <row r="6094" spans="1:18" x14ac:dyDescent="0.45">
      <c r="A6094" s="19" t="s">
        <v>10</v>
      </c>
      <c r="B6094" s="19" t="s">
        <v>63</v>
      </c>
      <c r="C6094">
        <v>1</v>
      </c>
      <c r="D6094">
        <v>3</v>
      </c>
      <c r="E6094">
        <v>1</v>
      </c>
      <c r="F6094" s="15">
        <v>46279</v>
      </c>
      <c r="G6094" s="19" t="s">
        <v>726</v>
      </c>
      <c r="H6094">
        <v>4</v>
      </c>
      <c r="I6094">
        <v>2026</v>
      </c>
      <c r="J6094">
        <v>9</v>
      </c>
      <c r="K6094" s="19" t="s">
        <v>87</v>
      </c>
      <c r="L6094" s="19" t="s">
        <v>351</v>
      </c>
      <c r="M6094" s="19" t="s">
        <v>63</v>
      </c>
      <c r="N6094" t="b">
        <v>0</v>
      </c>
      <c r="O6094">
        <v>0</v>
      </c>
      <c r="P6094">
        <v>0</v>
      </c>
      <c r="Q6094">
        <v>1</v>
      </c>
      <c r="R6094">
        <v>0</v>
      </c>
    </row>
    <row r="6095" spans="1:18" x14ac:dyDescent="0.45">
      <c r="A6095" s="19" t="s">
        <v>7</v>
      </c>
      <c r="B6095" s="19" t="s">
        <v>63</v>
      </c>
      <c r="C6095">
        <v>2</v>
      </c>
      <c r="D6095">
        <v>3</v>
      </c>
      <c r="E6095">
        <v>1</v>
      </c>
      <c r="F6095" s="15">
        <v>46279</v>
      </c>
      <c r="G6095" s="19" t="s">
        <v>726</v>
      </c>
      <c r="H6095">
        <v>4</v>
      </c>
      <c r="I6095">
        <v>2026</v>
      </c>
      <c r="J6095">
        <v>9</v>
      </c>
      <c r="K6095" s="19" t="s">
        <v>87</v>
      </c>
      <c r="L6095" s="19" t="s">
        <v>10</v>
      </c>
      <c r="M6095" s="19" t="s">
        <v>63</v>
      </c>
      <c r="N6095" t="b">
        <v>0</v>
      </c>
      <c r="O6095">
        <v>0</v>
      </c>
      <c r="P6095">
        <v>0</v>
      </c>
      <c r="Q6095">
        <v>1</v>
      </c>
      <c r="R6095">
        <v>0</v>
      </c>
    </row>
    <row r="6096" spans="1:18" x14ac:dyDescent="0.45">
      <c r="A6096" s="19" t="s">
        <v>7</v>
      </c>
      <c r="B6096" s="19" t="s">
        <v>63</v>
      </c>
      <c r="C6096">
        <v>2</v>
      </c>
      <c r="D6096">
        <v>3</v>
      </c>
      <c r="E6096">
        <v>1</v>
      </c>
      <c r="F6096" s="15">
        <v>46279</v>
      </c>
      <c r="G6096" s="19" t="s">
        <v>726</v>
      </c>
      <c r="H6096">
        <v>4</v>
      </c>
      <c r="I6096">
        <v>2026</v>
      </c>
      <c r="J6096">
        <v>9</v>
      </c>
      <c r="K6096" s="19" t="s">
        <v>87</v>
      </c>
      <c r="L6096" s="19" t="s">
        <v>519</v>
      </c>
      <c r="M6096" s="19" t="s">
        <v>63</v>
      </c>
      <c r="N6096" t="b">
        <v>0</v>
      </c>
      <c r="O6096">
        <v>0</v>
      </c>
      <c r="P6096">
        <v>0</v>
      </c>
      <c r="Q6096">
        <v>1</v>
      </c>
      <c r="R6096">
        <v>0</v>
      </c>
    </row>
    <row r="6097" spans="1:18" x14ac:dyDescent="0.45">
      <c r="A6097" s="19" t="s">
        <v>7</v>
      </c>
      <c r="B6097" s="19" t="s">
        <v>63</v>
      </c>
      <c r="C6097">
        <v>2</v>
      </c>
      <c r="D6097">
        <v>3</v>
      </c>
      <c r="E6097">
        <v>1</v>
      </c>
      <c r="F6097" s="15">
        <v>46279</v>
      </c>
      <c r="G6097" s="19" t="s">
        <v>726</v>
      </c>
      <c r="H6097">
        <v>4</v>
      </c>
      <c r="I6097">
        <v>2026</v>
      </c>
      <c r="J6097">
        <v>9</v>
      </c>
      <c r="K6097" s="19" t="s">
        <v>87</v>
      </c>
      <c r="L6097" s="19" t="s">
        <v>351</v>
      </c>
      <c r="M6097" s="19" t="s">
        <v>63</v>
      </c>
      <c r="N6097" t="b">
        <v>0</v>
      </c>
      <c r="O6097">
        <v>0</v>
      </c>
      <c r="P6097">
        <v>0</v>
      </c>
      <c r="Q6097">
        <v>1</v>
      </c>
      <c r="R6097">
        <v>0</v>
      </c>
    </row>
    <row r="6098" spans="1:18" x14ac:dyDescent="0.45">
      <c r="A6098" s="19" t="s">
        <v>519</v>
      </c>
      <c r="B6098" s="19" t="s">
        <v>63</v>
      </c>
      <c r="C6098">
        <v>3</v>
      </c>
      <c r="D6098">
        <v>3</v>
      </c>
      <c r="E6098">
        <v>1</v>
      </c>
      <c r="F6098" s="15">
        <v>46279</v>
      </c>
      <c r="G6098" s="19" t="s">
        <v>726</v>
      </c>
      <c r="H6098">
        <v>4</v>
      </c>
      <c r="I6098">
        <v>2026</v>
      </c>
      <c r="J6098">
        <v>9</v>
      </c>
      <c r="K6098" s="19" t="s">
        <v>87</v>
      </c>
      <c r="L6098" s="19" t="s">
        <v>10</v>
      </c>
      <c r="M6098" s="19" t="s">
        <v>63</v>
      </c>
      <c r="N6098" t="b">
        <v>0</v>
      </c>
      <c r="O6098">
        <v>0</v>
      </c>
      <c r="P6098">
        <v>0</v>
      </c>
      <c r="Q6098">
        <v>1</v>
      </c>
      <c r="R6098">
        <v>0</v>
      </c>
    </row>
    <row r="6099" spans="1:18" x14ac:dyDescent="0.45">
      <c r="A6099" s="19" t="s">
        <v>519</v>
      </c>
      <c r="B6099" s="19" t="s">
        <v>63</v>
      </c>
      <c r="C6099">
        <v>3</v>
      </c>
      <c r="D6099">
        <v>3</v>
      </c>
      <c r="E6099">
        <v>1</v>
      </c>
      <c r="F6099" s="15">
        <v>46279</v>
      </c>
      <c r="G6099" s="19" t="s">
        <v>726</v>
      </c>
      <c r="H6099">
        <v>4</v>
      </c>
      <c r="I6099">
        <v>2026</v>
      </c>
      <c r="J6099">
        <v>9</v>
      </c>
      <c r="K6099" s="19" t="s">
        <v>87</v>
      </c>
      <c r="L6099" s="19" t="s">
        <v>7</v>
      </c>
      <c r="M6099" s="19" t="s">
        <v>63</v>
      </c>
      <c r="N6099" t="b">
        <v>0</v>
      </c>
      <c r="O6099">
        <v>0</v>
      </c>
      <c r="P6099">
        <v>0</v>
      </c>
      <c r="Q6099">
        <v>1</v>
      </c>
      <c r="R6099">
        <v>0</v>
      </c>
    </row>
    <row r="6100" spans="1:18" x14ac:dyDescent="0.45">
      <c r="A6100" s="19" t="s">
        <v>519</v>
      </c>
      <c r="B6100" s="19" t="s">
        <v>63</v>
      </c>
      <c r="C6100">
        <v>3</v>
      </c>
      <c r="D6100">
        <v>3</v>
      </c>
      <c r="E6100">
        <v>1</v>
      </c>
      <c r="F6100" s="15">
        <v>46279</v>
      </c>
      <c r="G6100" s="19" t="s">
        <v>726</v>
      </c>
      <c r="H6100">
        <v>4</v>
      </c>
      <c r="I6100">
        <v>2026</v>
      </c>
      <c r="J6100">
        <v>9</v>
      </c>
      <c r="K6100" s="19" t="s">
        <v>87</v>
      </c>
      <c r="L6100" s="19" t="s">
        <v>351</v>
      </c>
      <c r="M6100" s="19" t="s">
        <v>63</v>
      </c>
      <c r="N6100" t="b">
        <v>0</v>
      </c>
      <c r="O6100">
        <v>0</v>
      </c>
      <c r="P6100">
        <v>0</v>
      </c>
      <c r="Q6100">
        <v>1</v>
      </c>
      <c r="R6100">
        <v>0</v>
      </c>
    </row>
    <row r="6101" spans="1:18" x14ac:dyDescent="0.45">
      <c r="A6101" s="19" t="s">
        <v>351</v>
      </c>
      <c r="B6101" s="19" t="s">
        <v>63</v>
      </c>
      <c r="C6101">
        <v>4</v>
      </c>
      <c r="D6101">
        <v>3</v>
      </c>
      <c r="E6101">
        <v>1</v>
      </c>
      <c r="F6101" s="15">
        <v>46279</v>
      </c>
      <c r="G6101" s="19" t="s">
        <v>726</v>
      </c>
      <c r="H6101">
        <v>4</v>
      </c>
      <c r="I6101">
        <v>2026</v>
      </c>
      <c r="J6101">
        <v>9</v>
      </c>
      <c r="K6101" s="19" t="s">
        <v>87</v>
      </c>
      <c r="L6101" s="19" t="s">
        <v>10</v>
      </c>
      <c r="M6101" s="19" t="s">
        <v>63</v>
      </c>
      <c r="N6101" t="b">
        <v>0</v>
      </c>
      <c r="O6101">
        <v>0</v>
      </c>
      <c r="P6101">
        <v>0</v>
      </c>
      <c r="Q6101">
        <v>1</v>
      </c>
      <c r="R6101">
        <v>0</v>
      </c>
    </row>
    <row r="6102" spans="1:18" x14ac:dyDescent="0.45">
      <c r="A6102" s="19" t="s">
        <v>351</v>
      </c>
      <c r="B6102" s="19" t="s">
        <v>63</v>
      </c>
      <c r="C6102">
        <v>4</v>
      </c>
      <c r="D6102">
        <v>3</v>
      </c>
      <c r="E6102">
        <v>1</v>
      </c>
      <c r="F6102" s="15">
        <v>46279</v>
      </c>
      <c r="G6102" s="19" t="s">
        <v>726</v>
      </c>
      <c r="H6102">
        <v>4</v>
      </c>
      <c r="I6102">
        <v>2026</v>
      </c>
      <c r="J6102">
        <v>9</v>
      </c>
      <c r="K6102" s="19" t="s">
        <v>87</v>
      </c>
      <c r="L6102" s="19" t="s">
        <v>7</v>
      </c>
      <c r="M6102" s="19" t="s">
        <v>63</v>
      </c>
      <c r="N6102" t="b">
        <v>0</v>
      </c>
      <c r="O6102">
        <v>0</v>
      </c>
      <c r="P6102">
        <v>0</v>
      </c>
      <c r="Q6102">
        <v>1</v>
      </c>
      <c r="R6102">
        <v>0</v>
      </c>
    </row>
    <row r="6103" spans="1:18" x14ac:dyDescent="0.45">
      <c r="A6103" s="19" t="s">
        <v>351</v>
      </c>
      <c r="B6103" s="19" t="s">
        <v>63</v>
      </c>
      <c r="C6103">
        <v>4</v>
      </c>
      <c r="D6103">
        <v>3</v>
      </c>
      <c r="E6103">
        <v>1</v>
      </c>
      <c r="F6103" s="15">
        <v>46279</v>
      </c>
      <c r="G6103" s="19" t="s">
        <v>726</v>
      </c>
      <c r="H6103">
        <v>4</v>
      </c>
      <c r="I6103">
        <v>2026</v>
      </c>
      <c r="J6103">
        <v>9</v>
      </c>
      <c r="K6103" s="19" t="s">
        <v>87</v>
      </c>
      <c r="L6103" s="19" t="s">
        <v>519</v>
      </c>
      <c r="M6103" s="19" t="s">
        <v>63</v>
      </c>
      <c r="N6103" t="b">
        <v>0</v>
      </c>
      <c r="O6103">
        <v>0</v>
      </c>
      <c r="P6103">
        <v>0</v>
      </c>
      <c r="Q6103">
        <v>1</v>
      </c>
      <c r="R6103">
        <v>0</v>
      </c>
    </row>
    <row r="6104" spans="1:18" x14ac:dyDescent="0.45">
      <c r="A6104" s="19" t="s">
        <v>15</v>
      </c>
      <c r="B6104" s="19" t="s">
        <v>6</v>
      </c>
      <c r="C6104">
        <v>1</v>
      </c>
      <c r="D6104">
        <v>4</v>
      </c>
      <c r="E6104">
        <v>1</v>
      </c>
      <c r="F6104" s="15">
        <v>46279</v>
      </c>
      <c r="G6104" s="19" t="s">
        <v>727</v>
      </c>
      <c r="H6104">
        <v>3</v>
      </c>
      <c r="I6104">
        <v>2026</v>
      </c>
      <c r="J6104">
        <v>9</v>
      </c>
      <c r="K6104" s="19" t="s">
        <v>87</v>
      </c>
      <c r="L6104" s="19" t="s">
        <v>723</v>
      </c>
      <c r="M6104" s="19" t="s">
        <v>6</v>
      </c>
      <c r="N6104" t="b">
        <v>0</v>
      </c>
      <c r="O6104">
        <v>0</v>
      </c>
      <c r="P6104">
        <v>1</v>
      </c>
      <c r="Q6104">
        <v>0</v>
      </c>
      <c r="R6104">
        <v>0</v>
      </c>
    </row>
    <row r="6105" spans="1:18" x14ac:dyDescent="0.45">
      <c r="A6105" s="19" t="s">
        <v>15</v>
      </c>
      <c r="B6105" s="19" t="s">
        <v>6</v>
      </c>
      <c r="C6105">
        <v>1</v>
      </c>
      <c r="D6105">
        <v>4</v>
      </c>
      <c r="E6105">
        <v>1</v>
      </c>
      <c r="F6105" s="15">
        <v>46279</v>
      </c>
      <c r="G6105" s="19" t="s">
        <v>727</v>
      </c>
      <c r="H6105">
        <v>3</v>
      </c>
      <c r="I6105">
        <v>2026</v>
      </c>
      <c r="J6105">
        <v>9</v>
      </c>
      <c r="K6105" s="19" t="s">
        <v>87</v>
      </c>
      <c r="L6105" s="19" t="s">
        <v>41</v>
      </c>
      <c r="M6105" s="19" t="s">
        <v>8</v>
      </c>
      <c r="N6105" t="b">
        <v>0</v>
      </c>
      <c r="O6105">
        <v>0</v>
      </c>
      <c r="P6105">
        <v>1</v>
      </c>
      <c r="Q6105">
        <v>0</v>
      </c>
      <c r="R6105">
        <v>1</v>
      </c>
    </row>
    <row r="6106" spans="1:18" x14ac:dyDescent="0.45">
      <c r="A6106" s="19" t="s">
        <v>723</v>
      </c>
      <c r="B6106" s="19" t="s">
        <v>6</v>
      </c>
      <c r="C6106">
        <v>2</v>
      </c>
      <c r="D6106">
        <v>4</v>
      </c>
      <c r="E6106">
        <v>1</v>
      </c>
      <c r="F6106" s="15">
        <v>46279</v>
      </c>
      <c r="G6106" s="19" t="s">
        <v>727</v>
      </c>
      <c r="H6106">
        <v>3</v>
      </c>
      <c r="I6106">
        <v>2026</v>
      </c>
      <c r="J6106">
        <v>9</v>
      </c>
      <c r="K6106" s="19" t="s">
        <v>87</v>
      </c>
      <c r="L6106" s="19" t="s">
        <v>15</v>
      </c>
      <c r="M6106" s="19" t="s">
        <v>6</v>
      </c>
      <c r="N6106" t="b">
        <v>0</v>
      </c>
      <c r="O6106">
        <v>0</v>
      </c>
      <c r="P6106">
        <v>1</v>
      </c>
      <c r="Q6106">
        <v>0</v>
      </c>
      <c r="R6106">
        <v>0</v>
      </c>
    </row>
    <row r="6107" spans="1:18" x14ac:dyDescent="0.45">
      <c r="A6107" s="19" t="s">
        <v>723</v>
      </c>
      <c r="B6107" s="19" t="s">
        <v>6</v>
      </c>
      <c r="C6107">
        <v>2</v>
      </c>
      <c r="D6107">
        <v>4</v>
      </c>
      <c r="E6107">
        <v>1</v>
      </c>
      <c r="F6107" s="15">
        <v>46279</v>
      </c>
      <c r="G6107" s="19" t="s">
        <v>727</v>
      </c>
      <c r="H6107">
        <v>3</v>
      </c>
      <c r="I6107">
        <v>2026</v>
      </c>
      <c r="J6107">
        <v>9</v>
      </c>
      <c r="K6107" s="19" t="s">
        <v>87</v>
      </c>
      <c r="L6107" s="19" t="s">
        <v>41</v>
      </c>
      <c r="M6107" s="19" t="s">
        <v>8</v>
      </c>
      <c r="N6107" t="b">
        <v>0</v>
      </c>
      <c r="O6107">
        <v>0</v>
      </c>
      <c r="P6107">
        <v>1</v>
      </c>
      <c r="Q6107">
        <v>0</v>
      </c>
      <c r="R6107">
        <v>1</v>
      </c>
    </row>
    <row r="6108" spans="1:18" x14ac:dyDescent="0.45">
      <c r="A6108" s="19" t="s">
        <v>41</v>
      </c>
      <c r="B6108" s="19" t="s">
        <v>8</v>
      </c>
      <c r="C6108">
        <v>3</v>
      </c>
      <c r="D6108">
        <v>4</v>
      </c>
      <c r="E6108">
        <v>1</v>
      </c>
      <c r="F6108" s="15">
        <v>46279</v>
      </c>
      <c r="G6108" s="19" t="s">
        <v>727</v>
      </c>
      <c r="H6108">
        <v>3</v>
      </c>
      <c r="I6108">
        <v>2026</v>
      </c>
      <c r="J6108">
        <v>9</v>
      </c>
      <c r="K6108" s="19" t="s">
        <v>87</v>
      </c>
      <c r="L6108" s="19" t="s">
        <v>15</v>
      </c>
      <c r="M6108" s="19" t="s">
        <v>6</v>
      </c>
      <c r="N6108" t="b">
        <v>0</v>
      </c>
      <c r="O6108">
        <v>1</v>
      </c>
      <c r="P6108">
        <v>0</v>
      </c>
      <c r="Q6108">
        <v>0</v>
      </c>
      <c r="R6108">
        <v>0</v>
      </c>
    </row>
    <row r="6109" spans="1:18" x14ac:dyDescent="0.45">
      <c r="A6109" s="19" t="s">
        <v>41</v>
      </c>
      <c r="B6109" s="19" t="s">
        <v>8</v>
      </c>
      <c r="C6109">
        <v>3</v>
      </c>
      <c r="D6109">
        <v>4</v>
      </c>
      <c r="E6109">
        <v>1</v>
      </c>
      <c r="F6109" s="15">
        <v>46279</v>
      </c>
      <c r="G6109" s="19" t="s">
        <v>727</v>
      </c>
      <c r="H6109">
        <v>3</v>
      </c>
      <c r="I6109">
        <v>2026</v>
      </c>
      <c r="J6109">
        <v>9</v>
      </c>
      <c r="K6109" s="19" t="s">
        <v>87</v>
      </c>
      <c r="L6109" s="19" t="s">
        <v>723</v>
      </c>
      <c r="M6109" s="19" t="s">
        <v>6</v>
      </c>
      <c r="N6109" t="b">
        <v>0</v>
      </c>
      <c r="O6109">
        <v>1</v>
      </c>
      <c r="P6109">
        <v>0</v>
      </c>
      <c r="Q6109">
        <v>0</v>
      </c>
      <c r="R6109">
        <v>0</v>
      </c>
    </row>
    <row r="6110" spans="1:18" x14ac:dyDescent="0.45">
      <c r="A6110" s="19" t="s">
        <v>14</v>
      </c>
      <c r="B6110" s="19" t="s">
        <v>8</v>
      </c>
      <c r="C6110">
        <v>1</v>
      </c>
      <c r="D6110">
        <v>5</v>
      </c>
      <c r="E6110">
        <v>1</v>
      </c>
      <c r="F6110" s="15">
        <v>46279</v>
      </c>
      <c r="G6110" s="19" t="s">
        <v>728</v>
      </c>
      <c r="H6110">
        <v>3</v>
      </c>
      <c r="I6110">
        <v>2026</v>
      </c>
      <c r="J6110">
        <v>9</v>
      </c>
      <c r="K6110" s="19" t="s">
        <v>87</v>
      </c>
      <c r="L6110" s="19" t="s">
        <v>11</v>
      </c>
      <c r="M6110" s="19" t="s">
        <v>6</v>
      </c>
      <c r="N6110" t="b">
        <v>0</v>
      </c>
      <c r="O6110">
        <v>1</v>
      </c>
      <c r="P6110">
        <v>0</v>
      </c>
      <c r="Q6110">
        <v>0</v>
      </c>
      <c r="R6110">
        <v>0</v>
      </c>
    </row>
    <row r="6111" spans="1:18" x14ac:dyDescent="0.45">
      <c r="A6111" s="19" t="s">
        <v>14</v>
      </c>
      <c r="B6111" s="19" t="s">
        <v>8</v>
      </c>
      <c r="C6111">
        <v>1</v>
      </c>
      <c r="D6111">
        <v>5</v>
      </c>
      <c r="E6111">
        <v>1</v>
      </c>
      <c r="F6111" s="15">
        <v>46279</v>
      </c>
      <c r="G6111" s="19" t="s">
        <v>728</v>
      </c>
      <c r="H6111">
        <v>3</v>
      </c>
      <c r="I6111">
        <v>2026</v>
      </c>
      <c r="J6111">
        <v>9</v>
      </c>
      <c r="K6111" s="19" t="s">
        <v>87</v>
      </c>
      <c r="L6111" s="19" t="s">
        <v>20</v>
      </c>
      <c r="M6111" s="19" t="s">
        <v>6</v>
      </c>
      <c r="N6111" t="b">
        <v>0</v>
      </c>
      <c r="O6111">
        <v>1</v>
      </c>
      <c r="P6111">
        <v>0</v>
      </c>
      <c r="Q6111">
        <v>0</v>
      </c>
      <c r="R6111">
        <v>0</v>
      </c>
    </row>
    <row r="6112" spans="1:18" x14ac:dyDescent="0.45">
      <c r="A6112" s="19" t="s">
        <v>11</v>
      </c>
      <c r="B6112" s="19" t="s">
        <v>6</v>
      </c>
      <c r="C6112">
        <v>2</v>
      </c>
      <c r="D6112">
        <v>5</v>
      </c>
      <c r="E6112">
        <v>1</v>
      </c>
      <c r="F6112" s="15">
        <v>46279</v>
      </c>
      <c r="G6112" s="19" t="s">
        <v>728</v>
      </c>
      <c r="H6112">
        <v>3</v>
      </c>
      <c r="I6112">
        <v>2026</v>
      </c>
      <c r="J6112">
        <v>9</v>
      </c>
      <c r="K6112" s="19" t="s">
        <v>87</v>
      </c>
      <c r="L6112" s="19" t="s">
        <v>14</v>
      </c>
      <c r="M6112" s="19" t="s">
        <v>8</v>
      </c>
      <c r="N6112" t="b">
        <v>0</v>
      </c>
      <c r="O6112">
        <v>0</v>
      </c>
      <c r="P6112">
        <v>1</v>
      </c>
      <c r="Q6112">
        <v>0</v>
      </c>
      <c r="R6112">
        <v>1</v>
      </c>
    </row>
    <row r="6113" spans="1:18" x14ac:dyDescent="0.45">
      <c r="A6113" s="19" t="s">
        <v>11</v>
      </c>
      <c r="B6113" s="19" t="s">
        <v>6</v>
      </c>
      <c r="C6113">
        <v>2</v>
      </c>
      <c r="D6113">
        <v>5</v>
      </c>
      <c r="E6113">
        <v>1</v>
      </c>
      <c r="F6113" s="15">
        <v>46279</v>
      </c>
      <c r="G6113" s="19" t="s">
        <v>728</v>
      </c>
      <c r="H6113">
        <v>3</v>
      </c>
      <c r="I6113">
        <v>2026</v>
      </c>
      <c r="J6113">
        <v>9</v>
      </c>
      <c r="K6113" s="19" t="s">
        <v>87</v>
      </c>
      <c r="L6113" s="19" t="s">
        <v>20</v>
      </c>
      <c r="M6113" s="19" t="s">
        <v>6</v>
      </c>
      <c r="N6113" t="b">
        <v>0</v>
      </c>
      <c r="O6113">
        <v>0</v>
      </c>
      <c r="P6113">
        <v>1</v>
      </c>
      <c r="Q6113">
        <v>0</v>
      </c>
      <c r="R6113">
        <v>0</v>
      </c>
    </row>
    <row r="6114" spans="1:18" x14ac:dyDescent="0.45">
      <c r="A6114" s="19" t="s">
        <v>20</v>
      </c>
      <c r="B6114" s="19" t="s">
        <v>6</v>
      </c>
      <c r="C6114">
        <v>3</v>
      </c>
      <c r="D6114">
        <v>5</v>
      </c>
      <c r="E6114">
        <v>1</v>
      </c>
      <c r="F6114" s="15">
        <v>46279</v>
      </c>
      <c r="G6114" s="19" t="s">
        <v>728</v>
      </c>
      <c r="H6114">
        <v>3</v>
      </c>
      <c r="I6114">
        <v>2026</v>
      </c>
      <c r="J6114">
        <v>9</v>
      </c>
      <c r="K6114" s="19" t="s">
        <v>87</v>
      </c>
      <c r="L6114" s="19" t="s">
        <v>14</v>
      </c>
      <c r="M6114" s="19" t="s">
        <v>8</v>
      </c>
      <c r="N6114" t="b">
        <v>0</v>
      </c>
      <c r="O6114">
        <v>0</v>
      </c>
      <c r="P6114">
        <v>1</v>
      </c>
      <c r="Q6114">
        <v>0</v>
      </c>
      <c r="R6114">
        <v>1</v>
      </c>
    </row>
    <row r="6115" spans="1:18" x14ac:dyDescent="0.45">
      <c r="A6115" s="19" t="s">
        <v>20</v>
      </c>
      <c r="B6115" s="19" t="s">
        <v>6</v>
      </c>
      <c r="C6115">
        <v>3</v>
      </c>
      <c r="D6115">
        <v>5</v>
      </c>
      <c r="E6115">
        <v>1</v>
      </c>
      <c r="F6115" s="15">
        <v>46279</v>
      </c>
      <c r="G6115" s="19" t="s">
        <v>728</v>
      </c>
      <c r="H6115">
        <v>3</v>
      </c>
      <c r="I6115">
        <v>2026</v>
      </c>
      <c r="J6115">
        <v>9</v>
      </c>
      <c r="K6115" s="19" t="s">
        <v>87</v>
      </c>
      <c r="L6115" s="19" t="s">
        <v>11</v>
      </c>
      <c r="M6115" s="19" t="s">
        <v>6</v>
      </c>
      <c r="N6115" t="b">
        <v>0</v>
      </c>
      <c r="O6115">
        <v>0</v>
      </c>
      <c r="P6115">
        <v>1</v>
      </c>
      <c r="Q6115">
        <v>0</v>
      </c>
      <c r="R6115">
        <v>0</v>
      </c>
    </row>
    <row r="6116" spans="1:18" x14ac:dyDescent="0.45">
      <c r="A6116" s="19" t="s">
        <v>41</v>
      </c>
      <c r="B6116" s="19" t="s">
        <v>6</v>
      </c>
      <c r="C6116">
        <v>1</v>
      </c>
      <c r="D6116">
        <v>1</v>
      </c>
      <c r="E6116">
        <v>2</v>
      </c>
      <c r="F6116" s="15">
        <v>46279</v>
      </c>
      <c r="G6116" s="19" t="s">
        <v>729</v>
      </c>
      <c r="H6116">
        <v>4</v>
      </c>
      <c r="I6116">
        <v>2026</v>
      </c>
      <c r="J6116">
        <v>9</v>
      </c>
      <c r="K6116" s="19" t="s">
        <v>87</v>
      </c>
      <c r="L6116" s="19" t="s">
        <v>578</v>
      </c>
      <c r="M6116" s="19" t="s">
        <v>6</v>
      </c>
      <c r="N6116" t="b">
        <v>0</v>
      </c>
      <c r="O6116">
        <v>0</v>
      </c>
      <c r="P6116">
        <v>1</v>
      </c>
      <c r="Q6116">
        <v>0</v>
      </c>
      <c r="R6116">
        <v>0</v>
      </c>
    </row>
    <row r="6117" spans="1:18" x14ac:dyDescent="0.45">
      <c r="A6117" s="19" t="s">
        <v>41</v>
      </c>
      <c r="B6117" s="19" t="s">
        <v>6</v>
      </c>
      <c r="C6117">
        <v>1</v>
      </c>
      <c r="D6117">
        <v>1</v>
      </c>
      <c r="E6117">
        <v>2</v>
      </c>
      <c r="F6117" s="15">
        <v>46279</v>
      </c>
      <c r="G6117" s="19" t="s">
        <v>729</v>
      </c>
      <c r="H6117">
        <v>4</v>
      </c>
      <c r="I6117">
        <v>2026</v>
      </c>
      <c r="J6117">
        <v>9</v>
      </c>
      <c r="K6117" s="19" t="s">
        <v>87</v>
      </c>
      <c r="L6117" s="19" t="s">
        <v>14</v>
      </c>
      <c r="M6117" s="19" t="s">
        <v>8</v>
      </c>
      <c r="N6117" t="b">
        <v>0</v>
      </c>
      <c r="O6117">
        <v>0</v>
      </c>
      <c r="P6117">
        <v>1</v>
      </c>
      <c r="Q6117">
        <v>0</v>
      </c>
      <c r="R6117">
        <v>1</v>
      </c>
    </row>
    <row r="6118" spans="1:18" x14ac:dyDescent="0.45">
      <c r="A6118" s="19" t="s">
        <v>41</v>
      </c>
      <c r="B6118" s="19" t="s">
        <v>6</v>
      </c>
      <c r="C6118">
        <v>1</v>
      </c>
      <c r="D6118">
        <v>1</v>
      </c>
      <c r="E6118">
        <v>2</v>
      </c>
      <c r="F6118" s="15">
        <v>46279</v>
      </c>
      <c r="G6118" s="19" t="s">
        <v>729</v>
      </c>
      <c r="H6118">
        <v>4</v>
      </c>
      <c r="I6118">
        <v>2026</v>
      </c>
      <c r="J6118">
        <v>9</v>
      </c>
      <c r="K6118" s="19" t="s">
        <v>87</v>
      </c>
      <c r="L6118" s="19" t="s">
        <v>17</v>
      </c>
      <c r="M6118" s="19" t="s">
        <v>6</v>
      </c>
      <c r="N6118" t="b">
        <v>0</v>
      </c>
      <c r="O6118">
        <v>0</v>
      </c>
      <c r="P6118">
        <v>1</v>
      </c>
      <c r="Q6118">
        <v>0</v>
      </c>
      <c r="R6118">
        <v>0</v>
      </c>
    </row>
    <row r="6119" spans="1:18" x14ac:dyDescent="0.45">
      <c r="A6119" s="19" t="s">
        <v>578</v>
      </c>
      <c r="B6119" s="19" t="s">
        <v>6</v>
      </c>
      <c r="C6119">
        <v>2</v>
      </c>
      <c r="D6119">
        <v>1</v>
      </c>
      <c r="E6119">
        <v>2</v>
      </c>
      <c r="F6119" s="15">
        <v>46279</v>
      </c>
      <c r="G6119" s="19" t="s">
        <v>729</v>
      </c>
      <c r="H6119">
        <v>4</v>
      </c>
      <c r="I6119">
        <v>2026</v>
      </c>
      <c r="J6119">
        <v>9</v>
      </c>
      <c r="K6119" s="19" t="s">
        <v>87</v>
      </c>
      <c r="L6119" s="19" t="s">
        <v>41</v>
      </c>
      <c r="M6119" s="19" t="s">
        <v>6</v>
      </c>
      <c r="N6119" t="b">
        <v>0</v>
      </c>
      <c r="O6119">
        <v>0</v>
      </c>
      <c r="P6119">
        <v>1</v>
      </c>
      <c r="Q6119">
        <v>0</v>
      </c>
      <c r="R6119">
        <v>0</v>
      </c>
    </row>
    <row r="6120" spans="1:18" x14ac:dyDescent="0.45">
      <c r="A6120" s="19" t="s">
        <v>578</v>
      </c>
      <c r="B6120" s="19" t="s">
        <v>6</v>
      </c>
      <c r="C6120">
        <v>2</v>
      </c>
      <c r="D6120">
        <v>1</v>
      </c>
      <c r="E6120">
        <v>2</v>
      </c>
      <c r="F6120" s="15">
        <v>46279</v>
      </c>
      <c r="G6120" s="19" t="s">
        <v>729</v>
      </c>
      <c r="H6120">
        <v>4</v>
      </c>
      <c r="I6120">
        <v>2026</v>
      </c>
      <c r="J6120">
        <v>9</v>
      </c>
      <c r="K6120" s="19" t="s">
        <v>87</v>
      </c>
      <c r="L6120" s="19" t="s">
        <v>14</v>
      </c>
      <c r="M6120" s="19" t="s">
        <v>8</v>
      </c>
      <c r="N6120" t="b">
        <v>0</v>
      </c>
      <c r="O6120">
        <v>0</v>
      </c>
      <c r="P6120">
        <v>1</v>
      </c>
      <c r="Q6120">
        <v>0</v>
      </c>
      <c r="R6120">
        <v>1</v>
      </c>
    </row>
    <row r="6121" spans="1:18" x14ac:dyDescent="0.45">
      <c r="A6121" s="19" t="s">
        <v>578</v>
      </c>
      <c r="B6121" s="19" t="s">
        <v>6</v>
      </c>
      <c r="C6121">
        <v>2</v>
      </c>
      <c r="D6121">
        <v>1</v>
      </c>
      <c r="E6121">
        <v>2</v>
      </c>
      <c r="F6121" s="15">
        <v>46279</v>
      </c>
      <c r="G6121" s="19" t="s">
        <v>729</v>
      </c>
      <c r="H6121">
        <v>4</v>
      </c>
      <c r="I6121">
        <v>2026</v>
      </c>
      <c r="J6121">
        <v>9</v>
      </c>
      <c r="K6121" s="19" t="s">
        <v>87</v>
      </c>
      <c r="L6121" s="19" t="s">
        <v>17</v>
      </c>
      <c r="M6121" s="19" t="s">
        <v>6</v>
      </c>
      <c r="N6121" t="b">
        <v>0</v>
      </c>
      <c r="O6121">
        <v>0</v>
      </c>
      <c r="P6121">
        <v>1</v>
      </c>
      <c r="Q6121">
        <v>0</v>
      </c>
      <c r="R6121">
        <v>0</v>
      </c>
    </row>
    <row r="6122" spans="1:18" x14ac:dyDescent="0.45">
      <c r="A6122" s="19" t="s">
        <v>14</v>
      </c>
      <c r="B6122" s="19" t="s">
        <v>8</v>
      </c>
      <c r="C6122">
        <v>3</v>
      </c>
      <c r="D6122">
        <v>1</v>
      </c>
      <c r="E6122">
        <v>2</v>
      </c>
      <c r="F6122" s="15">
        <v>46279</v>
      </c>
      <c r="G6122" s="19" t="s">
        <v>729</v>
      </c>
      <c r="H6122">
        <v>4</v>
      </c>
      <c r="I6122">
        <v>2026</v>
      </c>
      <c r="J6122">
        <v>9</v>
      </c>
      <c r="K6122" s="19" t="s">
        <v>87</v>
      </c>
      <c r="L6122" s="19" t="s">
        <v>41</v>
      </c>
      <c r="M6122" s="19" t="s">
        <v>6</v>
      </c>
      <c r="N6122" t="b">
        <v>0</v>
      </c>
      <c r="O6122">
        <v>1</v>
      </c>
      <c r="P6122">
        <v>0</v>
      </c>
      <c r="Q6122">
        <v>0</v>
      </c>
      <c r="R6122">
        <v>0</v>
      </c>
    </row>
    <row r="6123" spans="1:18" x14ac:dyDescent="0.45">
      <c r="A6123" s="19" t="s">
        <v>14</v>
      </c>
      <c r="B6123" s="19" t="s">
        <v>8</v>
      </c>
      <c r="C6123">
        <v>3</v>
      </c>
      <c r="D6123">
        <v>1</v>
      </c>
      <c r="E6123">
        <v>2</v>
      </c>
      <c r="F6123" s="15">
        <v>46279</v>
      </c>
      <c r="G6123" s="19" t="s">
        <v>729</v>
      </c>
      <c r="H6123">
        <v>4</v>
      </c>
      <c r="I6123">
        <v>2026</v>
      </c>
      <c r="J6123">
        <v>9</v>
      </c>
      <c r="K6123" s="19" t="s">
        <v>87</v>
      </c>
      <c r="L6123" s="19" t="s">
        <v>578</v>
      </c>
      <c r="M6123" s="19" t="s">
        <v>6</v>
      </c>
      <c r="N6123" t="b">
        <v>0</v>
      </c>
      <c r="O6123">
        <v>1</v>
      </c>
      <c r="P6123">
        <v>0</v>
      </c>
      <c r="Q6123">
        <v>0</v>
      </c>
      <c r="R6123">
        <v>0</v>
      </c>
    </row>
    <row r="6124" spans="1:18" x14ac:dyDescent="0.45">
      <c r="A6124" s="19" t="s">
        <v>14</v>
      </c>
      <c r="B6124" s="19" t="s">
        <v>8</v>
      </c>
      <c r="C6124">
        <v>3</v>
      </c>
      <c r="D6124">
        <v>1</v>
      </c>
      <c r="E6124">
        <v>2</v>
      </c>
      <c r="F6124" s="15">
        <v>46279</v>
      </c>
      <c r="G6124" s="19" t="s">
        <v>729</v>
      </c>
      <c r="H6124">
        <v>4</v>
      </c>
      <c r="I6124">
        <v>2026</v>
      </c>
      <c r="J6124">
        <v>9</v>
      </c>
      <c r="K6124" s="19" t="s">
        <v>87</v>
      </c>
      <c r="L6124" s="19" t="s">
        <v>17</v>
      </c>
      <c r="M6124" s="19" t="s">
        <v>6</v>
      </c>
      <c r="N6124" t="b">
        <v>0</v>
      </c>
      <c r="O6124">
        <v>1</v>
      </c>
      <c r="P6124">
        <v>0</v>
      </c>
      <c r="Q6124">
        <v>0</v>
      </c>
      <c r="R6124">
        <v>0</v>
      </c>
    </row>
    <row r="6125" spans="1:18" x14ac:dyDescent="0.45">
      <c r="A6125" s="19" t="s">
        <v>17</v>
      </c>
      <c r="B6125" s="19" t="s">
        <v>6</v>
      </c>
      <c r="C6125">
        <v>4</v>
      </c>
      <c r="D6125">
        <v>1</v>
      </c>
      <c r="E6125">
        <v>2</v>
      </c>
      <c r="F6125" s="15">
        <v>46279</v>
      </c>
      <c r="G6125" s="19" t="s">
        <v>729</v>
      </c>
      <c r="H6125">
        <v>4</v>
      </c>
      <c r="I6125">
        <v>2026</v>
      </c>
      <c r="J6125">
        <v>9</v>
      </c>
      <c r="K6125" s="19" t="s">
        <v>87</v>
      </c>
      <c r="L6125" s="19" t="s">
        <v>41</v>
      </c>
      <c r="M6125" s="19" t="s">
        <v>6</v>
      </c>
      <c r="N6125" t="b">
        <v>0</v>
      </c>
      <c r="O6125">
        <v>0</v>
      </c>
      <c r="P6125">
        <v>1</v>
      </c>
      <c r="Q6125">
        <v>0</v>
      </c>
      <c r="R6125">
        <v>0</v>
      </c>
    </row>
    <row r="6126" spans="1:18" x14ac:dyDescent="0.45">
      <c r="A6126" s="19" t="s">
        <v>17</v>
      </c>
      <c r="B6126" s="19" t="s">
        <v>6</v>
      </c>
      <c r="C6126">
        <v>4</v>
      </c>
      <c r="D6126">
        <v>1</v>
      </c>
      <c r="E6126">
        <v>2</v>
      </c>
      <c r="F6126" s="15">
        <v>46279</v>
      </c>
      <c r="G6126" s="19" t="s">
        <v>729</v>
      </c>
      <c r="H6126">
        <v>4</v>
      </c>
      <c r="I6126">
        <v>2026</v>
      </c>
      <c r="J6126">
        <v>9</v>
      </c>
      <c r="K6126" s="19" t="s">
        <v>87</v>
      </c>
      <c r="L6126" s="19" t="s">
        <v>578</v>
      </c>
      <c r="M6126" s="19" t="s">
        <v>6</v>
      </c>
      <c r="N6126" t="b">
        <v>0</v>
      </c>
      <c r="O6126">
        <v>0</v>
      </c>
      <c r="P6126">
        <v>1</v>
      </c>
      <c r="Q6126">
        <v>0</v>
      </c>
      <c r="R6126">
        <v>0</v>
      </c>
    </row>
    <row r="6127" spans="1:18" x14ac:dyDescent="0.45">
      <c r="A6127" s="19" t="s">
        <v>17</v>
      </c>
      <c r="B6127" s="19" t="s">
        <v>6</v>
      </c>
      <c r="C6127">
        <v>4</v>
      </c>
      <c r="D6127">
        <v>1</v>
      </c>
      <c r="E6127">
        <v>2</v>
      </c>
      <c r="F6127" s="15">
        <v>46279</v>
      </c>
      <c r="G6127" s="19" t="s">
        <v>729</v>
      </c>
      <c r="H6127">
        <v>4</v>
      </c>
      <c r="I6127">
        <v>2026</v>
      </c>
      <c r="J6127">
        <v>9</v>
      </c>
      <c r="K6127" s="19" t="s">
        <v>87</v>
      </c>
      <c r="L6127" s="19" t="s">
        <v>14</v>
      </c>
      <c r="M6127" s="19" t="s">
        <v>8</v>
      </c>
      <c r="N6127" t="b">
        <v>0</v>
      </c>
      <c r="O6127">
        <v>0</v>
      </c>
      <c r="P6127">
        <v>1</v>
      </c>
      <c r="Q6127">
        <v>0</v>
      </c>
      <c r="R6127">
        <v>1</v>
      </c>
    </row>
    <row r="6128" spans="1:18" x14ac:dyDescent="0.45">
      <c r="A6128" s="19" t="s">
        <v>609</v>
      </c>
      <c r="B6128" s="19" t="s">
        <v>8</v>
      </c>
      <c r="C6128">
        <v>1</v>
      </c>
      <c r="D6128">
        <v>2</v>
      </c>
      <c r="E6128">
        <v>2</v>
      </c>
      <c r="F6128" s="15">
        <v>46279</v>
      </c>
      <c r="G6128" s="19" t="s">
        <v>730</v>
      </c>
      <c r="H6128">
        <v>4</v>
      </c>
      <c r="I6128">
        <v>2026</v>
      </c>
      <c r="J6128">
        <v>9</v>
      </c>
      <c r="K6128" s="19" t="s">
        <v>87</v>
      </c>
      <c r="L6128" s="19" t="s">
        <v>325</v>
      </c>
      <c r="M6128" s="19" t="s">
        <v>6</v>
      </c>
      <c r="N6128" t="b">
        <v>0</v>
      </c>
      <c r="O6128">
        <v>1</v>
      </c>
      <c r="P6128">
        <v>0</v>
      </c>
      <c r="Q6128">
        <v>0</v>
      </c>
      <c r="R6128">
        <v>0</v>
      </c>
    </row>
    <row r="6129" spans="1:18" x14ac:dyDescent="0.45">
      <c r="A6129" s="19" t="s">
        <v>609</v>
      </c>
      <c r="B6129" s="19" t="s">
        <v>8</v>
      </c>
      <c r="C6129">
        <v>1</v>
      </c>
      <c r="D6129">
        <v>2</v>
      </c>
      <c r="E6129">
        <v>2</v>
      </c>
      <c r="F6129" s="15">
        <v>46279</v>
      </c>
      <c r="G6129" s="19" t="s">
        <v>730</v>
      </c>
      <c r="H6129">
        <v>4</v>
      </c>
      <c r="I6129">
        <v>2026</v>
      </c>
      <c r="J6129">
        <v>9</v>
      </c>
      <c r="K6129" s="19" t="s">
        <v>87</v>
      </c>
      <c r="L6129" s="19" t="s">
        <v>723</v>
      </c>
      <c r="M6129" s="19" t="s">
        <v>6</v>
      </c>
      <c r="N6129" t="b">
        <v>0</v>
      </c>
      <c r="O6129">
        <v>1</v>
      </c>
      <c r="P6129">
        <v>0</v>
      </c>
      <c r="Q6129">
        <v>0</v>
      </c>
      <c r="R6129">
        <v>0</v>
      </c>
    </row>
    <row r="6130" spans="1:18" x14ac:dyDescent="0.45">
      <c r="A6130" s="19" t="s">
        <v>609</v>
      </c>
      <c r="B6130" s="19" t="s">
        <v>8</v>
      </c>
      <c r="C6130">
        <v>1</v>
      </c>
      <c r="D6130">
        <v>2</v>
      </c>
      <c r="E6130">
        <v>2</v>
      </c>
      <c r="F6130" s="15">
        <v>46279</v>
      </c>
      <c r="G6130" s="19" t="s">
        <v>730</v>
      </c>
      <c r="H6130">
        <v>4</v>
      </c>
      <c r="I6130">
        <v>2026</v>
      </c>
      <c r="J6130">
        <v>9</v>
      </c>
      <c r="K6130" s="19" t="s">
        <v>87</v>
      </c>
      <c r="L6130" s="19" t="s">
        <v>10</v>
      </c>
      <c r="M6130" s="19" t="s">
        <v>6</v>
      </c>
      <c r="N6130" t="b">
        <v>0</v>
      </c>
      <c r="O6130">
        <v>1</v>
      </c>
      <c r="P6130">
        <v>0</v>
      </c>
      <c r="Q6130">
        <v>0</v>
      </c>
      <c r="R6130">
        <v>0</v>
      </c>
    </row>
    <row r="6131" spans="1:18" x14ac:dyDescent="0.45">
      <c r="A6131" s="19" t="s">
        <v>325</v>
      </c>
      <c r="B6131" s="19" t="s">
        <v>6</v>
      </c>
      <c r="C6131">
        <v>2</v>
      </c>
      <c r="D6131">
        <v>2</v>
      </c>
      <c r="E6131">
        <v>2</v>
      </c>
      <c r="F6131" s="15">
        <v>46279</v>
      </c>
      <c r="G6131" s="19" t="s">
        <v>730</v>
      </c>
      <c r="H6131">
        <v>4</v>
      </c>
      <c r="I6131">
        <v>2026</v>
      </c>
      <c r="J6131">
        <v>9</v>
      </c>
      <c r="K6131" s="19" t="s">
        <v>87</v>
      </c>
      <c r="L6131" s="19" t="s">
        <v>609</v>
      </c>
      <c r="M6131" s="19" t="s">
        <v>8</v>
      </c>
      <c r="N6131" t="b">
        <v>0</v>
      </c>
      <c r="O6131">
        <v>0</v>
      </c>
      <c r="P6131">
        <v>1</v>
      </c>
      <c r="Q6131">
        <v>0</v>
      </c>
      <c r="R6131">
        <v>1</v>
      </c>
    </row>
    <row r="6132" spans="1:18" x14ac:dyDescent="0.45">
      <c r="A6132" s="19" t="s">
        <v>325</v>
      </c>
      <c r="B6132" s="19" t="s">
        <v>6</v>
      </c>
      <c r="C6132">
        <v>2</v>
      </c>
      <c r="D6132">
        <v>2</v>
      </c>
      <c r="E6132">
        <v>2</v>
      </c>
      <c r="F6132" s="15">
        <v>46279</v>
      </c>
      <c r="G6132" s="19" t="s">
        <v>730</v>
      </c>
      <c r="H6132">
        <v>4</v>
      </c>
      <c r="I6132">
        <v>2026</v>
      </c>
      <c r="J6132">
        <v>9</v>
      </c>
      <c r="K6132" s="19" t="s">
        <v>87</v>
      </c>
      <c r="L6132" s="19" t="s">
        <v>723</v>
      </c>
      <c r="M6132" s="19" t="s">
        <v>6</v>
      </c>
      <c r="N6132" t="b">
        <v>0</v>
      </c>
      <c r="O6132">
        <v>0</v>
      </c>
      <c r="P6132">
        <v>1</v>
      </c>
      <c r="Q6132">
        <v>0</v>
      </c>
      <c r="R6132">
        <v>0</v>
      </c>
    </row>
    <row r="6133" spans="1:18" x14ac:dyDescent="0.45">
      <c r="A6133" s="19" t="s">
        <v>325</v>
      </c>
      <c r="B6133" s="19" t="s">
        <v>6</v>
      </c>
      <c r="C6133">
        <v>2</v>
      </c>
      <c r="D6133">
        <v>2</v>
      </c>
      <c r="E6133">
        <v>2</v>
      </c>
      <c r="F6133" s="15">
        <v>46279</v>
      </c>
      <c r="G6133" s="19" t="s">
        <v>730</v>
      </c>
      <c r="H6133">
        <v>4</v>
      </c>
      <c r="I6133">
        <v>2026</v>
      </c>
      <c r="J6133">
        <v>9</v>
      </c>
      <c r="K6133" s="19" t="s">
        <v>87</v>
      </c>
      <c r="L6133" s="19" t="s">
        <v>10</v>
      </c>
      <c r="M6133" s="19" t="s">
        <v>6</v>
      </c>
      <c r="N6133" t="b">
        <v>0</v>
      </c>
      <c r="O6133">
        <v>0</v>
      </c>
      <c r="P6133">
        <v>1</v>
      </c>
      <c r="Q6133">
        <v>0</v>
      </c>
      <c r="R6133">
        <v>0</v>
      </c>
    </row>
    <row r="6134" spans="1:18" x14ac:dyDescent="0.45">
      <c r="A6134" s="19" t="s">
        <v>723</v>
      </c>
      <c r="B6134" s="19" t="s">
        <v>6</v>
      </c>
      <c r="C6134">
        <v>3</v>
      </c>
      <c r="D6134">
        <v>2</v>
      </c>
      <c r="E6134">
        <v>2</v>
      </c>
      <c r="F6134" s="15">
        <v>46279</v>
      </c>
      <c r="G6134" s="19" t="s">
        <v>730</v>
      </c>
      <c r="H6134">
        <v>4</v>
      </c>
      <c r="I6134">
        <v>2026</v>
      </c>
      <c r="J6134">
        <v>9</v>
      </c>
      <c r="K6134" s="19" t="s">
        <v>87</v>
      </c>
      <c r="L6134" s="19" t="s">
        <v>609</v>
      </c>
      <c r="M6134" s="19" t="s">
        <v>8</v>
      </c>
      <c r="N6134" t="b">
        <v>0</v>
      </c>
      <c r="O6134">
        <v>0</v>
      </c>
      <c r="P6134">
        <v>1</v>
      </c>
      <c r="Q6134">
        <v>0</v>
      </c>
      <c r="R6134">
        <v>1</v>
      </c>
    </row>
    <row r="6135" spans="1:18" x14ac:dyDescent="0.45">
      <c r="A6135" s="19" t="s">
        <v>723</v>
      </c>
      <c r="B6135" s="19" t="s">
        <v>6</v>
      </c>
      <c r="C6135">
        <v>3</v>
      </c>
      <c r="D6135">
        <v>2</v>
      </c>
      <c r="E6135">
        <v>2</v>
      </c>
      <c r="F6135" s="15">
        <v>46279</v>
      </c>
      <c r="G6135" s="19" t="s">
        <v>730</v>
      </c>
      <c r="H6135">
        <v>4</v>
      </c>
      <c r="I6135">
        <v>2026</v>
      </c>
      <c r="J6135">
        <v>9</v>
      </c>
      <c r="K6135" s="19" t="s">
        <v>87</v>
      </c>
      <c r="L6135" s="19" t="s">
        <v>325</v>
      </c>
      <c r="M6135" s="19" t="s">
        <v>6</v>
      </c>
      <c r="N6135" t="b">
        <v>0</v>
      </c>
      <c r="O6135">
        <v>0</v>
      </c>
      <c r="P6135">
        <v>1</v>
      </c>
      <c r="Q6135">
        <v>0</v>
      </c>
      <c r="R6135">
        <v>0</v>
      </c>
    </row>
    <row r="6136" spans="1:18" x14ac:dyDescent="0.45">
      <c r="A6136" s="19" t="s">
        <v>723</v>
      </c>
      <c r="B6136" s="19" t="s">
        <v>6</v>
      </c>
      <c r="C6136">
        <v>3</v>
      </c>
      <c r="D6136">
        <v>2</v>
      </c>
      <c r="E6136">
        <v>2</v>
      </c>
      <c r="F6136" s="15">
        <v>46279</v>
      </c>
      <c r="G6136" s="19" t="s">
        <v>730</v>
      </c>
      <c r="H6136">
        <v>4</v>
      </c>
      <c r="I6136">
        <v>2026</v>
      </c>
      <c r="J6136">
        <v>9</v>
      </c>
      <c r="K6136" s="19" t="s">
        <v>87</v>
      </c>
      <c r="L6136" s="19" t="s">
        <v>10</v>
      </c>
      <c r="M6136" s="19" t="s">
        <v>6</v>
      </c>
      <c r="N6136" t="b">
        <v>0</v>
      </c>
      <c r="O6136">
        <v>0</v>
      </c>
      <c r="P6136">
        <v>1</v>
      </c>
      <c r="Q6136">
        <v>0</v>
      </c>
      <c r="R6136">
        <v>0</v>
      </c>
    </row>
    <row r="6137" spans="1:18" x14ac:dyDescent="0.45">
      <c r="A6137" s="19" t="s">
        <v>10</v>
      </c>
      <c r="B6137" s="19" t="s">
        <v>6</v>
      </c>
      <c r="C6137">
        <v>4</v>
      </c>
      <c r="D6137">
        <v>2</v>
      </c>
      <c r="E6137">
        <v>2</v>
      </c>
      <c r="F6137" s="15">
        <v>46279</v>
      </c>
      <c r="G6137" s="19" t="s">
        <v>730</v>
      </c>
      <c r="H6137">
        <v>4</v>
      </c>
      <c r="I6137">
        <v>2026</v>
      </c>
      <c r="J6137">
        <v>9</v>
      </c>
      <c r="K6137" s="19" t="s">
        <v>87</v>
      </c>
      <c r="L6137" s="19" t="s">
        <v>609</v>
      </c>
      <c r="M6137" s="19" t="s">
        <v>8</v>
      </c>
      <c r="N6137" t="b">
        <v>0</v>
      </c>
      <c r="O6137">
        <v>0</v>
      </c>
      <c r="P6137">
        <v>1</v>
      </c>
      <c r="Q6137">
        <v>0</v>
      </c>
      <c r="R6137">
        <v>1</v>
      </c>
    </row>
    <row r="6138" spans="1:18" x14ac:dyDescent="0.45">
      <c r="A6138" s="19" t="s">
        <v>10</v>
      </c>
      <c r="B6138" s="19" t="s">
        <v>6</v>
      </c>
      <c r="C6138">
        <v>4</v>
      </c>
      <c r="D6138">
        <v>2</v>
      </c>
      <c r="E6138">
        <v>2</v>
      </c>
      <c r="F6138" s="15">
        <v>46279</v>
      </c>
      <c r="G6138" s="19" t="s">
        <v>730</v>
      </c>
      <c r="H6138">
        <v>4</v>
      </c>
      <c r="I6138">
        <v>2026</v>
      </c>
      <c r="J6138">
        <v>9</v>
      </c>
      <c r="K6138" s="19" t="s">
        <v>87</v>
      </c>
      <c r="L6138" s="19" t="s">
        <v>325</v>
      </c>
      <c r="M6138" s="19" t="s">
        <v>6</v>
      </c>
      <c r="N6138" t="b">
        <v>0</v>
      </c>
      <c r="O6138">
        <v>0</v>
      </c>
      <c r="P6138">
        <v>1</v>
      </c>
      <c r="Q6138">
        <v>0</v>
      </c>
      <c r="R6138">
        <v>0</v>
      </c>
    </row>
    <row r="6139" spans="1:18" x14ac:dyDescent="0.45">
      <c r="A6139" s="19" t="s">
        <v>10</v>
      </c>
      <c r="B6139" s="19" t="s">
        <v>6</v>
      </c>
      <c r="C6139">
        <v>4</v>
      </c>
      <c r="D6139">
        <v>2</v>
      </c>
      <c r="E6139">
        <v>2</v>
      </c>
      <c r="F6139" s="15">
        <v>46279</v>
      </c>
      <c r="G6139" s="19" t="s">
        <v>730</v>
      </c>
      <c r="H6139">
        <v>4</v>
      </c>
      <c r="I6139">
        <v>2026</v>
      </c>
      <c r="J6139">
        <v>9</v>
      </c>
      <c r="K6139" s="19" t="s">
        <v>87</v>
      </c>
      <c r="L6139" s="19" t="s">
        <v>723</v>
      </c>
      <c r="M6139" s="19" t="s">
        <v>6</v>
      </c>
      <c r="N6139" t="b">
        <v>0</v>
      </c>
      <c r="O6139">
        <v>0</v>
      </c>
      <c r="P6139">
        <v>1</v>
      </c>
      <c r="Q6139">
        <v>0</v>
      </c>
      <c r="R6139">
        <v>0</v>
      </c>
    </row>
    <row r="6140" spans="1:18" x14ac:dyDescent="0.45">
      <c r="A6140" s="19" t="s">
        <v>9</v>
      </c>
      <c r="B6140" s="19" t="s">
        <v>63</v>
      </c>
      <c r="C6140">
        <v>1</v>
      </c>
      <c r="D6140">
        <v>3</v>
      </c>
      <c r="E6140">
        <v>2</v>
      </c>
      <c r="F6140" s="15">
        <v>46279</v>
      </c>
      <c r="G6140" s="19" t="s">
        <v>731</v>
      </c>
      <c r="H6140">
        <v>4</v>
      </c>
      <c r="I6140">
        <v>2026</v>
      </c>
      <c r="J6140">
        <v>9</v>
      </c>
      <c r="K6140" s="19" t="s">
        <v>87</v>
      </c>
      <c r="L6140" s="19" t="s">
        <v>19</v>
      </c>
      <c r="M6140" s="19" t="s">
        <v>63</v>
      </c>
      <c r="N6140" t="b">
        <v>0</v>
      </c>
      <c r="O6140">
        <v>0</v>
      </c>
      <c r="P6140">
        <v>0</v>
      </c>
      <c r="Q6140">
        <v>1</v>
      </c>
      <c r="R6140">
        <v>0</v>
      </c>
    </row>
    <row r="6141" spans="1:18" x14ac:dyDescent="0.45">
      <c r="A6141" s="19" t="s">
        <v>9</v>
      </c>
      <c r="B6141" s="19" t="s">
        <v>63</v>
      </c>
      <c r="C6141">
        <v>1</v>
      </c>
      <c r="D6141">
        <v>3</v>
      </c>
      <c r="E6141">
        <v>2</v>
      </c>
      <c r="F6141" s="15">
        <v>46279</v>
      </c>
      <c r="G6141" s="19" t="s">
        <v>731</v>
      </c>
      <c r="H6141">
        <v>4</v>
      </c>
      <c r="I6141">
        <v>2026</v>
      </c>
      <c r="J6141">
        <v>9</v>
      </c>
      <c r="K6141" s="19" t="s">
        <v>87</v>
      </c>
      <c r="L6141" s="19" t="s">
        <v>11</v>
      </c>
      <c r="M6141" s="19" t="s">
        <v>63</v>
      </c>
      <c r="N6141" t="b">
        <v>0</v>
      </c>
      <c r="O6141">
        <v>0</v>
      </c>
      <c r="P6141">
        <v>0</v>
      </c>
      <c r="Q6141">
        <v>1</v>
      </c>
      <c r="R6141">
        <v>0</v>
      </c>
    </row>
    <row r="6142" spans="1:18" x14ac:dyDescent="0.45">
      <c r="A6142" s="19" t="s">
        <v>9</v>
      </c>
      <c r="B6142" s="19" t="s">
        <v>63</v>
      </c>
      <c r="C6142">
        <v>1</v>
      </c>
      <c r="D6142">
        <v>3</v>
      </c>
      <c r="E6142">
        <v>2</v>
      </c>
      <c r="F6142" s="15">
        <v>46279</v>
      </c>
      <c r="G6142" s="19" t="s">
        <v>731</v>
      </c>
      <c r="H6142">
        <v>4</v>
      </c>
      <c r="I6142">
        <v>2026</v>
      </c>
      <c r="J6142">
        <v>9</v>
      </c>
      <c r="K6142" s="19" t="s">
        <v>87</v>
      </c>
      <c r="L6142" s="19" t="s">
        <v>7</v>
      </c>
      <c r="M6142" s="19" t="s">
        <v>63</v>
      </c>
      <c r="N6142" t="b">
        <v>0</v>
      </c>
      <c r="O6142">
        <v>0</v>
      </c>
      <c r="P6142">
        <v>0</v>
      </c>
      <c r="Q6142">
        <v>1</v>
      </c>
      <c r="R6142">
        <v>0</v>
      </c>
    </row>
    <row r="6143" spans="1:18" x14ac:dyDescent="0.45">
      <c r="A6143" s="19" t="s">
        <v>19</v>
      </c>
      <c r="B6143" s="19" t="s">
        <v>63</v>
      </c>
      <c r="C6143">
        <v>2</v>
      </c>
      <c r="D6143">
        <v>3</v>
      </c>
      <c r="E6143">
        <v>2</v>
      </c>
      <c r="F6143" s="15">
        <v>46279</v>
      </c>
      <c r="G6143" s="19" t="s">
        <v>731</v>
      </c>
      <c r="H6143">
        <v>4</v>
      </c>
      <c r="I6143">
        <v>2026</v>
      </c>
      <c r="J6143">
        <v>9</v>
      </c>
      <c r="K6143" s="19" t="s">
        <v>87</v>
      </c>
      <c r="L6143" s="19" t="s">
        <v>9</v>
      </c>
      <c r="M6143" s="19" t="s">
        <v>63</v>
      </c>
      <c r="N6143" t="b">
        <v>0</v>
      </c>
      <c r="O6143">
        <v>0</v>
      </c>
      <c r="P6143">
        <v>0</v>
      </c>
      <c r="Q6143">
        <v>1</v>
      </c>
      <c r="R6143">
        <v>0</v>
      </c>
    </row>
    <row r="6144" spans="1:18" x14ac:dyDescent="0.45">
      <c r="A6144" s="19" t="s">
        <v>19</v>
      </c>
      <c r="B6144" s="19" t="s">
        <v>63</v>
      </c>
      <c r="C6144">
        <v>2</v>
      </c>
      <c r="D6144">
        <v>3</v>
      </c>
      <c r="E6144">
        <v>2</v>
      </c>
      <c r="F6144" s="15">
        <v>46279</v>
      </c>
      <c r="G6144" s="19" t="s">
        <v>731</v>
      </c>
      <c r="H6144">
        <v>4</v>
      </c>
      <c r="I6144">
        <v>2026</v>
      </c>
      <c r="J6144">
        <v>9</v>
      </c>
      <c r="K6144" s="19" t="s">
        <v>87</v>
      </c>
      <c r="L6144" s="19" t="s">
        <v>11</v>
      </c>
      <c r="M6144" s="19" t="s">
        <v>63</v>
      </c>
      <c r="N6144" t="b">
        <v>0</v>
      </c>
      <c r="O6144">
        <v>0</v>
      </c>
      <c r="P6144">
        <v>0</v>
      </c>
      <c r="Q6144">
        <v>1</v>
      </c>
      <c r="R6144">
        <v>0</v>
      </c>
    </row>
    <row r="6145" spans="1:18" x14ac:dyDescent="0.45">
      <c r="A6145" s="19" t="s">
        <v>19</v>
      </c>
      <c r="B6145" s="19" t="s">
        <v>63</v>
      </c>
      <c r="C6145">
        <v>2</v>
      </c>
      <c r="D6145">
        <v>3</v>
      </c>
      <c r="E6145">
        <v>2</v>
      </c>
      <c r="F6145" s="15">
        <v>46279</v>
      </c>
      <c r="G6145" s="19" t="s">
        <v>731</v>
      </c>
      <c r="H6145">
        <v>4</v>
      </c>
      <c r="I6145">
        <v>2026</v>
      </c>
      <c r="J6145">
        <v>9</v>
      </c>
      <c r="K6145" s="19" t="s">
        <v>87</v>
      </c>
      <c r="L6145" s="19" t="s">
        <v>7</v>
      </c>
      <c r="M6145" s="19" t="s">
        <v>63</v>
      </c>
      <c r="N6145" t="b">
        <v>0</v>
      </c>
      <c r="O6145">
        <v>0</v>
      </c>
      <c r="P6145">
        <v>0</v>
      </c>
      <c r="Q6145">
        <v>1</v>
      </c>
      <c r="R6145">
        <v>0</v>
      </c>
    </row>
    <row r="6146" spans="1:18" x14ac:dyDescent="0.45">
      <c r="A6146" s="19" t="s">
        <v>11</v>
      </c>
      <c r="B6146" s="19" t="s">
        <v>63</v>
      </c>
      <c r="C6146">
        <v>3</v>
      </c>
      <c r="D6146">
        <v>3</v>
      </c>
      <c r="E6146">
        <v>2</v>
      </c>
      <c r="F6146" s="15">
        <v>46279</v>
      </c>
      <c r="G6146" s="19" t="s">
        <v>731</v>
      </c>
      <c r="H6146">
        <v>4</v>
      </c>
      <c r="I6146">
        <v>2026</v>
      </c>
      <c r="J6146">
        <v>9</v>
      </c>
      <c r="K6146" s="19" t="s">
        <v>87</v>
      </c>
      <c r="L6146" s="19" t="s">
        <v>9</v>
      </c>
      <c r="M6146" s="19" t="s">
        <v>63</v>
      </c>
      <c r="N6146" t="b">
        <v>0</v>
      </c>
      <c r="O6146">
        <v>0</v>
      </c>
      <c r="P6146">
        <v>0</v>
      </c>
      <c r="Q6146">
        <v>1</v>
      </c>
      <c r="R6146">
        <v>0</v>
      </c>
    </row>
    <row r="6147" spans="1:18" x14ac:dyDescent="0.45">
      <c r="A6147" s="19" t="s">
        <v>11</v>
      </c>
      <c r="B6147" s="19" t="s">
        <v>63</v>
      </c>
      <c r="C6147">
        <v>3</v>
      </c>
      <c r="D6147">
        <v>3</v>
      </c>
      <c r="E6147">
        <v>2</v>
      </c>
      <c r="F6147" s="15">
        <v>46279</v>
      </c>
      <c r="G6147" s="19" t="s">
        <v>731</v>
      </c>
      <c r="H6147">
        <v>4</v>
      </c>
      <c r="I6147">
        <v>2026</v>
      </c>
      <c r="J6147">
        <v>9</v>
      </c>
      <c r="K6147" s="19" t="s">
        <v>87</v>
      </c>
      <c r="L6147" s="19" t="s">
        <v>19</v>
      </c>
      <c r="M6147" s="19" t="s">
        <v>63</v>
      </c>
      <c r="N6147" t="b">
        <v>0</v>
      </c>
      <c r="O6147">
        <v>0</v>
      </c>
      <c r="P6147">
        <v>0</v>
      </c>
      <c r="Q6147">
        <v>1</v>
      </c>
      <c r="R6147">
        <v>0</v>
      </c>
    </row>
    <row r="6148" spans="1:18" x14ac:dyDescent="0.45">
      <c r="A6148" s="19" t="s">
        <v>11</v>
      </c>
      <c r="B6148" s="19" t="s">
        <v>63</v>
      </c>
      <c r="C6148">
        <v>3</v>
      </c>
      <c r="D6148">
        <v>3</v>
      </c>
      <c r="E6148">
        <v>2</v>
      </c>
      <c r="F6148" s="15">
        <v>46279</v>
      </c>
      <c r="G6148" s="19" t="s">
        <v>731</v>
      </c>
      <c r="H6148">
        <v>4</v>
      </c>
      <c r="I6148">
        <v>2026</v>
      </c>
      <c r="J6148">
        <v>9</v>
      </c>
      <c r="K6148" s="19" t="s">
        <v>87</v>
      </c>
      <c r="L6148" s="19" t="s">
        <v>7</v>
      </c>
      <c r="M6148" s="19" t="s">
        <v>63</v>
      </c>
      <c r="N6148" t="b">
        <v>0</v>
      </c>
      <c r="O6148">
        <v>0</v>
      </c>
      <c r="P6148">
        <v>0</v>
      </c>
      <c r="Q6148">
        <v>1</v>
      </c>
      <c r="R6148">
        <v>0</v>
      </c>
    </row>
    <row r="6149" spans="1:18" x14ac:dyDescent="0.45">
      <c r="A6149" s="19" t="s">
        <v>7</v>
      </c>
      <c r="B6149" s="19" t="s">
        <v>63</v>
      </c>
      <c r="C6149">
        <v>4</v>
      </c>
      <c r="D6149">
        <v>3</v>
      </c>
      <c r="E6149">
        <v>2</v>
      </c>
      <c r="F6149" s="15">
        <v>46279</v>
      </c>
      <c r="G6149" s="19" t="s">
        <v>731</v>
      </c>
      <c r="H6149">
        <v>4</v>
      </c>
      <c r="I6149">
        <v>2026</v>
      </c>
      <c r="J6149">
        <v>9</v>
      </c>
      <c r="K6149" s="19" t="s">
        <v>87</v>
      </c>
      <c r="L6149" s="19" t="s">
        <v>9</v>
      </c>
      <c r="M6149" s="19" t="s">
        <v>63</v>
      </c>
      <c r="N6149" t="b">
        <v>0</v>
      </c>
      <c r="O6149">
        <v>0</v>
      </c>
      <c r="P6149">
        <v>0</v>
      </c>
      <c r="Q6149">
        <v>1</v>
      </c>
      <c r="R6149">
        <v>0</v>
      </c>
    </row>
    <row r="6150" spans="1:18" x14ac:dyDescent="0.45">
      <c r="A6150" s="19" t="s">
        <v>7</v>
      </c>
      <c r="B6150" s="19" t="s">
        <v>63</v>
      </c>
      <c r="C6150">
        <v>4</v>
      </c>
      <c r="D6150">
        <v>3</v>
      </c>
      <c r="E6150">
        <v>2</v>
      </c>
      <c r="F6150" s="15">
        <v>46279</v>
      </c>
      <c r="G6150" s="19" t="s">
        <v>731</v>
      </c>
      <c r="H6150">
        <v>4</v>
      </c>
      <c r="I6150">
        <v>2026</v>
      </c>
      <c r="J6150">
        <v>9</v>
      </c>
      <c r="K6150" s="19" t="s">
        <v>87</v>
      </c>
      <c r="L6150" s="19" t="s">
        <v>19</v>
      </c>
      <c r="M6150" s="19" t="s">
        <v>63</v>
      </c>
      <c r="N6150" t="b">
        <v>0</v>
      </c>
      <c r="O6150">
        <v>0</v>
      </c>
      <c r="P6150">
        <v>0</v>
      </c>
      <c r="Q6150">
        <v>1</v>
      </c>
      <c r="R6150">
        <v>0</v>
      </c>
    </row>
    <row r="6151" spans="1:18" x14ac:dyDescent="0.45">
      <c r="A6151" s="19" t="s">
        <v>7</v>
      </c>
      <c r="B6151" s="19" t="s">
        <v>63</v>
      </c>
      <c r="C6151">
        <v>4</v>
      </c>
      <c r="D6151">
        <v>3</v>
      </c>
      <c r="E6151">
        <v>2</v>
      </c>
      <c r="F6151" s="15">
        <v>46279</v>
      </c>
      <c r="G6151" s="19" t="s">
        <v>731</v>
      </c>
      <c r="H6151">
        <v>4</v>
      </c>
      <c r="I6151">
        <v>2026</v>
      </c>
      <c r="J6151">
        <v>9</v>
      </c>
      <c r="K6151" s="19" t="s">
        <v>87</v>
      </c>
      <c r="L6151" s="19" t="s">
        <v>11</v>
      </c>
      <c r="M6151" s="19" t="s">
        <v>63</v>
      </c>
      <c r="N6151" t="b">
        <v>0</v>
      </c>
      <c r="O6151">
        <v>0</v>
      </c>
      <c r="P6151">
        <v>0</v>
      </c>
      <c r="Q6151">
        <v>1</v>
      </c>
      <c r="R6151">
        <v>0</v>
      </c>
    </row>
    <row r="6152" spans="1:18" x14ac:dyDescent="0.45">
      <c r="A6152" s="19" t="s">
        <v>519</v>
      </c>
      <c r="B6152" s="19" t="s">
        <v>6</v>
      </c>
      <c r="C6152">
        <v>1</v>
      </c>
      <c r="D6152">
        <v>4</v>
      </c>
      <c r="E6152">
        <v>2</v>
      </c>
      <c r="F6152" s="15">
        <v>46279</v>
      </c>
      <c r="G6152" s="19" t="s">
        <v>732</v>
      </c>
      <c r="H6152">
        <v>3</v>
      </c>
      <c r="I6152">
        <v>2026</v>
      </c>
      <c r="J6152">
        <v>9</v>
      </c>
      <c r="K6152" s="19" t="s">
        <v>87</v>
      </c>
      <c r="L6152" s="19" t="s">
        <v>15</v>
      </c>
      <c r="M6152" s="19" t="s">
        <v>8</v>
      </c>
      <c r="N6152" t="b">
        <v>0</v>
      </c>
      <c r="O6152">
        <v>0</v>
      </c>
      <c r="P6152">
        <v>1</v>
      </c>
      <c r="Q6152">
        <v>0</v>
      </c>
      <c r="R6152">
        <v>1</v>
      </c>
    </row>
    <row r="6153" spans="1:18" x14ac:dyDescent="0.45">
      <c r="A6153" s="19" t="s">
        <v>519</v>
      </c>
      <c r="B6153" s="19" t="s">
        <v>6</v>
      </c>
      <c r="C6153">
        <v>1</v>
      </c>
      <c r="D6153">
        <v>4</v>
      </c>
      <c r="E6153">
        <v>2</v>
      </c>
      <c r="F6153" s="15">
        <v>46279</v>
      </c>
      <c r="G6153" s="19" t="s">
        <v>732</v>
      </c>
      <c r="H6153">
        <v>3</v>
      </c>
      <c r="I6153">
        <v>2026</v>
      </c>
      <c r="J6153">
        <v>9</v>
      </c>
      <c r="K6153" s="19" t="s">
        <v>87</v>
      </c>
      <c r="L6153" s="19" t="s">
        <v>28</v>
      </c>
      <c r="M6153" s="19" t="s">
        <v>6</v>
      </c>
      <c r="N6153" t="b">
        <v>0</v>
      </c>
      <c r="O6153">
        <v>0</v>
      </c>
      <c r="P6153">
        <v>1</v>
      </c>
      <c r="Q6153">
        <v>0</v>
      </c>
      <c r="R6153">
        <v>0</v>
      </c>
    </row>
    <row r="6154" spans="1:18" x14ac:dyDescent="0.45">
      <c r="A6154" s="19" t="s">
        <v>15</v>
      </c>
      <c r="B6154" s="19" t="s">
        <v>8</v>
      </c>
      <c r="C6154">
        <v>2</v>
      </c>
      <c r="D6154">
        <v>4</v>
      </c>
      <c r="E6154">
        <v>2</v>
      </c>
      <c r="F6154" s="15">
        <v>46279</v>
      </c>
      <c r="G6154" s="19" t="s">
        <v>732</v>
      </c>
      <c r="H6154">
        <v>3</v>
      </c>
      <c r="I6154">
        <v>2026</v>
      </c>
      <c r="J6154">
        <v>9</v>
      </c>
      <c r="K6154" s="19" t="s">
        <v>87</v>
      </c>
      <c r="L6154" s="19" t="s">
        <v>519</v>
      </c>
      <c r="M6154" s="19" t="s">
        <v>6</v>
      </c>
      <c r="N6154" t="b">
        <v>0</v>
      </c>
      <c r="O6154">
        <v>1</v>
      </c>
      <c r="P6154">
        <v>0</v>
      </c>
      <c r="Q6154">
        <v>0</v>
      </c>
      <c r="R6154">
        <v>0</v>
      </c>
    </row>
    <row r="6155" spans="1:18" x14ac:dyDescent="0.45">
      <c r="A6155" s="19" t="s">
        <v>15</v>
      </c>
      <c r="B6155" s="19" t="s">
        <v>8</v>
      </c>
      <c r="C6155">
        <v>2</v>
      </c>
      <c r="D6155">
        <v>4</v>
      </c>
      <c r="E6155">
        <v>2</v>
      </c>
      <c r="F6155" s="15">
        <v>46279</v>
      </c>
      <c r="G6155" s="19" t="s">
        <v>732</v>
      </c>
      <c r="H6155">
        <v>3</v>
      </c>
      <c r="I6155">
        <v>2026</v>
      </c>
      <c r="J6155">
        <v>9</v>
      </c>
      <c r="K6155" s="19" t="s">
        <v>87</v>
      </c>
      <c r="L6155" s="19" t="s">
        <v>28</v>
      </c>
      <c r="M6155" s="19" t="s">
        <v>6</v>
      </c>
      <c r="N6155" t="b">
        <v>0</v>
      </c>
      <c r="O6155">
        <v>1</v>
      </c>
      <c r="P6155">
        <v>0</v>
      </c>
      <c r="Q6155">
        <v>0</v>
      </c>
      <c r="R6155">
        <v>0</v>
      </c>
    </row>
    <row r="6156" spans="1:18" x14ac:dyDescent="0.45">
      <c r="A6156" s="19" t="s">
        <v>28</v>
      </c>
      <c r="B6156" s="19" t="s">
        <v>6</v>
      </c>
      <c r="C6156">
        <v>3</v>
      </c>
      <c r="D6156">
        <v>4</v>
      </c>
      <c r="E6156">
        <v>2</v>
      </c>
      <c r="F6156" s="15">
        <v>46279</v>
      </c>
      <c r="G6156" s="19" t="s">
        <v>732</v>
      </c>
      <c r="H6156">
        <v>3</v>
      </c>
      <c r="I6156">
        <v>2026</v>
      </c>
      <c r="J6156">
        <v>9</v>
      </c>
      <c r="K6156" s="19" t="s">
        <v>87</v>
      </c>
      <c r="L6156" s="19" t="s">
        <v>519</v>
      </c>
      <c r="M6156" s="19" t="s">
        <v>6</v>
      </c>
      <c r="N6156" t="b">
        <v>0</v>
      </c>
      <c r="O6156">
        <v>0</v>
      </c>
      <c r="P6156">
        <v>1</v>
      </c>
      <c r="Q6156">
        <v>0</v>
      </c>
      <c r="R6156">
        <v>0</v>
      </c>
    </row>
    <row r="6157" spans="1:18" x14ac:dyDescent="0.45">
      <c r="A6157" s="19" t="s">
        <v>28</v>
      </c>
      <c r="B6157" s="19" t="s">
        <v>6</v>
      </c>
      <c r="C6157">
        <v>3</v>
      </c>
      <c r="D6157">
        <v>4</v>
      </c>
      <c r="E6157">
        <v>2</v>
      </c>
      <c r="F6157" s="15">
        <v>46279</v>
      </c>
      <c r="G6157" s="19" t="s">
        <v>732</v>
      </c>
      <c r="H6157">
        <v>3</v>
      </c>
      <c r="I6157">
        <v>2026</v>
      </c>
      <c r="J6157">
        <v>9</v>
      </c>
      <c r="K6157" s="19" t="s">
        <v>87</v>
      </c>
      <c r="L6157" s="19" t="s">
        <v>15</v>
      </c>
      <c r="M6157" s="19" t="s">
        <v>8</v>
      </c>
      <c r="N6157" t="b">
        <v>0</v>
      </c>
      <c r="O6157">
        <v>0</v>
      </c>
      <c r="P6157">
        <v>1</v>
      </c>
      <c r="Q6157">
        <v>0</v>
      </c>
      <c r="R6157">
        <v>1</v>
      </c>
    </row>
    <row r="6158" spans="1:18" x14ac:dyDescent="0.45">
      <c r="A6158" s="19" t="s">
        <v>20</v>
      </c>
      <c r="B6158" s="19" t="s">
        <v>63</v>
      </c>
      <c r="C6158">
        <v>1</v>
      </c>
      <c r="D6158">
        <v>5</v>
      </c>
      <c r="E6158">
        <v>2</v>
      </c>
      <c r="F6158" s="15">
        <v>46279</v>
      </c>
      <c r="G6158" s="19" t="s">
        <v>733</v>
      </c>
      <c r="H6158">
        <v>3</v>
      </c>
      <c r="I6158">
        <v>2026</v>
      </c>
      <c r="J6158">
        <v>9</v>
      </c>
      <c r="K6158" s="19" t="s">
        <v>87</v>
      </c>
      <c r="L6158" s="19" t="s">
        <v>13</v>
      </c>
      <c r="M6158" s="19" t="s">
        <v>63</v>
      </c>
      <c r="N6158" t="b">
        <v>0</v>
      </c>
      <c r="O6158">
        <v>0</v>
      </c>
      <c r="P6158">
        <v>0</v>
      </c>
      <c r="Q6158">
        <v>1</v>
      </c>
      <c r="R6158">
        <v>0</v>
      </c>
    </row>
    <row r="6159" spans="1:18" x14ac:dyDescent="0.45">
      <c r="A6159" s="19" t="s">
        <v>20</v>
      </c>
      <c r="B6159" s="19" t="s">
        <v>63</v>
      </c>
      <c r="C6159">
        <v>1</v>
      </c>
      <c r="D6159">
        <v>5</v>
      </c>
      <c r="E6159">
        <v>2</v>
      </c>
      <c r="F6159" s="15">
        <v>46279</v>
      </c>
      <c r="G6159" s="19" t="s">
        <v>733</v>
      </c>
      <c r="H6159">
        <v>3</v>
      </c>
      <c r="I6159">
        <v>2026</v>
      </c>
      <c r="J6159">
        <v>9</v>
      </c>
      <c r="K6159" s="19" t="s">
        <v>87</v>
      </c>
      <c r="L6159" s="19" t="s">
        <v>351</v>
      </c>
      <c r="M6159" s="19" t="s">
        <v>63</v>
      </c>
      <c r="N6159" t="b">
        <v>0</v>
      </c>
      <c r="O6159">
        <v>0</v>
      </c>
      <c r="P6159">
        <v>0</v>
      </c>
      <c r="Q6159">
        <v>1</v>
      </c>
      <c r="R6159">
        <v>0</v>
      </c>
    </row>
    <row r="6160" spans="1:18" x14ac:dyDescent="0.45">
      <c r="A6160" s="19" t="s">
        <v>13</v>
      </c>
      <c r="B6160" s="19" t="s">
        <v>63</v>
      </c>
      <c r="C6160">
        <v>2</v>
      </c>
      <c r="D6160">
        <v>5</v>
      </c>
      <c r="E6160">
        <v>2</v>
      </c>
      <c r="F6160" s="15">
        <v>46279</v>
      </c>
      <c r="G6160" s="19" t="s">
        <v>733</v>
      </c>
      <c r="H6160">
        <v>3</v>
      </c>
      <c r="I6160">
        <v>2026</v>
      </c>
      <c r="J6160">
        <v>9</v>
      </c>
      <c r="K6160" s="19" t="s">
        <v>87</v>
      </c>
      <c r="L6160" s="19" t="s">
        <v>20</v>
      </c>
      <c r="M6160" s="19" t="s">
        <v>63</v>
      </c>
      <c r="N6160" t="b">
        <v>0</v>
      </c>
      <c r="O6160">
        <v>0</v>
      </c>
      <c r="P6160">
        <v>0</v>
      </c>
      <c r="Q6160">
        <v>1</v>
      </c>
      <c r="R6160">
        <v>0</v>
      </c>
    </row>
    <row r="6161" spans="1:18" x14ac:dyDescent="0.45">
      <c r="A6161" s="19" t="s">
        <v>13</v>
      </c>
      <c r="B6161" s="19" t="s">
        <v>63</v>
      </c>
      <c r="C6161">
        <v>2</v>
      </c>
      <c r="D6161">
        <v>5</v>
      </c>
      <c r="E6161">
        <v>2</v>
      </c>
      <c r="F6161" s="15">
        <v>46279</v>
      </c>
      <c r="G6161" s="19" t="s">
        <v>733</v>
      </c>
      <c r="H6161">
        <v>3</v>
      </c>
      <c r="I6161">
        <v>2026</v>
      </c>
      <c r="J6161">
        <v>9</v>
      </c>
      <c r="K6161" s="19" t="s">
        <v>87</v>
      </c>
      <c r="L6161" s="19" t="s">
        <v>351</v>
      </c>
      <c r="M6161" s="19" t="s">
        <v>63</v>
      </c>
      <c r="N6161" t="b">
        <v>0</v>
      </c>
      <c r="O6161">
        <v>0</v>
      </c>
      <c r="P6161">
        <v>0</v>
      </c>
      <c r="Q6161">
        <v>1</v>
      </c>
      <c r="R6161">
        <v>0</v>
      </c>
    </row>
    <row r="6162" spans="1:18" x14ac:dyDescent="0.45">
      <c r="A6162" s="19" t="s">
        <v>351</v>
      </c>
      <c r="B6162" s="19" t="s">
        <v>63</v>
      </c>
      <c r="C6162">
        <v>3</v>
      </c>
      <c r="D6162">
        <v>5</v>
      </c>
      <c r="E6162">
        <v>2</v>
      </c>
      <c r="F6162" s="15">
        <v>46279</v>
      </c>
      <c r="G6162" s="19" t="s">
        <v>733</v>
      </c>
      <c r="H6162">
        <v>3</v>
      </c>
      <c r="I6162">
        <v>2026</v>
      </c>
      <c r="J6162">
        <v>9</v>
      </c>
      <c r="K6162" s="19" t="s">
        <v>87</v>
      </c>
      <c r="L6162" s="19" t="s">
        <v>20</v>
      </c>
      <c r="M6162" s="19" t="s">
        <v>63</v>
      </c>
      <c r="N6162" t="b">
        <v>0</v>
      </c>
      <c r="O6162">
        <v>0</v>
      </c>
      <c r="P6162">
        <v>0</v>
      </c>
      <c r="Q6162">
        <v>1</v>
      </c>
      <c r="R6162">
        <v>0</v>
      </c>
    </row>
    <row r="6163" spans="1:18" x14ac:dyDescent="0.45">
      <c r="A6163" s="19" t="s">
        <v>351</v>
      </c>
      <c r="B6163" s="19" t="s">
        <v>63</v>
      </c>
      <c r="C6163">
        <v>3</v>
      </c>
      <c r="D6163">
        <v>5</v>
      </c>
      <c r="E6163">
        <v>2</v>
      </c>
      <c r="F6163" s="15">
        <v>46279</v>
      </c>
      <c r="G6163" s="19" t="s">
        <v>733</v>
      </c>
      <c r="H6163">
        <v>3</v>
      </c>
      <c r="I6163">
        <v>2026</v>
      </c>
      <c r="J6163">
        <v>9</v>
      </c>
      <c r="K6163" s="19" t="s">
        <v>87</v>
      </c>
      <c r="L6163" s="19" t="s">
        <v>13</v>
      </c>
      <c r="M6163" s="19" t="s">
        <v>63</v>
      </c>
      <c r="N6163" t="b">
        <v>0</v>
      </c>
      <c r="O6163">
        <v>0</v>
      </c>
      <c r="P6163">
        <v>0</v>
      </c>
      <c r="Q6163">
        <v>1</v>
      </c>
      <c r="R6163">
        <v>0</v>
      </c>
    </row>
    <row r="6164" spans="1:18" x14ac:dyDescent="0.45">
      <c r="A6164" s="19" t="s">
        <v>519</v>
      </c>
      <c r="B6164" s="19" t="s">
        <v>6</v>
      </c>
      <c r="C6164">
        <v>1</v>
      </c>
      <c r="D6164">
        <v>1</v>
      </c>
      <c r="E6164">
        <v>1</v>
      </c>
      <c r="F6164" s="15">
        <v>46286</v>
      </c>
      <c r="G6164" s="19" t="s">
        <v>735</v>
      </c>
      <c r="H6164">
        <v>4</v>
      </c>
      <c r="I6164">
        <v>2026</v>
      </c>
      <c r="J6164">
        <v>9</v>
      </c>
      <c r="K6164" s="19" t="s">
        <v>87</v>
      </c>
      <c r="L6164" s="19" t="s">
        <v>15</v>
      </c>
      <c r="M6164" s="19" t="s">
        <v>8</v>
      </c>
      <c r="N6164" t="b">
        <v>0</v>
      </c>
      <c r="O6164">
        <v>0</v>
      </c>
      <c r="P6164">
        <v>1</v>
      </c>
      <c r="Q6164">
        <v>0</v>
      </c>
      <c r="R6164">
        <v>1</v>
      </c>
    </row>
    <row r="6165" spans="1:18" x14ac:dyDescent="0.45">
      <c r="A6165" s="19" t="s">
        <v>519</v>
      </c>
      <c r="B6165" s="19" t="s">
        <v>6</v>
      </c>
      <c r="C6165">
        <v>1</v>
      </c>
      <c r="D6165">
        <v>1</v>
      </c>
      <c r="E6165">
        <v>1</v>
      </c>
      <c r="F6165" s="15">
        <v>46286</v>
      </c>
      <c r="G6165" s="19" t="s">
        <v>735</v>
      </c>
      <c r="H6165">
        <v>4</v>
      </c>
      <c r="I6165">
        <v>2026</v>
      </c>
      <c r="J6165">
        <v>9</v>
      </c>
      <c r="K6165" s="19" t="s">
        <v>87</v>
      </c>
      <c r="L6165" s="19" t="s">
        <v>27</v>
      </c>
      <c r="M6165" s="19" t="s">
        <v>6</v>
      </c>
      <c r="N6165" t="b">
        <v>0</v>
      </c>
      <c r="O6165">
        <v>0</v>
      </c>
      <c r="P6165">
        <v>1</v>
      </c>
      <c r="Q6165">
        <v>0</v>
      </c>
      <c r="R6165">
        <v>0</v>
      </c>
    </row>
    <row r="6166" spans="1:18" x14ac:dyDescent="0.45">
      <c r="A6166" s="19" t="s">
        <v>519</v>
      </c>
      <c r="B6166" s="19" t="s">
        <v>6</v>
      </c>
      <c r="C6166">
        <v>1</v>
      </c>
      <c r="D6166">
        <v>1</v>
      </c>
      <c r="E6166">
        <v>1</v>
      </c>
      <c r="F6166" s="15">
        <v>46286</v>
      </c>
      <c r="G6166" s="19" t="s">
        <v>735</v>
      </c>
      <c r="H6166">
        <v>4</v>
      </c>
      <c r="I6166">
        <v>2026</v>
      </c>
      <c r="J6166">
        <v>9</v>
      </c>
      <c r="K6166" s="19" t="s">
        <v>87</v>
      </c>
      <c r="L6166" s="19" t="s">
        <v>19</v>
      </c>
      <c r="M6166" s="19" t="s">
        <v>6</v>
      </c>
      <c r="N6166" t="b">
        <v>0</v>
      </c>
      <c r="O6166">
        <v>0</v>
      </c>
      <c r="P6166">
        <v>1</v>
      </c>
      <c r="Q6166">
        <v>0</v>
      </c>
      <c r="R6166">
        <v>0</v>
      </c>
    </row>
    <row r="6167" spans="1:18" x14ac:dyDescent="0.45">
      <c r="A6167" s="19" t="s">
        <v>15</v>
      </c>
      <c r="B6167" s="19" t="s">
        <v>8</v>
      </c>
      <c r="C6167">
        <v>2</v>
      </c>
      <c r="D6167">
        <v>1</v>
      </c>
      <c r="E6167">
        <v>1</v>
      </c>
      <c r="F6167" s="15">
        <v>46286</v>
      </c>
      <c r="G6167" s="19" t="s">
        <v>735</v>
      </c>
      <c r="H6167">
        <v>4</v>
      </c>
      <c r="I6167">
        <v>2026</v>
      </c>
      <c r="J6167">
        <v>9</v>
      </c>
      <c r="K6167" s="19" t="s">
        <v>87</v>
      </c>
      <c r="L6167" s="19" t="s">
        <v>519</v>
      </c>
      <c r="M6167" s="19" t="s">
        <v>6</v>
      </c>
      <c r="N6167" t="b">
        <v>0</v>
      </c>
      <c r="O6167">
        <v>1</v>
      </c>
      <c r="P6167">
        <v>0</v>
      </c>
      <c r="Q6167">
        <v>0</v>
      </c>
      <c r="R6167">
        <v>0</v>
      </c>
    </row>
    <row r="6168" spans="1:18" x14ac:dyDescent="0.45">
      <c r="A6168" s="19" t="s">
        <v>15</v>
      </c>
      <c r="B6168" s="19" t="s">
        <v>8</v>
      </c>
      <c r="C6168">
        <v>2</v>
      </c>
      <c r="D6168">
        <v>1</v>
      </c>
      <c r="E6168">
        <v>1</v>
      </c>
      <c r="F6168" s="15">
        <v>46286</v>
      </c>
      <c r="G6168" s="19" t="s">
        <v>735</v>
      </c>
      <c r="H6168">
        <v>4</v>
      </c>
      <c r="I6168">
        <v>2026</v>
      </c>
      <c r="J6168">
        <v>9</v>
      </c>
      <c r="K6168" s="19" t="s">
        <v>87</v>
      </c>
      <c r="L6168" s="19" t="s">
        <v>27</v>
      </c>
      <c r="M6168" s="19" t="s">
        <v>6</v>
      </c>
      <c r="N6168" t="b">
        <v>0</v>
      </c>
      <c r="O6168">
        <v>1</v>
      </c>
      <c r="P6168">
        <v>0</v>
      </c>
      <c r="Q6168">
        <v>0</v>
      </c>
      <c r="R6168">
        <v>0</v>
      </c>
    </row>
    <row r="6169" spans="1:18" x14ac:dyDescent="0.45">
      <c r="A6169" s="19" t="s">
        <v>15</v>
      </c>
      <c r="B6169" s="19" t="s">
        <v>8</v>
      </c>
      <c r="C6169">
        <v>2</v>
      </c>
      <c r="D6169">
        <v>1</v>
      </c>
      <c r="E6169">
        <v>1</v>
      </c>
      <c r="F6169" s="15">
        <v>46286</v>
      </c>
      <c r="G6169" s="19" t="s">
        <v>735</v>
      </c>
      <c r="H6169">
        <v>4</v>
      </c>
      <c r="I6169">
        <v>2026</v>
      </c>
      <c r="J6169">
        <v>9</v>
      </c>
      <c r="K6169" s="19" t="s">
        <v>87</v>
      </c>
      <c r="L6169" s="19" t="s">
        <v>19</v>
      </c>
      <c r="M6169" s="19" t="s">
        <v>6</v>
      </c>
      <c r="N6169" t="b">
        <v>0</v>
      </c>
      <c r="O6169">
        <v>1</v>
      </c>
      <c r="P6169">
        <v>0</v>
      </c>
      <c r="Q6169">
        <v>0</v>
      </c>
      <c r="R6169">
        <v>0</v>
      </c>
    </row>
    <row r="6170" spans="1:18" x14ac:dyDescent="0.45">
      <c r="A6170" s="19" t="s">
        <v>27</v>
      </c>
      <c r="B6170" s="19" t="s">
        <v>6</v>
      </c>
      <c r="C6170">
        <v>3</v>
      </c>
      <c r="D6170">
        <v>1</v>
      </c>
      <c r="E6170">
        <v>1</v>
      </c>
      <c r="F6170" s="15">
        <v>46286</v>
      </c>
      <c r="G6170" s="19" t="s">
        <v>735</v>
      </c>
      <c r="H6170">
        <v>4</v>
      </c>
      <c r="I6170">
        <v>2026</v>
      </c>
      <c r="J6170">
        <v>9</v>
      </c>
      <c r="K6170" s="19" t="s">
        <v>87</v>
      </c>
      <c r="L6170" s="19" t="s">
        <v>519</v>
      </c>
      <c r="M6170" s="19" t="s">
        <v>6</v>
      </c>
      <c r="N6170" t="b">
        <v>0</v>
      </c>
      <c r="O6170">
        <v>0</v>
      </c>
      <c r="P6170">
        <v>1</v>
      </c>
      <c r="Q6170">
        <v>0</v>
      </c>
      <c r="R6170">
        <v>0</v>
      </c>
    </row>
    <row r="6171" spans="1:18" x14ac:dyDescent="0.45">
      <c r="A6171" s="19" t="s">
        <v>27</v>
      </c>
      <c r="B6171" s="19" t="s">
        <v>6</v>
      </c>
      <c r="C6171">
        <v>3</v>
      </c>
      <c r="D6171">
        <v>1</v>
      </c>
      <c r="E6171">
        <v>1</v>
      </c>
      <c r="F6171" s="15">
        <v>46286</v>
      </c>
      <c r="G6171" s="19" t="s">
        <v>735</v>
      </c>
      <c r="H6171">
        <v>4</v>
      </c>
      <c r="I6171">
        <v>2026</v>
      </c>
      <c r="J6171">
        <v>9</v>
      </c>
      <c r="K6171" s="19" t="s">
        <v>87</v>
      </c>
      <c r="L6171" s="19" t="s">
        <v>15</v>
      </c>
      <c r="M6171" s="19" t="s">
        <v>8</v>
      </c>
      <c r="N6171" t="b">
        <v>0</v>
      </c>
      <c r="O6171">
        <v>0</v>
      </c>
      <c r="P6171">
        <v>1</v>
      </c>
      <c r="Q6171">
        <v>0</v>
      </c>
      <c r="R6171">
        <v>1</v>
      </c>
    </row>
    <row r="6172" spans="1:18" x14ac:dyDescent="0.45">
      <c r="A6172" s="19" t="s">
        <v>27</v>
      </c>
      <c r="B6172" s="19" t="s">
        <v>6</v>
      </c>
      <c r="C6172">
        <v>3</v>
      </c>
      <c r="D6172">
        <v>1</v>
      </c>
      <c r="E6172">
        <v>1</v>
      </c>
      <c r="F6172" s="15">
        <v>46286</v>
      </c>
      <c r="G6172" s="19" t="s">
        <v>735</v>
      </c>
      <c r="H6172">
        <v>4</v>
      </c>
      <c r="I6172">
        <v>2026</v>
      </c>
      <c r="J6172">
        <v>9</v>
      </c>
      <c r="K6172" s="19" t="s">
        <v>87</v>
      </c>
      <c r="L6172" s="19" t="s">
        <v>19</v>
      </c>
      <c r="M6172" s="19" t="s">
        <v>6</v>
      </c>
      <c r="N6172" t="b">
        <v>0</v>
      </c>
      <c r="O6172">
        <v>0</v>
      </c>
      <c r="P6172">
        <v>1</v>
      </c>
      <c r="Q6172">
        <v>0</v>
      </c>
      <c r="R6172">
        <v>0</v>
      </c>
    </row>
    <row r="6173" spans="1:18" x14ac:dyDescent="0.45">
      <c r="A6173" s="19" t="s">
        <v>19</v>
      </c>
      <c r="B6173" s="19" t="s">
        <v>6</v>
      </c>
      <c r="C6173">
        <v>4</v>
      </c>
      <c r="D6173">
        <v>1</v>
      </c>
      <c r="E6173">
        <v>1</v>
      </c>
      <c r="F6173" s="15">
        <v>46286</v>
      </c>
      <c r="G6173" s="19" t="s">
        <v>735</v>
      </c>
      <c r="H6173">
        <v>4</v>
      </c>
      <c r="I6173">
        <v>2026</v>
      </c>
      <c r="J6173">
        <v>9</v>
      </c>
      <c r="K6173" s="19" t="s">
        <v>87</v>
      </c>
      <c r="L6173" s="19" t="s">
        <v>519</v>
      </c>
      <c r="M6173" s="19" t="s">
        <v>6</v>
      </c>
      <c r="N6173" t="b">
        <v>0</v>
      </c>
      <c r="O6173">
        <v>0</v>
      </c>
      <c r="P6173">
        <v>1</v>
      </c>
      <c r="Q6173">
        <v>0</v>
      </c>
      <c r="R6173">
        <v>0</v>
      </c>
    </row>
    <row r="6174" spans="1:18" x14ac:dyDescent="0.45">
      <c r="A6174" s="19" t="s">
        <v>19</v>
      </c>
      <c r="B6174" s="19" t="s">
        <v>6</v>
      </c>
      <c r="C6174">
        <v>4</v>
      </c>
      <c r="D6174">
        <v>1</v>
      </c>
      <c r="E6174">
        <v>1</v>
      </c>
      <c r="F6174" s="15">
        <v>46286</v>
      </c>
      <c r="G6174" s="19" t="s">
        <v>735</v>
      </c>
      <c r="H6174">
        <v>4</v>
      </c>
      <c r="I6174">
        <v>2026</v>
      </c>
      <c r="J6174">
        <v>9</v>
      </c>
      <c r="K6174" s="19" t="s">
        <v>87</v>
      </c>
      <c r="L6174" s="19" t="s">
        <v>15</v>
      </c>
      <c r="M6174" s="19" t="s">
        <v>8</v>
      </c>
      <c r="N6174" t="b">
        <v>0</v>
      </c>
      <c r="O6174">
        <v>0</v>
      </c>
      <c r="P6174">
        <v>1</v>
      </c>
      <c r="Q6174">
        <v>0</v>
      </c>
      <c r="R6174">
        <v>1</v>
      </c>
    </row>
    <row r="6175" spans="1:18" x14ac:dyDescent="0.45">
      <c r="A6175" s="19" t="s">
        <v>19</v>
      </c>
      <c r="B6175" s="19" t="s">
        <v>6</v>
      </c>
      <c r="C6175">
        <v>4</v>
      </c>
      <c r="D6175">
        <v>1</v>
      </c>
      <c r="E6175">
        <v>1</v>
      </c>
      <c r="F6175" s="15">
        <v>46286</v>
      </c>
      <c r="G6175" s="19" t="s">
        <v>735</v>
      </c>
      <c r="H6175">
        <v>4</v>
      </c>
      <c r="I6175">
        <v>2026</v>
      </c>
      <c r="J6175">
        <v>9</v>
      </c>
      <c r="K6175" s="19" t="s">
        <v>87</v>
      </c>
      <c r="L6175" s="19" t="s">
        <v>27</v>
      </c>
      <c r="M6175" s="19" t="s">
        <v>6</v>
      </c>
      <c r="N6175" t="b">
        <v>0</v>
      </c>
      <c r="O6175">
        <v>0</v>
      </c>
      <c r="P6175">
        <v>1</v>
      </c>
      <c r="Q6175">
        <v>0</v>
      </c>
      <c r="R6175">
        <v>0</v>
      </c>
    </row>
    <row r="6176" spans="1:18" x14ac:dyDescent="0.45">
      <c r="A6176" s="19" t="s">
        <v>351</v>
      </c>
      <c r="B6176" s="19" t="s">
        <v>63</v>
      </c>
      <c r="C6176">
        <v>1</v>
      </c>
      <c r="D6176">
        <v>2</v>
      </c>
      <c r="E6176">
        <v>1</v>
      </c>
      <c r="F6176" s="15">
        <v>46286</v>
      </c>
      <c r="G6176" s="19" t="s">
        <v>736</v>
      </c>
      <c r="H6176">
        <v>4</v>
      </c>
      <c r="I6176">
        <v>2026</v>
      </c>
      <c r="J6176">
        <v>9</v>
      </c>
      <c r="K6176" s="19" t="s">
        <v>87</v>
      </c>
      <c r="L6176" s="19" t="s">
        <v>11</v>
      </c>
      <c r="M6176" s="19" t="s">
        <v>63</v>
      </c>
      <c r="N6176" t="b">
        <v>0</v>
      </c>
      <c r="O6176">
        <v>0</v>
      </c>
      <c r="P6176">
        <v>0</v>
      </c>
      <c r="Q6176">
        <v>1</v>
      </c>
      <c r="R6176">
        <v>0</v>
      </c>
    </row>
    <row r="6177" spans="1:18" x14ac:dyDescent="0.45">
      <c r="A6177" s="19" t="s">
        <v>351</v>
      </c>
      <c r="B6177" s="19" t="s">
        <v>63</v>
      </c>
      <c r="C6177">
        <v>1</v>
      </c>
      <c r="D6177">
        <v>2</v>
      </c>
      <c r="E6177">
        <v>1</v>
      </c>
      <c r="F6177" s="15">
        <v>46286</v>
      </c>
      <c r="G6177" s="19" t="s">
        <v>736</v>
      </c>
      <c r="H6177">
        <v>4</v>
      </c>
      <c r="I6177">
        <v>2026</v>
      </c>
      <c r="J6177">
        <v>9</v>
      </c>
      <c r="K6177" s="19" t="s">
        <v>87</v>
      </c>
      <c r="L6177" s="19" t="s">
        <v>723</v>
      </c>
      <c r="M6177" s="19" t="s">
        <v>63</v>
      </c>
      <c r="N6177" t="b">
        <v>0</v>
      </c>
      <c r="O6177">
        <v>0</v>
      </c>
      <c r="P6177">
        <v>0</v>
      </c>
      <c r="Q6177">
        <v>1</v>
      </c>
      <c r="R6177">
        <v>0</v>
      </c>
    </row>
    <row r="6178" spans="1:18" x14ac:dyDescent="0.45">
      <c r="A6178" s="19" t="s">
        <v>351</v>
      </c>
      <c r="B6178" s="19" t="s">
        <v>63</v>
      </c>
      <c r="C6178">
        <v>1</v>
      </c>
      <c r="D6178">
        <v>2</v>
      </c>
      <c r="E6178">
        <v>1</v>
      </c>
      <c r="F6178" s="15">
        <v>46286</v>
      </c>
      <c r="G6178" s="19" t="s">
        <v>736</v>
      </c>
      <c r="H6178">
        <v>4</v>
      </c>
      <c r="I6178">
        <v>2026</v>
      </c>
      <c r="J6178">
        <v>9</v>
      </c>
      <c r="K6178" s="19" t="s">
        <v>87</v>
      </c>
      <c r="L6178" s="19" t="s">
        <v>402</v>
      </c>
      <c r="M6178" s="19" t="s">
        <v>63</v>
      </c>
      <c r="N6178" t="b">
        <v>0</v>
      </c>
      <c r="O6178">
        <v>0</v>
      </c>
      <c r="P6178">
        <v>0</v>
      </c>
      <c r="Q6178">
        <v>1</v>
      </c>
      <c r="R6178">
        <v>0</v>
      </c>
    </row>
    <row r="6179" spans="1:18" x14ac:dyDescent="0.45">
      <c r="A6179" s="19" t="s">
        <v>11</v>
      </c>
      <c r="B6179" s="19" t="s">
        <v>63</v>
      </c>
      <c r="C6179">
        <v>2</v>
      </c>
      <c r="D6179">
        <v>2</v>
      </c>
      <c r="E6179">
        <v>1</v>
      </c>
      <c r="F6179" s="15">
        <v>46286</v>
      </c>
      <c r="G6179" s="19" t="s">
        <v>736</v>
      </c>
      <c r="H6179">
        <v>4</v>
      </c>
      <c r="I6179">
        <v>2026</v>
      </c>
      <c r="J6179">
        <v>9</v>
      </c>
      <c r="K6179" s="19" t="s">
        <v>87</v>
      </c>
      <c r="L6179" s="19" t="s">
        <v>351</v>
      </c>
      <c r="M6179" s="19" t="s">
        <v>63</v>
      </c>
      <c r="N6179" t="b">
        <v>0</v>
      </c>
      <c r="O6179">
        <v>0</v>
      </c>
      <c r="P6179">
        <v>0</v>
      </c>
      <c r="Q6179">
        <v>1</v>
      </c>
      <c r="R6179">
        <v>0</v>
      </c>
    </row>
    <row r="6180" spans="1:18" x14ac:dyDescent="0.45">
      <c r="A6180" s="19" t="s">
        <v>11</v>
      </c>
      <c r="B6180" s="19" t="s">
        <v>63</v>
      </c>
      <c r="C6180">
        <v>2</v>
      </c>
      <c r="D6180">
        <v>2</v>
      </c>
      <c r="E6180">
        <v>1</v>
      </c>
      <c r="F6180" s="15">
        <v>46286</v>
      </c>
      <c r="G6180" s="19" t="s">
        <v>736</v>
      </c>
      <c r="H6180">
        <v>4</v>
      </c>
      <c r="I6180">
        <v>2026</v>
      </c>
      <c r="J6180">
        <v>9</v>
      </c>
      <c r="K6180" s="19" t="s">
        <v>87</v>
      </c>
      <c r="L6180" s="19" t="s">
        <v>723</v>
      </c>
      <c r="M6180" s="19" t="s">
        <v>63</v>
      </c>
      <c r="N6180" t="b">
        <v>0</v>
      </c>
      <c r="O6180">
        <v>0</v>
      </c>
      <c r="P6180">
        <v>0</v>
      </c>
      <c r="Q6180">
        <v>1</v>
      </c>
      <c r="R6180">
        <v>0</v>
      </c>
    </row>
    <row r="6181" spans="1:18" x14ac:dyDescent="0.45">
      <c r="A6181" s="19" t="s">
        <v>11</v>
      </c>
      <c r="B6181" s="19" t="s">
        <v>63</v>
      </c>
      <c r="C6181">
        <v>2</v>
      </c>
      <c r="D6181">
        <v>2</v>
      </c>
      <c r="E6181">
        <v>1</v>
      </c>
      <c r="F6181" s="15">
        <v>46286</v>
      </c>
      <c r="G6181" s="19" t="s">
        <v>736</v>
      </c>
      <c r="H6181">
        <v>4</v>
      </c>
      <c r="I6181">
        <v>2026</v>
      </c>
      <c r="J6181">
        <v>9</v>
      </c>
      <c r="K6181" s="19" t="s">
        <v>87</v>
      </c>
      <c r="L6181" s="19" t="s">
        <v>402</v>
      </c>
      <c r="M6181" s="19" t="s">
        <v>63</v>
      </c>
      <c r="N6181" t="b">
        <v>0</v>
      </c>
      <c r="O6181">
        <v>0</v>
      </c>
      <c r="P6181">
        <v>0</v>
      </c>
      <c r="Q6181">
        <v>1</v>
      </c>
      <c r="R6181">
        <v>0</v>
      </c>
    </row>
    <row r="6182" spans="1:18" x14ac:dyDescent="0.45">
      <c r="A6182" s="19" t="s">
        <v>723</v>
      </c>
      <c r="B6182" s="19" t="s">
        <v>63</v>
      </c>
      <c r="C6182">
        <v>3</v>
      </c>
      <c r="D6182">
        <v>2</v>
      </c>
      <c r="E6182">
        <v>1</v>
      </c>
      <c r="F6182" s="15">
        <v>46286</v>
      </c>
      <c r="G6182" s="19" t="s">
        <v>736</v>
      </c>
      <c r="H6182">
        <v>4</v>
      </c>
      <c r="I6182">
        <v>2026</v>
      </c>
      <c r="J6182">
        <v>9</v>
      </c>
      <c r="K6182" s="19" t="s">
        <v>87</v>
      </c>
      <c r="L6182" s="19" t="s">
        <v>351</v>
      </c>
      <c r="M6182" s="19" t="s">
        <v>63</v>
      </c>
      <c r="N6182" t="b">
        <v>0</v>
      </c>
      <c r="O6182">
        <v>0</v>
      </c>
      <c r="P6182">
        <v>0</v>
      </c>
      <c r="Q6182">
        <v>1</v>
      </c>
      <c r="R6182">
        <v>0</v>
      </c>
    </row>
    <row r="6183" spans="1:18" x14ac:dyDescent="0.45">
      <c r="A6183" s="19" t="s">
        <v>723</v>
      </c>
      <c r="B6183" s="19" t="s">
        <v>63</v>
      </c>
      <c r="C6183">
        <v>3</v>
      </c>
      <c r="D6183">
        <v>2</v>
      </c>
      <c r="E6183">
        <v>1</v>
      </c>
      <c r="F6183" s="15">
        <v>46286</v>
      </c>
      <c r="G6183" s="19" t="s">
        <v>736</v>
      </c>
      <c r="H6183">
        <v>4</v>
      </c>
      <c r="I6183">
        <v>2026</v>
      </c>
      <c r="J6183">
        <v>9</v>
      </c>
      <c r="K6183" s="19" t="s">
        <v>87</v>
      </c>
      <c r="L6183" s="19" t="s">
        <v>11</v>
      </c>
      <c r="M6183" s="19" t="s">
        <v>63</v>
      </c>
      <c r="N6183" t="b">
        <v>0</v>
      </c>
      <c r="O6183">
        <v>0</v>
      </c>
      <c r="P6183">
        <v>0</v>
      </c>
      <c r="Q6183">
        <v>1</v>
      </c>
      <c r="R6183">
        <v>0</v>
      </c>
    </row>
    <row r="6184" spans="1:18" x14ac:dyDescent="0.45">
      <c r="A6184" s="19" t="s">
        <v>723</v>
      </c>
      <c r="B6184" s="19" t="s">
        <v>63</v>
      </c>
      <c r="C6184">
        <v>3</v>
      </c>
      <c r="D6184">
        <v>2</v>
      </c>
      <c r="E6184">
        <v>1</v>
      </c>
      <c r="F6184" s="15">
        <v>46286</v>
      </c>
      <c r="G6184" s="19" t="s">
        <v>736</v>
      </c>
      <c r="H6184">
        <v>4</v>
      </c>
      <c r="I6184">
        <v>2026</v>
      </c>
      <c r="J6184">
        <v>9</v>
      </c>
      <c r="K6184" s="19" t="s">
        <v>87</v>
      </c>
      <c r="L6184" s="19" t="s">
        <v>402</v>
      </c>
      <c r="M6184" s="19" t="s">
        <v>63</v>
      </c>
      <c r="N6184" t="b">
        <v>0</v>
      </c>
      <c r="O6184">
        <v>0</v>
      </c>
      <c r="P6184">
        <v>0</v>
      </c>
      <c r="Q6184">
        <v>1</v>
      </c>
      <c r="R6184">
        <v>0</v>
      </c>
    </row>
    <row r="6185" spans="1:18" x14ac:dyDescent="0.45">
      <c r="A6185" s="19" t="s">
        <v>402</v>
      </c>
      <c r="B6185" s="19" t="s">
        <v>63</v>
      </c>
      <c r="C6185">
        <v>4</v>
      </c>
      <c r="D6185">
        <v>2</v>
      </c>
      <c r="E6185">
        <v>1</v>
      </c>
      <c r="F6185" s="15">
        <v>46286</v>
      </c>
      <c r="G6185" s="19" t="s">
        <v>736</v>
      </c>
      <c r="H6185">
        <v>4</v>
      </c>
      <c r="I6185">
        <v>2026</v>
      </c>
      <c r="J6185">
        <v>9</v>
      </c>
      <c r="K6185" s="19" t="s">
        <v>87</v>
      </c>
      <c r="L6185" s="19" t="s">
        <v>351</v>
      </c>
      <c r="M6185" s="19" t="s">
        <v>63</v>
      </c>
      <c r="N6185" t="b">
        <v>0</v>
      </c>
      <c r="O6185">
        <v>0</v>
      </c>
      <c r="P6185">
        <v>0</v>
      </c>
      <c r="Q6185">
        <v>1</v>
      </c>
      <c r="R6185">
        <v>0</v>
      </c>
    </row>
    <row r="6186" spans="1:18" x14ac:dyDescent="0.45">
      <c r="A6186" s="19" t="s">
        <v>402</v>
      </c>
      <c r="B6186" s="19" t="s">
        <v>63</v>
      </c>
      <c r="C6186">
        <v>4</v>
      </c>
      <c r="D6186">
        <v>2</v>
      </c>
      <c r="E6186">
        <v>1</v>
      </c>
      <c r="F6186" s="15">
        <v>46286</v>
      </c>
      <c r="G6186" s="19" t="s">
        <v>736</v>
      </c>
      <c r="H6186">
        <v>4</v>
      </c>
      <c r="I6186">
        <v>2026</v>
      </c>
      <c r="J6186">
        <v>9</v>
      </c>
      <c r="K6186" s="19" t="s">
        <v>87</v>
      </c>
      <c r="L6186" s="19" t="s">
        <v>11</v>
      </c>
      <c r="M6186" s="19" t="s">
        <v>63</v>
      </c>
      <c r="N6186" t="b">
        <v>0</v>
      </c>
      <c r="O6186">
        <v>0</v>
      </c>
      <c r="P6186">
        <v>0</v>
      </c>
      <c r="Q6186">
        <v>1</v>
      </c>
      <c r="R6186">
        <v>0</v>
      </c>
    </row>
    <row r="6187" spans="1:18" x14ac:dyDescent="0.45">
      <c r="A6187" s="19" t="s">
        <v>402</v>
      </c>
      <c r="B6187" s="19" t="s">
        <v>63</v>
      </c>
      <c r="C6187">
        <v>4</v>
      </c>
      <c r="D6187">
        <v>2</v>
      </c>
      <c r="E6187">
        <v>1</v>
      </c>
      <c r="F6187" s="15">
        <v>46286</v>
      </c>
      <c r="G6187" s="19" t="s">
        <v>736</v>
      </c>
      <c r="H6187">
        <v>4</v>
      </c>
      <c r="I6187">
        <v>2026</v>
      </c>
      <c r="J6187">
        <v>9</v>
      </c>
      <c r="K6187" s="19" t="s">
        <v>87</v>
      </c>
      <c r="L6187" s="19" t="s">
        <v>723</v>
      </c>
      <c r="M6187" s="19" t="s">
        <v>63</v>
      </c>
      <c r="N6187" t="b">
        <v>0</v>
      </c>
      <c r="O6187">
        <v>0</v>
      </c>
      <c r="P6187">
        <v>0</v>
      </c>
      <c r="Q6187">
        <v>1</v>
      </c>
      <c r="R6187">
        <v>0</v>
      </c>
    </row>
    <row r="6188" spans="1:18" x14ac:dyDescent="0.45">
      <c r="A6188" s="19" t="s">
        <v>13</v>
      </c>
      <c r="B6188" s="19" t="s">
        <v>6</v>
      </c>
      <c r="C6188">
        <v>1</v>
      </c>
      <c r="D6188">
        <v>3</v>
      </c>
      <c r="E6188">
        <v>1</v>
      </c>
      <c r="F6188" s="15">
        <v>46286</v>
      </c>
      <c r="G6188" s="19" t="s">
        <v>737</v>
      </c>
      <c r="H6188">
        <v>4</v>
      </c>
      <c r="I6188">
        <v>2026</v>
      </c>
      <c r="J6188">
        <v>9</v>
      </c>
      <c r="K6188" s="19" t="s">
        <v>87</v>
      </c>
      <c r="L6188" s="19" t="s">
        <v>578</v>
      </c>
      <c r="M6188" s="19" t="s">
        <v>8</v>
      </c>
      <c r="N6188" t="b">
        <v>0</v>
      </c>
      <c r="O6188">
        <v>0</v>
      </c>
      <c r="P6188">
        <v>1</v>
      </c>
      <c r="Q6188">
        <v>0</v>
      </c>
      <c r="R6188">
        <v>1</v>
      </c>
    </row>
    <row r="6189" spans="1:18" x14ac:dyDescent="0.45">
      <c r="A6189" s="19" t="s">
        <v>13</v>
      </c>
      <c r="B6189" s="19" t="s">
        <v>6</v>
      </c>
      <c r="C6189">
        <v>1</v>
      </c>
      <c r="D6189">
        <v>3</v>
      </c>
      <c r="E6189">
        <v>1</v>
      </c>
      <c r="F6189" s="15">
        <v>46286</v>
      </c>
      <c r="G6189" s="19" t="s">
        <v>737</v>
      </c>
      <c r="H6189">
        <v>4</v>
      </c>
      <c r="I6189">
        <v>2026</v>
      </c>
      <c r="J6189">
        <v>9</v>
      </c>
      <c r="K6189" s="19" t="s">
        <v>87</v>
      </c>
      <c r="L6189" s="19" t="s">
        <v>9</v>
      </c>
      <c r="M6189" s="19" t="s">
        <v>6</v>
      </c>
      <c r="N6189" t="b">
        <v>0</v>
      </c>
      <c r="O6189">
        <v>0</v>
      </c>
      <c r="P6189">
        <v>1</v>
      </c>
      <c r="Q6189">
        <v>0</v>
      </c>
      <c r="R6189">
        <v>0</v>
      </c>
    </row>
    <row r="6190" spans="1:18" x14ac:dyDescent="0.45">
      <c r="A6190" s="19" t="s">
        <v>13</v>
      </c>
      <c r="B6190" s="19" t="s">
        <v>6</v>
      </c>
      <c r="C6190">
        <v>1</v>
      </c>
      <c r="D6190">
        <v>3</v>
      </c>
      <c r="E6190">
        <v>1</v>
      </c>
      <c r="F6190" s="15">
        <v>46286</v>
      </c>
      <c r="G6190" s="19" t="s">
        <v>737</v>
      </c>
      <c r="H6190">
        <v>4</v>
      </c>
      <c r="I6190">
        <v>2026</v>
      </c>
      <c r="J6190">
        <v>9</v>
      </c>
      <c r="K6190" s="19" t="s">
        <v>87</v>
      </c>
      <c r="L6190" s="19" t="s">
        <v>325</v>
      </c>
      <c r="M6190" s="19" t="s">
        <v>6</v>
      </c>
      <c r="N6190" t="b">
        <v>0</v>
      </c>
      <c r="O6190">
        <v>0</v>
      </c>
      <c r="P6190">
        <v>1</v>
      </c>
      <c r="Q6190">
        <v>0</v>
      </c>
      <c r="R6190">
        <v>0</v>
      </c>
    </row>
    <row r="6191" spans="1:18" x14ac:dyDescent="0.45">
      <c r="A6191" s="19" t="s">
        <v>578</v>
      </c>
      <c r="B6191" s="19" t="s">
        <v>8</v>
      </c>
      <c r="C6191">
        <v>2</v>
      </c>
      <c r="D6191">
        <v>3</v>
      </c>
      <c r="E6191">
        <v>1</v>
      </c>
      <c r="F6191" s="15">
        <v>46286</v>
      </c>
      <c r="G6191" s="19" t="s">
        <v>737</v>
      </c>
      <c r="H6191">
        <v>4</v>
      </c>
      <c r="I6191">
        <v>2026</v>
      </c>
      <c r="J6191">
        <v>9</v>
      </c>
      <c r="K6191" s="19" t="s">
        <v>87</v>
      </c>
      <c r="L6191" s="19" t="s">
        <v>13</v>
      </c>
      <c r="M6191" s="19" t="s">
        <v>6</v>
      </c>
      <c r="N6191" t="b">
        <v>0</v>
      </c>
      <c r="O6191">
        <v>1</v>
      </c>
      <c r="P6191">
        <v>0</v>
      </c>
      <c r="Q6191">
        <v>0</v>
      </c>
      <c r="R6191">
        <v>0</v>
      </c>
    </row>
    <row r="6192" spans="1:18" x14ac:dyDescent="0.45">
      <c r="A6192" s="19" t="s">
        <v>578</v>
      </c>
      <c r="B6192" s="19" t="s">
        <v>8</v>
      </c>
      <c r="C6192">
        <v>2</v>
      </c>
      <c r="D6192">
        <v>3</v>
      </c>
      <c r="E6192">
        <v>1</v>
      </c>
      <c r="F6192" s="15">
        <v>46286</v>
      </c>
      <c r="G6192" s="19" t="s">
        <v>737</v>
      </c>
      <c r="H6192">
        <v>4</v>
      </c>
      <c r="I6192">
        <v>2026</v>
      </c>
      <c r="J6192">
        <v>9</v>
      </c>
      <c r="K6192" s="19" t="s">
        <v>87</v>
      </c>
      <c r="L6192" s="19" t="s">
        <v>9</v>
      </c>
      <c r="M6192" s="19" t="s">
        <v>6</v>
      </c>
      <c r="N6192" t="b">
        <v>0</v>
      </c>
      <c r="O6192">
        <v>1</v>
      </c>
      <c r="P6192">
        <v>0</v>
      </c>
      <c r="Q6192">
        <v>0</v>
      </c>
      <c r="R6192">
        <v>0</v>
      </c>
    </row>
    <row r="6193" spans="1:18" x14ac:dyDescent="0.45">
      <c r="A6193" s="19" t="s">
        <v>578</v>
      </c>
      <c r="B6193" s="19" t="s">
        <v>8</v>
      </c>
      <c r="C6193">
        <v>2</v>
      </c>
      <c r="D6193">
        <v>3</v>
      </c>
      <c r="E6193">
        <v>1</v>
      </c>
      <c r="F6193" s="15">
        <v>46286</v>
      </c>
      <c r="G6193" s="19" t="s">
        <v>737</v>
      </c>
      <c r="H6193">
        <v>4</v>
      </c>
      <c r="I6193">
        <v>2026</v>
      </c>
      <c r="J6193">
        <v>9</v>
      </c>
      <c r="K6193" s="19" t="s">
        <v>87</v>
      </c>
      <c r="L6193" s="19" t="s">
        <v>325</v>
      </c>
      <c r="M6193" s="19" t="s">
        <v>6</v>
      </c>
      <c r="N6193" t="b">
        <v>0</v>
      </c>
      <c r="O6193">
        <v>1</v>
      </c>
      <c r="P6193">
        <v>0</v>
      </c>
      <c r="Q6193">
        <v>0</v>
      </c>
      <c r="R6193">
        <v>0</v>
      </c>
    </row>
    <row r="6194" spans="1:18" x14ac:dyDescent="0.45">
      <c r="A6194" s="19" t="s">
        <v>9</v>
      </c>
      <c r="B6194" s="19" t="s">
        <v>6</v>
      </c>
      <c r="C6194">
        <v>3</v>
      </c>
      <c r="D6194">
        <v>3</v>
      </c>
      <c r="E6194">
        <v>1</v>
      </c>
      <c r="F6194" s="15">
        <v>46286</v>
      </c>
      <c r="G6194" s="19" t="s">
        <v>737</v>
      </c>
      <c r="H6194">
        <v>4</v>
      </c>
      <c r="I6194">
        <v>2026</v>
      </c>
      <c r="J6194">
        <v>9</v>
      </c>
      <c r="K6194" s="19" t="s">
        <v>87</v>
      </c>
      <c r="L6194" s="19" t="s">
        <v>13</v>
      </c>
      <c r="M6194" s="19" t="s">
        <v>6</v>
      </c>
      <c r="N6194" t="b">
        <v>0</v>
      </c>
      <c r="O6194">
        <v>0</v>
      </c>
      <c r="P6194">
        <v>1</v>
      </c>
      <c r="Q6194">
        <v>0</v>
      </c>
      <c r="R6194">
        <v>0</v>
      </c>
    </row>
    <row r="6195" spans="1:18" x14ac:dyDescent="0.45">
      <c r="A6195" s="19" t="s">
        <v>9</v>
      </c>
      <c r="B6195" s="19" t="s">
        <v>6</v>
      </c>
      <c r="C6195">
        <v>3</v>
      </c>
      <c r="D6195">
        <v>3</v>
      </c>
      <c r="E6195">
        <v>1</v>
      </c>
      <c r="F6195" s="15">
        <v>46286</v>
      </c>
      <c r="G6195" s="19" t="s">
        <v>737</v>
      </c>
      <c r="H6195">
        <v>4</v>
      </c>
      <c r="I6195">
        <v>2026</v>
      </c>
      <c r="J6195">
        <v>9</v>
      </c>
      <c r="K6195" s="19" t="s">
        <v>87</v>
      </c>
      <c r="L6195" s="19" t="s">
        <v>578</v>
      </c>
      <c r="M6195" s="19" t="s">
        <v>8</v>
      </c>
      <c r="N6195" t="b">
        <v>0</v>
      </c>
      <c r="O6195">
        <v>0</v>
      </c>
      <c r="P6195">
        <v>1</v>
      </c>
      <c r="Q6195">
        <v>0</v>
      </c>
      <c r="R6195">
        <v>1</v>
      </c>
    </row>
    <row r="6196" spans="1:18" x14ac:dyDescent="0.45">
      <c r="A6196" s="19" t="s">
        <v>9</v>
      </c>
      <c r="B6196" s="19" t="s">
        <v>6</v>
      </c>
      <c r="C6196">
        <v>3</v>
      </c>
      <c r="D6196">
        <v>3</v>
      </c>
      <c r="E6196">
        <v>1</v>
      </c>
      <c r="F6196" s="15">
        <v>46286</v>
      </c>
      <c r="G6196" s="19" t="s">
        <v>737</v>
      </c>
      <c r="H6196">
        <v>4</v>
      </c>
      <c r="I6196">
        <v>2026</v>
      </c>
      <c r="J6196">
        <v>9</v>
      </c>
      <c r="K6196" s="19" t="s">
        <v>87</v>
      </c>
      <c r="L6196" s="19" t="s">
        <v>325</v>
      </c>
      <c r="M6196" s="19" t="s">
        <v>6</v>
      </c>
      <c r="N6196" t="b">
        <v>0</v>
      </c>
      <c r="O6196">
        <v>0</v>
      </c>
      <c r="P6196">
        <v>1</v>
      </c>
      <c r="Q6196">
        <v>0</v>
      </c>
      <c r="R6196">
        <v>0</v>
      </c>
    </row>
    <row r="6197" spans="1:18" x14ac:dyDescent="0.45">
      <c r="A6197" s="19" t="s">
        <v>325</v>
      </c>
      <c r="B6197" s="19" t="s">
        <v>6</v>
      </c>
      <c r="C6197">
        <v>4</v>
      </c>
      <c r="D6197">
        <v>3</v>
      </c>
      <c r="E6197">
        <v>1</v>
      </c>
      <c r="F6197" s="15">
        <v>46286</v>
      </c>
      <c r="G6197" s="19" t="s">
        <v>737</v>
      </c>
      <c r="H6197">
        <v>4</v>
      </c>
      <c r="I6197">
        <v>2026</v>
      </c>
      <c r="J6197">
        <v>9</v>
      </c>
      <c r="K6197" s="19" t="s">
        <v>87</v>
      </c>
      <c r="L6197" s="19" t="s">
        <v>13</v>
      </c>
      <c r="M6197" s="19" t="s">
        <v>6</v>
      </c>
      <c r="N6197" t="b">
        <v>0</v>
      </c>
      <c r="O6197">
        <v>0</v>
      </c>
      <c r="P6197">
        <v>1</v>
      </c>
      <c r="Q6197">
        <v>0</v>
      </c>
      <c r="R6197">
        <v>0</v>
      </c>
    </row>
    <row r="6198" spans="1:18" x14ac:dyDescent="0.45">
      <c r="A6198" s="19" t="s">
        <v>325</v>
      </c>
      <c r="B6198" s="19" t="s">
        <v>6</v>
      </c>
      <c r="C6198">
        <v>4</v>
      </c>
      <c r="D6198">
        <v>3</v>
      </c>
      <c r="E6198">
        <v>1</v>
      </c>
      <c r="F6198" s="15">
        <v>46286</v>
      </c>
      <c r="G6198" s="19" t="s">
        <v>737</v>
      </c>
      <c r="H6198">
        <v>4</v>
      </c>
      <c r="I6198">
        <v>2026</v>
      </c>
      <c r="J6198">
        <v>9</v>
      </c>
      <c r="K6198" s="19" t="s">
        <v>87</v>
      </c>
      <c r="L6198" s="19" t="s">
        <v>578</v>
      </c>
      <c r="M6198" s="19" t="s">
        <v>8</v>
      </c>
      <c r="N6198" t="b">
        <v>0</v>
      </c>
      <c r="O6198">
        <v>0</v>
      </c>
      <c r="P6198">
        <v>1</v>
      </c>
      <c r="Q6198">
        <v>0</v>
      </c>
      <c r="R6198">
        <v>1</v>
      </c>
    </row>
    <row r="6199" spans="1:18" x14ac:dyDescent="0.45">
      <c r="A6199" s="19" t="s">
        <v>325</v>
      </c>
      <c r="B6199" s="19" t="s">
        <v>6</v>
      </c>
      <c r="C6199">
        <v>4</v>
      </c>
      <c r="D6199">
        <v>3</v>
      </c>
      <c r="E6199">
        <v>1</v>
      </c>
      <c r="F6199" s="15">
        <v>46286</v>
      </c>
      <c r="G6199" s="19" t="s">
        <v>737</v>
      </c>
      <c r="H6199">
        <v>4</v>
      </c>
      <c r="I6199">
        <v>2026</v>
      </c>
      <c r="J6199">
        <v>9</v>
      </c>
      <c r="K6199" s="19" t="s">
        <v>87</v>
      </c>
      <c r="L6199" s="19" t="s">
        <v>9</v>
      </c>
      <c r="M6199" s="19" t="s">
        <v>6</v>
      </c>
      <c r="N6199" t="b">
        <v>0</v>
      </c>
      <c r="O6199">
        <v>0</v>
      </c>
      <c r="P6199">
        <v>1</v>
      </c>
      <c r="Q6199">
        <v>0</v>
      </c>
      <c r="R6199">
        <v>0</v>
      </c>
    </row>
    <row r="6200" spans="1:18" x14ac:dyDescent="0.45">
      <c r="A6200" s="19" t="s">
        <v>609</v>
      </c>
      <c r="B6200" s="19" t="s">
        <v>6</v>
      </c>
      <c r="C6200">
        <v>1</v>
      </c>
      <c r="D6200">
        <v>4</v>
      </c>
      <c r="E6200">
        <v>1</v>
      </c>
      <c r="F6200" s="15">
        <v>46286</v>
      </c>
      <c r="G6200" s="19" t="s">
        <v>738</v>
      </c>
      <c r="H6200">
        <v>4</v>
      </c>
      <c r="I6200">
        <v>2026</v>
      </c>
      <c r="J6200">
        <v>9</v>
      </c>
      <c r="K6200" s="19" t="s">
        <v>87</v>
      </c>
      <c r="L6200" s="19" t="s">
        <v>10</v>
      </c>
      <c r="M6200" s="19" t="s">
        <v>6</v>
      </c>
      <c r="N6200" t="b">
        <v>0</v>
      </c>
      <c r="O6200">
        <v>0</v>
      </c>
      <c r="P6200">
        <v>1</v>
      </c>
      <c r="Q6200">
        <v>0</v>
      </c>
      <c r="R6200">
        <v>0</v>
      </c>
    </row>
    <row r="6201" spans="1:18" x14ac:dyDescent="0.45">
      <c r="A6201" s="19" t="s">
        <v>609</v>
      </c>
      <c r="B6201" s="19" t="s">
        <v>6</v>
      </c>
      <c r="C6201">
        <v>1</v>
      </c>
      <c r="D6201">
        <v>4</v>
      </c>
      <c r="E6201">
        <v>1</v>
      </c>
      <c r="F6201" s="15">
        <v>46286</v>
      </c>
      <c r="G6201" s="19" t="s">
        <v>738</v>
      </c>
      <c r="H6201">
        <v>4</v>
      </c>
      <c r="I6201">
        <v>2026</v>
      </c>
      <c r="J6201">
        <v>9</v>
      </c>
      <c r="K6201" s="19" t="s">
        <v>87</v>
      </c>
      <c r="L6201" s="19" t="s">
        <v>540</v>
      </c>
      <c r="M6201" s="19" t="s">
        <v>6</v>
      </c>
      <c r="N6201" t="b">
        <v>0</v>
      </c>
      <c r="O6201">
        <v>0</v>
      </c>
      <c r="P6201">
        <v>1</v>
      </c>
      <c r="Q6201">
        <v>0</v>
      </c>
      <c r="R6201">
        <v>0</v>
      </c>
    </row>
    <row r="6202" spans="1:18" x14ac:dyDescent="0.45">
      <c r="A6202" s="19" t="s">
        <v>609</v>
      </c>
      <c r="B6202" s="19" t="s">
        <v>6</v>
      </c>
      <c r="C6202">
        <v>1</v>
      </c>
      <c r="D6202">
        <v>4</v>
      </c>
      <c r="E6202">
        <v>1</v>
      </c>
      <c r="F6202" s="15">
        <v>46286</v>
      </c>
      <c r="G6202" s="19" t="s">
        <v>738</v>
      </c>
      <c r="H6202">
        <v>4</v>
      </c>
      <c r="I6202">
        <v>2026</v>
      </c>
      <c r="J6202">
        <v>9</v>
      </c>
      <c r="K6202" s="19" t="s">
        <v>87</v>
      </c>
      <c r="L6202" s="19" t="s">
        <v>14</v>
      </c>
      <c r="M6202" s="19" t="s">
        <v>8</v>
      </c>
      <c r="N6202" t="b">
        <v>0</v>
      </c>
      <c r="O6202">
        <v>0</v>
      </c>
      <c r="P6202">
        <v>1</v>
      </c>
      <c r="Q6202">
        <v>0</v>
      </c>
      <c r="R6202">
        <v>1</v>
      </c>
    </row>
    <row r="6203" spans="1:18" x14ac:dyDescent="0.45">
      <c r="A6203" s="19" t="s">
        <v>10</v>
      </c>
      <c r="B6203" s="19" t="s">
        <v>6</v>
      </c>
      <c r="C6203">
        <v>2</v>
      </c>
      <c r="D6203">
        <v>4</v>
      </c>
      <c r="E6203">
        <v>1</v>
      </c>
      <c r="F6203" s="15">
        <v>46286</v>
      </c>
      <c r="G6203" s="19" t="s">
        <v>738</v>
      </c>
      <c r="H6203">
        <v>4</v>
      </c>
      <c r="I6203">
        <v>2026</v>
      </c>
      <c r="J6203">
        <v>9</v>
      </c>
      <c r="K6203" s="19" t="s">
        <v>87</v>
      </c>
      <c r="L6203" s="19" t="s">
        <v>609</v>
      </c>
      <c r="M6203" s="19" t="s">
        <v>6</v>
      </c>
      <c r="N6203" t="b">
        <v>0</v>
      </c>
      <c r="O6203">
        <v>0</v>
      </c>
      <c r="P6203">
        <v>1</v>
      </c>
      <c r="Q6203">
        <v>0</v>
      </c>
      <c r="R6203">
        <v>0</v>
      </c>
    </row>
    <row r="6204" spans="1:18" x14ac:dyDescent="0.45">
      <c r="A6204" s="19" t="s">
        <v>10</v>
      </c>
      <c r="B6204" s="19" t="s">
        <v>6</v>
      </c>
      <c r="C6204">
        <v>2</v>
      </c>
      <c r="D6204">
        <v>4</v>
      </c>
      <c r="E6204">
        <v>1</v>
      </c>
      <c r="F6204" s="15">
        <v>46286</v>
      </c>
      <c r="G6204" s="19" t="s">
        <v>738</v>
      </c>
      <c r="H6204">
        <v>4</v>
      </c>
      <c r="I6204">
        <v>2026</v>
      </c>
      <c r="J6204">
        <v>9</v>
      </c>
      <c r="K6204" s="19" t="s">
        <v>87</v>
      </c>
      <c r="L6204" s="19" t="s">
        <v>540</v>
      </c>
      <c r="M6204" s="19" t="s">
        <v>6</v>
      </c>
      <c r="N6204" t="b">
        <v>0</v>
      </c>
      <c r="O6204">
        <v>0</v>
      </c>
      <c r="P6204">
        <v>1</v>
      </c>
      <c r="Q6204">
        <v>0</v>
      </c>
      <c r="R6204">
        <v>0</v>
      </c>
    </row>
    <row r="6205" spans="1:18" x14ac:dyDescent="0.45">
      <c r="A6205" s="19" t="s">
        <v>10</v>
      </c>
      <c r="B6205" s="19" t="s">
        <v>6</v>
      </c>
      <c r="C6205">
        <v>2</v>
      </c>
      <c r="D6205">
        <v>4</v>
      </c>
      <c r="E6205">
        <v>1</v>
      </c>
      <c r="F6205" s="15">
        <v>46286</v>
      </c>
      <c r="G6205" s="19" t="s">
        <v>738</v>
      </c>
      <c r="H6205">
        <v>4</v>
      </c>
      <c r="I6205">
        <v>2026</v>
      </c>
      <c r="J6205">
        <v>9</v>
      </c>
      <c r="K6205" s="19" t="s">
        <v>87</v>
      </c>
      <c r="L6205" s="19" t="s">
        <v>14</v>
      </c>
      <c r="M6205" s="19" t="s">
        <v>8</v>
      </c>
      <c r="N6205" t="b">
        <v>0</v>
      </c>
      <c r="O6205">
        <v>0</v>
      </c>
      <c r="P6205">
        <v>1</v>
      </c>
      <c r="Q6205">
        <v>0</v>
      </c>
      <c r="R6205">
        <v>1</v>
      </c>
    </row>
    <row r="6206" spans="1:18" x14ac:dyDescent="0.45">
      <c r="A6206" s="19" t="s">
        <v>540</v>
      </c>
      <c r="B6206" s="19" t="s">
        <v>6</v>
      </c>
      <c r="C6206">
        <v>3</v>
      </c>
      <c r="D6206">
        <v>4</v>
      </c>
      <c r="E6206">
        <v>1</v>
      </c>
      <c r="F6206" s="15">
        <v>46286</v>
      </c>
      <c r="G6206" s="19" t="s">
        <v>738</v>
      </c>
      <c r="H6206">
        <v>4</v>
      </c>
      <c r="I6206">
        <v>2026</v>
      </c>
      <c r="J6206">
        <v>9</v>
      </c>
      <c r="K6206" s="19" t="s">
        <v>87</v>
      </c>
      <c r="L6206" s="19" t="s">
        <v>609</v>
      </c>
      <c r="M6206" s="19" t="s">
        <v>6</v>
      </c>
      <c r="N6206" t="b">
        <v>0</v>
      </c>
      <c r="O6206">
        <v>0</v>
      </c>
      <c r="P6206">
        <v>1</v>
      </c>
      <c r="Q6206">
        <v>0</v>
      </c>
      <c r="R6206">
        <v>0</v>
      </c>
    </row>
    <row r="6207" spans="1:18" x14ac:dyDescent="0.45">
      <c r="A6207" s="19" t="s">
        <v>540</v>
      </c>
      <c r="B6207" s="19" t="s">
        <v>6</v>
      </c>
      <c r="C6207">
        <v>3</v>
      </c>
      <c r="D6207">
        <v>4</v>
      </c>
      <c r="E6207">
        <v>1</v>
      </c>
      <c r="F6207" s="15">
        <v>46286</v>
      </c>
      <c r="G6207" s="19" t="s">
        <v>738</v>
      </c>
      <c r="H6207">
        <v>4</v>
      </c>
      <c r="I6207">
        <v>2026</v>
      </c>
      <c r="J6207">
        <v>9</v>
      </c>
      <c r="K6207" s="19" t="s">
        <v>87</v>
      </c>
      <c r="L6207" s="19" t="s">
        <v>10</v>
      </c>
      <c r="M6207" s="19" t="s">
        <v>6</v>
      </c>
      <c r="N6207" t="b">
        <v>0</v>
      </c>
      <c r="O6207">
        <v>0</v>
      </c>
      <c r="P6207">
        <v>1</v>
      </c>
      <c r="Q6207">
        <v>0</v>
      </c>
      <c r="R6207">
        <v>0</v>
      </c>
    </row>
    <row r="6208" spans="1:18" x14ac:dyDescent="0.45">
      <c r="A6208" s="19" t="s">
        <v>540</v>
      </c>
      <c r="B6208" s="19" t="s">
        <v>6</v>
      </c>
      <c r="C6208">
        <v>3</v>
      </c>
      <c r="D6208">
        <v>4</v>
      </c>
      <c r="E6208">
        <v>1</v>
      </c>
      <c r="F6208" s="15">
        <v>46286</v>
      </c>
      <c r="G6208" s="19" t="s">
        <v>738</v>
      </c>
      <c r="H6208">
        <v>4</v>
      </c>
      <c r="I6208">
        <v>2026</v>
      </c>
      <c r="J6208">
        <v>9</v>
      </c>
      <c r="K6208" s="19" t="s">
        <v>87</v>
      </c>
      <c r="L6208" s="19" t="s">
        <v>14</v>
      </c>
      <c r="M6208" s="19" t="s">
        <v>8</v>
      </c>
      <c r="N6208" t="b">
        <v>0</v>
      </c>
      <c r="O6208">
        <v>0</v>
      </c>
      <c r="P6208">
        <v>1</v>
      </c>
      <c r="Q6208">
        <v>0</v>
      </c>
      <c r="R6208">
        <v>1</v>
      </c>
    </row>
    <row r="6209" spans="1:18" x14ac:dyDescent="0.45">
      <c r="A6209" s="19" t="s">
        <v>14</v>
      </c>
      <c r="B6209" s="19" t="s">
        <v>8</v>
      </c>
      <c r="C6209">
        <v>4</v>
      </c>
      <c r="D6209">
        <v>4</v>
      </c>
      <c r="E6209">
        <v>1</v>
      </c>
      <c r="F6209" s="15">
        <v>46286</v>
      </c>
      <c r="G6209" s="19" t="s">
        <v>738</v>
      </c>
      <c r="H6209">
        <v>4</v>
      </c>
      <c r="I6209">
        <v>2026</v>
      </c>
      <c r="J6209">
        <v>9</v>
      </c>
      <c r="K6209" s="19" t="s">
        <v>87</v>
      </c>
      <c r="L6209" s="19" t="s">
        <v>609</v>
      </c>
      <c r="M6209" s="19" t="s">
        <v>6</v>
      </c>
      <c r="N6209" t="b">
        <v>0</v>
      </c>
      <c r="O6209">
        <v>1</v>
      </c>
      <c r="P6209">
        <v>0</v>
      </c>
      <c r="Q6209">
        <v>0</v>
      </c>
      <c r="R6209">
        <v>0</v>
      </c>
    </row>
    <row r="6210" spans="1:18" x14ac:dyDescent="0.45">
      <c r="A6210" s="19" t="s">
        <v>14</v>
      </c>
      <c r="B6210" s="19" t="s">
        <v>8</v>
      </c>
      <c r="C6210">
        <v>4</v>
      </c>
      <c r="D6210">
        <v>4</v>
      </c>
      <c r="E6210">
        <v>1</v>
      </c>
      <c r="F6210" s="15">
        <v>46286</v>
      </c>
      <c r="G6210" s="19" t="s">
        <v>738</v>
      </c>
      <c r="H6210">
        <v>4</v>
      </c>
      <c r="I6210">
        <v>2026</v>
      </c>
      <c r="J6210">
        <v>9</v>
      </c>
      <c r="K6210" s="19" t="s">
        <v>87</v>
      </c>
      <c r="L6210" s="19" t="s">
        <v>10</v>
      </c>
      <c r="M6210" s="19" t="s">
        <v>6</v>
      </c>
      <c r="N6210" t="b">
        <v>0</v>
      </c>
      <c r="O6210">
        <v>1</v>
      </c>
      <c r="P6210">
        <v>0</v>
      </c>
      <c r="Q6210">
        <v>0</v>
      </c>
      <c r="R6210">
        <v>0</v>
      </c>
    </row>
    <row r="6211" spans="1:18" x14ac:dyDescent="0.45">
      <c r="A6211" s="19" t="s">
        <v>14</v>
      </c>
      <c r="B6211" s="19" t="s">
        <v>8</v>
      </c>
      <c r="C6211">
        <v>4</v>
      </c>
      <c r="D6211">
        <v>4</v>
      </c>
      <c r="E6211">
        <v>1</v>
      </c>
      <c r="F6211" s="15">
        <v>46286</v>
      </c>
      <c r="G6211" s="19" t="s">
        <v>738</v>
      </c>
      <c r="H6211">
        <v>4</v>
      </c>
      <c r="I6211">
        <v>2026</v>
      </c>
      <c r="J6211">
        <v>9</v>
      </c>
      <c r="K6211" s="19" t="s">
        <v>87</v>
      </c>
      <c r="L6211" s="19" t="s">
        <v>540</v>
      </c>
      <c r="M6211" s="19" t="s">
        <v>6</v>
      </c>
      <c r="N6211" t="b">
        <v>0</v>
      </c>
      <c r="O6211">
        <v>1</v>
      </c>
      <c r="P6211">
        <v>0</v>
      </c>
      <c r="Q6211">
        <v>0</v>
      </c>
      <c r="R6211">
        <v>0</v>
      </c>
    </row>
    <row r="6212" spans="1:18" x14ac:dyDescent="0.45">
      <c r="A6212" s="19" t="s">
        <v>608</v>
      </c>
      <c r="B6212" s="19" t="s">
        <v>6</v>
      </c>
      <c r="C6212">
        <v>1</v>
      </c>
      <c r="D6212">
        <v>5</v>
      </c>
      <c r="E6212">
        <v>1</v>
      </c>
      <c r="F6212" s="15">
        <v>46286</v>
      </c>
      <c r="G6212" s="19" t="s">
        <v>739</v>
      </c>
      <c r="H6212">
        <v>4</v>
      </c>
      <c r="I6212">
        <v>2026</v>
      </c>
      <c r="J6212">
        <v>9</v>
      </c>
      <c r="K6212" s="19" t="s">
        <v>87</v>
      </c>
      <c r="L6212" s="19" t="s">
        <v>17</v>
      </c>
      <c r="M6212" s="19" t="s">
        <v>6</v>
      </c>
      <c r="N6212" t="b">
        <v>0</v>
      </c>
      <c r="O6212">
        <v>0</v>
      </c>
      <c r="P6212">
        <v>1</v>
      </c>
      <c r="Q6212">
        <v>0</v>
      </c>
      <c r="R6212">
        <v>0</v>
      </c>
    </row>
    <row r="6213" spans="1:18" x14ac:dyDescent="0.45">
      <c r="A6213" s="19" t="s">
        <v>608</v>
      </c>
      <c r="B6213" s="19" t="s">
        <v>6</v>
      </c>
      <c r="C6213">
        <v>1</v>
      </c>
      <c r="D6213">
        <v>5</v>
      </c>
      <c r="E6213">
        <v>1</v>
      </c>
      <c r="F6213" s="15">
        <v>46286</v>
      </c>
      <c r="G6213" s="19" t="s">
        <v>739</v>
      </c>
      <c r="H6213">
        <v>4</v>
      </c>
      <c r="I6213">
        <v>2026</v>
      </c>
      <c r="J6213">
        <v>9</v>
      </c>
      <c r="K6213" s="19" t="s">
        <v>87</v>
      </c>
      <c r="L6213" s="19" t="s">
        <v>364</v>
      </c>
      <c r="M6213" s="19" t="s">
        <v>6</v>
      </c>
      <c r="N6213" t="b">
        <v>0</v>
      </c>
      <c r="O6213">
        <v>0</v>
      </c>
      <c r="P6213">
        <v>1</v>
      </c>
      <c r="Q6213">
        <v>0</v>
      </c>
      <c r="R6213">
        <v>0</v>
      </c>
    </row>
    <row r="6214" spans="1:18" x14ac:dyDescent="0.45">
      <c r="A6214" s="19" t="s">
        <v>608</v>
      </c>
      <c r="B6214" s="19" t="s">
        <v>6</v>
      </c>
      <c r="C6214">
        <v>1</v>
      </c>
      <c r="D6214">
        <v>5</v>
      </c>
      <c r="E6214">
        <v>1</v>
      </c>
      <c r="F6214" s="15">
        <v>46286</v>
      </c>
      <c r="G6214" s="19" t="s">
        <v>739</v>
      </c>
      <c r="H6214">
        <v>4</v>
      </c>
      <c r="I6214">
        <v>2026</v>
      </c>
      <c r="J6214">
        <v>9</v>
      </c>
      <c r="K6214" s="19" t="s">
        <v>87</v>
      </c>
      <c r="L6214" s="19" t="s">
        <v>20</v>
      </c>
      <c r="M6214" s="19" t="s">
        <v>8</v>
      </c>
      <c r="N6214" t="b">
        <v>0</v>
      </c>
      <c r="O6214">
        <v>0</v>
      </c>
      <c r="P6214">
        <v>1</v>
      </c>
      <c r="Q6214">
        <v>0</v>
      </c>
      <c r="R6214">
        <v>1</v>
      </c>
    </row>
    <row r="6215" spans="1:18" x14ac:dyDescent="0.45">
      <c r="A6215" s="19" t="s">
        <v>17</v>
      </c>
      <c r="B6215" s="19" t="s">
        <v>6</v>
      </c>
      <c r="C6215">
        <v>2</v>
      </c>
      <c r="D6215">
        <v>5</v>
      </c>
      <c r="E6215">
        <v>1</v>
      </c>
      <c r="F6215" s="15">
        <v>46286</v>
      </c>
      <c r="G6215" s="19" t="s">
        <v>739</v>
      </c>
      <c r="H6215">
        <v>4</v>
      </c>
      <c r="I6215">
        <v>2026</v>
      </c>
      <c r="J6215">
        <v>9</v>
      </c>
      <c r="K6215" s="19" t="s">
        <v>87</v>
      </c>
      <c r="L6215" s="19" t="s">
        <v>608</v>
      </c>
      <c r="M6215" s="19" t="s">
        <v>6</v>
      </c>
      <c r="N6215" t="b">
        <v>0</v>
      </c>
      <c r="O6215">
        <v>0</v>
      </c>
      <c r="P6215">
        <v>1</v>
      </c>
      <c r="Q6215">
        <v>0</v>
      </c>
      <c r="R6215">
        <v>0</v>
      </c>
    </row>
    <row r="6216" spans="1:18" x14ac:dyDescent="0.45">
      <c r="A6216" s="19" t="s">
        <v>17</v>
      </c>
      <c r="B6216" s="19" t="s">
        <v>6</v>
      </c>
      <c r="C6216">
        <v>2</v>
      </c>
      <c r="D6216">
        <v>5</v>
      </c>
      <c r="E6216">
        <v>1</v>
      </c>
      <c r="F6216" s="15">
        <v>46286</v>
      </c>
      <c r="G6216" s="19" t="s">
        <v>739</v>
      </c>
      <c r="H6216">
        <v>4</v>
      </c>
      <c r="I6216">
        <v>2026</v>
      </c>
      <c r="J6216">
        <v>9</v>
      </c>
      <c r="K6216" s="19" t="s">
        <v>87</v>
      </c>
      <c r="L6216" s="19" t="s">
        <v>364</v>
      </c>
      <c r="M6216" s="19" t="s">
        <v>6</v>
      </c>
      <c r="N6216" t="b">
        <v>0</v>
      </c>
      <c r="O6216">
        <v>0</v>
      </c>
      <c r="P6216">
        <v>1</v>
      </c>
      <c r="Q6216">
        <v>0</v>
      </c>
      <c r="R6216">
        <v>0</v>
      </c>
    </row>
    <row r="6217" spans="1:18" x14ac:dyDescent="0.45">
      <c r="A6217" s="19" t="s">
        <v>17</v>
      </c>
      <c r="B6217" s="19" t="s">
        <v>6</v>
      </c>
      <c r="C6217">
        <v>2</v>
      </c>
      <c r="D6217">
        <v>5</v>
      </c>
      <c r="E6217">
        <v>1</v>
      </c>
      <c r="F6217" s="15">
        <v>46286</v>
      </c>
      <c r="G6217" s="19" t="s">
        <v>739</v>
      </c>
      <c r="H6217">
        <v>4</v>
      </c>
      <c r="I6217">
        <v>2026</v>
      </c>
      <c r="J6217">
        <v>9</v>
      </c>
      <c r="K6217" s="19" t="s">
        <v>87</v>
      </c>
      <c r="L6217" s="19" t="s">
        <v>20</v>
      </c>
      <c r="M6217" s="19" t="s">
        <v>8</v>
      </c>
      <c r="N6217" t="b">
        <v>0</v>
      </c>
      <c r="O6217">
        <v>0</v>
      </c>
      <c r="P6217">
        <v>1</v>
      </c>
      <c r="Q6217">
        <v>0</v>
      </c>
      <c r="R6217">
        <v>1</v>
      </c>
    </row>
    <row r="6218" spans="1:18" x14ac:dyDescent="0.45">
      <c r="A6218" s="19" t="s">
        <v>364</v>
      </c>
      <c r="B6218" s="19" t="s">
        <v>6</v>
      </c>
      <c r="C6218">
        <v>3</v>
      </c>
      <c r="D6218">
        <v>5</v>
      </c>
      <c r="E6218">
        <v>1</v>
      </c>
      <c r="F6218" s="15">
        <v>46286</v>
      </c>
      <c r="G6218" s="19" t="s">
        <v>739</v>
      </c>
      <c r="H6218">
        <v>4</v>
      </c>
      <c r="I6218">
        <v>2026</v>
      </c>
      <c r="J6218">
        <v>9</v>
      </c>
      <c r="K6218" s="19" t="s">
        <v>87</v>
      </c>
      <c r="L6218" s="19" t="s">
        <v>608</v>
      </c>
      <c r="M6218" s="19" t="s">
        <v>6</v>
      </c>
      <c r="N6218" t="b">
        <v>0</v>
      </c>
      <c r="O6218">
        <v>0</v>
      </c>
      <c r="P6218">
        <v>1</v>
      </c>
      <c r="Q6218">
        <v>0</v>
      </c>
      <c r="R6218">
        <v>0</v>
      </c>
    </row>
    <row r="6219" spans="1:18" x14ac:dyDescent="0.45">
      <c r="A6219" s="19" t="s">
        <v>364</v>
      </c>
      <c r="B6219" s="19" t="s">
        <v>6</v>
      </c>
      <c r="C6219">
        <v>3</v>
      </c>
      <c r="D6219">
        <v>5</v>
      </c>
      <c r="E6219">
        <v>1</v>
      </c>
      <c r="F6219" s="15">
        <v>46286</v>
      </c>
      <c r="G6219" s="19" t="s">
        <v>739</v>
      </c>
      <c r="H6219">
        <v>4</v>
      </c>
      <c r="I6219">
        <v>2026</v>
      </c>
      <c r="J6219">
        <v>9</v>
      </c>
      <c r="K6219" s="19" t="s">
        <v>87</v>
      </c>
      <c r="L6219" s="19" t="s">
        <v>17</v>
      </c>
      <c r="M6219" s="19" t="s">
        <v>6</v>
      </c>
      <c r="N6219" t="b">
        <v>0</v>
      </c>
      <c r="O6219">
        <v>0</v>
      </c>
      <c r="P6219">
        <v>1</v>
      </c>
      <c r="Q6219">
        <v>0</v>
      </c>
      <c r="R6219">
        <v>0</v>
      </c>
    </row>
    <row r="6220" spans="1:18" x14ac:dyDescent="0.45">
      <c r="A6220" s="19" t="s">
        <v>364</v>
      </c>
      <c r="B6220" s="19" t="s">
        <v>6</v>
      </c>
      <c r="C6220">
        <v>3</v>
      </c>
      <c r="D6220">
        <v>5</v>
      </c>
      <c r="E6220">
        <v>1</v>
      </c>
      <c r="F6220" s="15">
        <v>46286</v>
      </c>
      <c r="G6220" s="19" t="s">
        <v>739</v>
      </c>
      <c r="H6220">
        <v>4</v>
      </c>
      <c r="I6220">
        <v>2026</v>
      </c>
      <c r="J6220">
        <v>9</v>
      </c>
      <c r="K6220" s="19" t="s">
        <v>87</v>
      </c>
      <c r="L6220" s="19" t="s">
        <v>20</v>
      </c>
      <c r="M6220" s="19" t="s">
        <v>8</v>
      </c>
      <c r="N6220" t="b">
        <v>0</v>
      </c>
      <c r="O6220">
        <v>0</v>
      </c>
      <c r="P6220">
        <v>1</v>
      </c>
      <c r="Q6220">
        <v>0</v>
      </c>
      <c r="R6220">
        <v>1</v>
      </c>
    </row>
    <row r="6221" spans="1:18" x14ac:dyDescent="0.45">
      <c r="A6221" s="19" t="s">
        <v>20</v>
      </c>
      <c r="B6221" s="19" t="s">
        <v>8</v>
      </c>
      <c r="C6221">
        <v>4</v>
      </c>
      <c r="D6221">
        <v>5</v>
      </c>
      <c r="E6221">
        <v>1</v>
      </c>
      <c r="F6221" s="15">
        <v>46286</v>
      </c>
      <c r="G6221" s="19" t="s">
        <v>739</v>
      </c>
      <c r="H6221">
        <v>4</v>
      </c>
      <c r="I6221">
        <v>2026</v>
      </c>
      <c r="J6221">
        <v>9</v>
      </c>
      <c r="K6221" s="19" t="s">
        <v>87</v>
      </c>
      <c r="L6221" s="19" t="s">
        <v>608</v>
      </c>
      <c r="M6221" s="19" t="s">
        <v>6</v>
      </c>
      <c r="N6221" t="b">
        <v>0</v>
      </c>
      <c r="O6221">
        <v>1</v>
      </c>
      <c r="P6221">
        <v>0</v>
      </c>
      <c r="Q6221">
        <v>0</v>
      </c>
      <c r="R6221">
        <v>0</v>
      </c>
    </row>
    <row r="6222" spans="1:18" x14ac:dyDescent="0.45">
      <c r="A6222" s="19" t="s">
        <v>20</v>
      </c>
      <c r="B6222" s="19" t="s">
        <v>8</v>
      </c>
      <c r="C6222">
        <v>4</v>
      </c>
      <c r="D6222">
        <v>5</v>
      </c>
      <c r="E6222">
        <v>1</v>
      </c>
      <c r="F6222" s="15">
        <v>46286</v>
      </c>
      <c r="G6222" s="19" t="s">
        <v>739</v>
      </c>
      <c r="H6222">
        <v>4</v>
      </c>
      <c r="I6222">
        <v>2026</v>
      </c>
      <c r="J6222">
        <v>9</v>
      </c>
      <c r="K6222" s="19" t="s">
        <v>87</v>
      </c>
      <c r="L6222" s="19" t="s">
        <v>17</v>
      </c>
      <c r="M6222" s="19" t="s">
        <v>6</v>
      </c>
      <c r="N6222" t="b">
        <v>0</v>
      </c>
      <c r="O6222">
        <v>1</v>
      </c>
      <c r="P6222">
        <v>0</v>
      </c>
      <c r="Q6222">
        <v>0</v>
      </c>
      <c r="R6222">
        <v>0</v>
      </c>
    </row>
    <row r="6223" spans="1:18" x14ac:dyDescent="0.45">
      <c r="A6223" s="19" t="s">
        <v>20</v>
      </c>
      <c r="B6223" s="19" t="s">
        <v>8</v>
      </c>
      <c r="C6223">
        <v>4</v>
      </c>
      <c r="D6223">
        <v>5</v>
      </c>
      <c r="E6223">
        <v>1</v>
      </c>
      <c r="F6223" s="15">
        <v>46286</v>
      </c>
      <c r="G6223" s="19" t="s">
        <v>739</v>
      </c>
      <c r="H6223">
        <v>4</v>
      </c>
      <c r="I6223">
        <v>2026</v>
      </c>
      <c r="J6223">
        <v>9</v>
      </c>
      <c r="K6223" s="19" t="s">
        <v>87</v>
      </c>
      <c r="L6223" s="19" t="s">
        <v>364</v>
      </c>
      <c r="M6223" s="19" t="s">
        <v>6</v>
      </c>
      <c r="N6223" t="b">
        <v>0</v>
      </c>
      <c r="O6223">
        <v>1</v>
      </c>
      <c r="P6223">
        <v>0</v>
      </c>
      <c r="Q6223">
        <v>0</v>
      </c>
      <c r="R6223">
        <v>0</v>
      </c>
    </row>
    <row r="6224" spans="1:18" x14ac:dyDescent="0.45">
      <c r="A6224" s="19" t="s">
        <v>734</v>
      </c>
      <c r="B6224" s="19" t="s">
        <v>6</v>
      </c>
      <c r="C6224">
        <v>1</v>
      </c>
      <c r="D6224">
        <v>6</v>
      </c>
      <c r="E6224">
        <v>1</v>
      </c>
      <c r="F6224" s="15">
        <v>46286</v>
      </c>
      <c r="G6224" s="19" t="s">
        <v>740</v>
      </c>
      <c r="H6224">
        <v>3</v>
      </c>
      <c r="I6224">
        <v>2026</v>
      </c>
      <c r="J6224">
        <v>9</v>
      </c>
      <c r="K6224" s="19" t="s">
        <v>87</v>
      </c>
      <c r="L6224" s="19" t="s">
        <v>28</v>
      </c>
      <c r="M6224" s="19" t="s">
        <v>6</v>
      </c>
      <c r="N6224" t="b">
        <v>0</v>
      </c>
      <c r="O6224">
        <v>0</v>
      </c>
      <c r="P6224">
        <v>1</v>
      </c>
      <c r="Q6224">
        <v>0</v>
      </c>
      <c r="R6224">
        <v>0</v>
      </c>
    </row>
    <row r="6225" spans="1:18" x14ac:dyDescent="0.45">
      <c r="A6225" s="19" t="s">
        <v>734</v>
      </c>
      <c r="B6225" s="19" t="s">
        <v>6</v>
      </c>
      <c r="C6225">
        <v>1</v>
      </c>
      <c r="D6225">
        <v>6</v>
      </c>
      <c r="E6225">
        <v>1</v>
      </c>
      <c r="F6225" s="15">
        <v>46286</v>
      </c>
      <c r="G6225" s="19" t="s">
        <v>740</v>
      </c>
      <c r="H6225">
        <v>3</v>
      </c>
      <c r="I6225">
        <v>2026</v>
      </c>
      <c r="J6225">
        <v>9</v>
      </c>
      <c r="K6225" s="19" t="s">
        <v>87</v>
      </c>
      <c r="L6225" s="19" t="s">
        <v>7</v>
      </c>
      <c r="M6225" s="19" t="s">
        <v>8</v>
      </c>
      <c r="N6225" t="b">
        <v>0</v>
      </c>
      <c r="O6225">
        <v>0</v>
      </c>
      <c r="P6225">
        <v>1</v>
      </c>
      <c r="Q6225">
        <v>0</v>
      </c>
      <c r="R6225">
        <v>1</v>
      </c>
    </row>
    <row r="6226" spans="1:18" x14ac:dyDescent="0.45">
      <c r="A6226" s="19" t="s">
        <v>28</v>
      </c>
      <c r="B6226" s="19" t="s">
        <v>6</v>
      </c>
      <c r="C6226">
        <v>2</v>
      </c>
      <c r="D6226">
        <v>6</v>
      </c>
      <c r="E6226">
        <v>1</v>
      </c>
      <c r="F6226" s="15">
        <v>46286</v>
      </c>
      <c r="G6226" s="19" t="s">
        <v>740</v>
      </c>
      <c r="H6226">
        <v>3</v>
      </c>
      <c r="I6226">
        <v>2026</v>
      </c>
      <c r="J6226">
        <v>9</v>
      </c>
      <c r="K6226" s="19" t="s">
        <v>87</v>
      </c>
      <c r="L6226" s="19" t="s">
        <v>734</v>
      </c>
      <c r="M6226" s="19" t="s">
        <v>6</v>
      </c>
      <c r="N6226" t="b">
        <v>0</v>
      </c>
      <c r="O6226">
        <v>0</v>
      </c>
      <c r="P6226">
        <v>1</v>
      </c>
      <c r="Q6226">
        <v>0</v>
      </c>
      <c r="R6226">
        <v>0</v>
      </c>
    </row>
    <row r="6227" spans="1:18" x14ac:dyDescent="0.45">
      <c r="A6227" s="19" t="s">
        <v>28</v>
      </c>
      <c r="B6227" s="19" t="s">
        <v>6</v>
      </c>
      <c r="C6227">
        <v>2</v>
      </c>
      <c r="D6227">
        <v>6</v>
      </c>
      <c r="E6227">
        <v>1</v>
      </c>
      <c r="F6227" s="15">
        <v>46286</v>
      </c>
      <c r="G6227" s="19" t="s">
        <v>740</v>
      </c>
      <c r="H6227">
        <v>3</v>
      </c>
      <c r="I6227">
        <v>2026</v>
      </c>
      <c r="J6227">
        <v>9</v>
      </c>
      <c r="K6227" s="19" t="s">
        <v>87</v>
      </c>
      <c r="L6227" s="19" t="s">
        <v>7</v>
      </c>
      <c r="M6227" s="19" t="s">
        <v>8</v>
      </c>
      <c r="N6227" t="b">
        <v>0</v>
      </c>
      <c r="O6227">
        <v>0</v>
      </c>
      <c r="P6227">
        <v>1</v>
      </c>
      <c r="Q6227">
        <v>0</v>
      </c>
      <c r="R6227">
        <v>1</v>
      </c>
    </row>
    <row r="6228" spans="1:18" x14ac:dyDescent="0.45">
      <c r="A6228" s="19" t="s">
        <v>7</v>
      </c>
      <c r="B6228" s="19" t="s">
        <v>8</v>
      </c>
      <c r="C6228">
        <v>3</v>
      </c>
      <c r="D6228">
        <v>6</v>
      </c>
      <c r="E6228">
        <v>1</v>
      </c>
      <c r="F6228" s="15">
        <v>46286</v>
      </c>
      <c r="G6228" s="19" t="s">
        <v>740</v>
      </c>
      <c r="H6228">
        <v>3</v>
      </c>
      <c r="I6228">
        <v>2026</v>
      </c>
      <c r="J6228">
        <v>9</v>
      </c>
      <c r="K6228" s="19" t="s">
        <v>87</v>
      </c>
      <c r="L6228" s="19" t="s">
        <v>734</v>
      </c>
      <c r="M6228" s="19" t="s">
        <v>6</v>
      </c>
      <c r="N6228" t="b">
        <v>0</v>
      </c>
      <c r="O6228">
        <v>1</v>
      </c>
      <c r="P6228">
        <v>0</v>
      </c>
      <c r="Q6228">
        <v>0</v>
      </c>
      <c r="R6228">
        <v>0</v>
      </c>
    </row>
    <row r="6229" spans="1:18" x14ac:dyDescent="0.45">
      <c r="A6229" s="19" t="s">
        <v>7</v>
      </c>
      <c r="B6229" s="19" t="s">
        <v>8</v>
      </c>
      <c r="C6229">
        <v>3</v>
      </c>
      <c r="D6229">
        <v>6</v>
      </c>
      <c r="E6229">
        <v>1</v>
      </c>
      <c r="F6229" s="15">
        <v>46286</v>
      </c>
      <c r="G6229" s="19" t="s">
        <v>740</v>
      </c>
      <c r="H6229">
        <v>3</v>
      </c>
      <c r="I6229">
        <v>2026</v>
      </c>
      <c r="J6229">
        <v>9</v>
      </c>
      <c r="K6229" s="19" t="s">
        <v>87</v>
      </c>
      <c r="L6229" s="19" t="s">
        <v>28</v>
      </c>
      <c r="M6229" s="19" t="s">
        <v>6</v>
      </c>
      <c r="N6229" t="b">
        <v>0</v>
      </c>
      <c r="O6229">
        <v>1</v>
      </c>
      <c r="P6229">
        <v>0</v>
      </c>
      <c r="Q6229">
        <v>0</v>
      </c>
      <c r="R6229">
        <v>0</v>
      </c>
    </row>
    <row r="6230" spans="1:18" x14ac:dyDescent="0.45">
      <c r="A6230" s="19" t="s">
        <v>9</v>
      </c>
      <c r="B6230" s="19" t="s">
        <v>63</v>
      </c>
      <c r="C6230">
        <v>1</v>
      </c>
      <c r="D6230">
        <v>1</v>
      </c>
      <c r="E6230">
        <v>2</v>
      </c>
      <c r="F6230" s="15">
        <v>46286</v>
      </c>
      <c r="G6230" s="19" t="s">
        <v>741</v>
      </c>
      <c r="H6230">
        <v>4</v>
      </c>
      <c r="I6230">
        <v>2026</v>
      </c>
      <c r="J6230">
        <v>9</v>
      </c>
      <c r="K6230" s="19" t="s">
        <v>87</v>
      </c>
      <c r="L6230" s="19" t="s">
        <v>540</v>
      </c>
      <c r="M6230" s="19" t="s">
        <v>63</v>
      </c>
      <c r="N6230" t="b">
        <v>0</v>
      </c>
      <c r="O6230">
        <v>0</v>
      </c>
      <c r="P6230">
        <v>0</v>
      </c>
      <c r="Q6230">
        <v>1</v>
      </c>
      <c r="R6230">
        <v>0</v>
      </c>
    </row>
    <row r="6231" spans="1:18" x14ac:dyDescent="0.45">
      <c r="A6231" s="19" t="s">
        <v>9</v>
      </c>
      <c r="B6231" s="19" t="s">
        <v>63</v>
      </c>
      <c r="C6231">
        <v>1</v>
      </c>
      <c r="D6231">
        <v>1</v>
      </c>
      <c r="E6231">
        <v>2</v>
      </c>
      <c r="F6231" s="15">
        <v>46286</v>
      </c>
      <c r="G6231" s="19" t="s">
        <v>741</v>
      </c>
      <c r="H6231">
        <v>4</v>
      </c>
      <c r="I6231">
        <v>2026</v>
      </c>
      <c r="J6231">
        <v>9</v>
      </c>
      <c r="K6231" s="19" t="s">
        <v>87</v>
      </c>
      <c r="L6231" s="19" t="s">
        <v>7</v>
      </c>
      <c r="M6231" s="19" t="s">
        <v>63</v>
      </c>
      <c r="N6231" t="b">
        <v>0</v>
      </c>
      <c r="O6231">
        <v>0</v>
      </c>
      <c r="P6231">
        <v>0</v>
      </c>
      <c r="Q6231">
        <v>1</v>
      </c>
      <c r="R6231">
        <v>0</v>
      </c>
    </row>
    <row r="6232" spans="1:18" x14ac:dyDescent="0.45">
      <c r="A6232" s="19" t="s">
        <v>9</v>
      </c>
      <c r="B6232" s="19" t="s">
        <v>63</v>
      </c>
      <c r="C6232">
        <v>1</v>
      </c>
      <c r="D6232">
        <v>1</v>
      </c>
      <c r="E6232">
        <v>2</v>
      </c>
      <c r="F6232" s="15">
        <v>46286</v>
      </c>
      <c r="G6232" s="19" t="s">
        <v>741</v>
      </c>
      <c r="H6232">
        <v>4</v>
      </c>
      <c r="I6232">
        <v>2026</v>
      </c>
      <c r="J6232">
        <v>9</v>
      </c>
      <c r="K6232" s="19" t="s">
        <v>87</v>
      </c>
      <c r="L6232" s="19" t="s">
        <v>11</v>
      </c>
      <c r="M6232" s="19" t="s">
        <v>63</v>
      </c>
      <c r="N6232" t="b">
        <v>0</v>
      </c>
      <c r="O6232">
        <v>0</v>
      </c>
      <c r="P6232">
        <v>0</v>
      </c>
      <c r="Q6232">
        <v>1</v>
      </c>
      <c r="R6232">
        <v>0</v>
      </c>
    </row>
    <row r="6233" spans="1:18" x14ac:dyDescent="0.45">
      <c r="A6233" s="19" t="s">
        <v>540</v>
      </c>
      <c r="B6233" s="19" t="s">
        <v>63</v>
      </c>
      <c r="C6233">
        <v>2</v>
      </c>
      <c r="D6233">
        <v>1</v>
      </c>
      <c r="E6233">
        <v>2</v>
      </c>
      <c r="F6233" s="15">
        <v>46286</v>
      </c>
      <c r="G6233" s="19" t="s">
        <v>741</v>
      </c>
      <c r="H6233">
        <v>4</v>
      </c>
      <c r="I6233">
        <v>2026</v>
      </c>
      <c r="J6233">
        <v>9</v>
      </c>
      <c r="K6233" s="19" t="s">
        <v>87</v>
      </c>
      <c r="L6233" s="19" t="s">
        <v>9</v>
      </c>
      <c r="M6233" s="19" t="s">
        <v>63</v>
      </c>
      <c r="N6233" t="b">
        <v>0</v>
      </c>
      <c r="O6233">
        <v>0</v>
      </c>
      <c r="P6233">
        <v>0</v>
      </c>
      <c r="Q6233">
        <v>1</v>
      </c>
      <c r="R6233">
        <v>0</v>
      </c>
    </row>
    <row r="6234" spans="1:18" x14ac:dyDescent="0.45">
      <c r="A6234" s="19" t="s">
        <v>540</v>
      </c>
      <c r="B6234" s="19" t="s">
        <v>63</v>
      </c>
      <c r="C6234">
        <v>2</v>
      </c>
      <c r="D6234">
        <v>1</v>
      </c>
      <c r="E6234">
        <v>2</v>
      </c>
      <c r="F6234" s="15">
        <v>46286</v>
      </c>
      <c r="G6234" s="19" t="s">
        <v>741</v>
      </c>
      <c r="H6234">
        <v>4</v>
      </c>
      <c r="I6234">
        <v>2026</v>
      </c>
      <c r="J6234">
        <v>9</v>
      </c>
      <c r="K6234" s="19" t="s">
        <v>87</v>
      </c>
      <c r="L6234" s="19" t="s">
        <v>7</v>
      </c>
      <c r="M6234" s="19" t="s">
        <v>63</v>
      </c>
      <c r="N6234" t="b">
        <v>0</v>
      </c>
      <c r="O6234">
        <v>0</v>
      </c>
      <c r="P6234">
        <v>0</v>
      </c>
      <c r="Q6234">
        <v>1</v>
      </c>
      <c r="R6234">
        <v>0</v>
      </c>
    </row>
    <row r="6235" spans="1:18" x14ac:dyDescent="0.45">
      <c r="A6235" s="19" t="s">
        <v>540</v>
      </c>
      <c r="B6235" s="19" t="s">
        <v>63</v>
      </c>
      <c r="C6235">
        <v>2</v>
      </c>
      <c r="D6235">
        <v>1</v>
      </c>
      <c r="E6235">
        <v>2</v>
      </c>
      <c r="F6235" s="15">
        <v>46286</v>
      </c>
      <c r="G6235" s="19" t="s">
        <v>741</v>
      </c>
      <c r="H6235">
        <v>4</v>
      </c>
      <c r="I6235">
        <v>2026</v>
      </c>
      <c r="J6235">
        <v>9</v>
      </c>
      <c r="K6235" s="19" t="s">
        <v>87</v>
      </c>
      <c r="L6235" s="19" t="s">
        <v>11</v>
      </c>
      <c r="M6235" s="19" t="s">
        <v>63</v>
      </c>
      <c r="N6235" t="b">
        <v>0</v>
      </c>
      <c r="O6235">
        <v>0</v>
      </c>
      <c r="P6235">
        <v>0</v>
      </c>
      <c r="Q6235">
        <v>1</v>
      </c>
      <c r="R6235">
        <v>0</v>
      </c>
    </row>
    <row r="6236" spans="1:18" x14ac:dyDescent="0.45">
      <c r="A6236" s="19" t="s">
        <v>7</v>
      </c>
      <c r="B6236" s="19" t="s">
        <v>63</v>
      </c>
      <c r="C6236">
        <v>3</v>
      </c>
      <c r="D6236">
        <v>1</v>
      </c>
      <c r="E6236">
        <v>2</v>
      </c>
      <c r="F6236" s="15">
        <v>46286</v>
      </c>
      <c r="G6236" s="19" t="s">
        <v>741</v>
      </c>
      <c r="H6236">
        <v>4</v>
      </c>
      <c r="I6236">
        <v>2026</v>
      </c>
      <c r="J6236">
        <v>9</v>
      </c>
      <c r="K6236" s="19" t="s">
        <v>87</v>
      </c>
      <c r="L6236" s="19" t="s">
        <v>9</v>
      </c>
      <c r="M6236" s="19" t="s">
        <v>63</v>
      </c>
      <c r="N6236" t="b">
        <v>0</v>
      </c>
      <c r="O6236">
        <v>0</v>
      </c>
      <c r="P6236">
        <v>0</v>
      </c>
      <c r="Q6236">
        <v>1</v>
      </c>
      <c r="R6236">
        <v>0</v>
      </c>
    </row>
    <row r="6237" spans="1:18" x14ac:dyDescent="0.45">
      <c r="A6237" s="19" t="s">
        <v>7</v>
      </c>
      <c r="B6237" s="19" t="s">
        <v>63</v>
      </c>
      <c r="C6237">
        <v>3</v>
      </c>
      <c r="D6237">
        <v>1</v>
      </c>
      <c r="E6237">
        <v>2</v>
      </c>
      <c r="F6237" s="15">
        <v>46286</v>
      </c>
      <c r="G6237" s="19" t="s">
        <v>741</v>
      </c>
      <c r="H6237">
        <v>4</v>
      </c>
      <c r="I6237">
        <v>2026</v>
      </c>
      <c r="J6237">
        <v>9</v>
      </c>
      <c r="K6237" s="19" t="s">
        <v>87</v>
      </c>
      <c r="L6237" s="19" t="s">
        <v>540</v>
      </c>
      <c r="M6237" s="19" t="s">
        <v>63</v>
      </c>
      <c r="N6237" t="b">
        <v>0</v>
      </c>
      <c r="O6237">
        <v>0</v>
      </c>
      <c r="P6237">
        <v>0</v>
      </c>
      <c r="Q6237">
        <v>1</v>
      </c>
      <c r="R6237">
        <v>0</v>
      </c>
    </row>
    <row r="6238" spans="1:18" x14ac:dyDescent="0.45">
      <c r="A6238" s="19" t="s">
        <v>7</v>
      </c>
      <c r="B6238" s="19" t="s">
        <v>63</v>
      </c>
      <c r="C6238">
        <v>3</v>
      </c>
      <c r="D6238">
        <v>1</v>
      </c>
      <c r="E6238">
        <v>2</v>
      </c>
      <c r="F6238" s="15">
        <v>46286</v>
      </c>
      <c r="G6238" s="19" t="s">
        <v>741</v>
      </c>
      <c r="H6238">
        <v>4</v>
      </c>
      <c r="I6238">
        <v>2026</v>
      </c>
      <c r="J6238">
        <v>9</v>
      </c>
      <c r="K6238" s="19" t="s">
        <v>87</v>
      </c>
      <c r="L6238" s="19" t="s">
        <v>11</v>
      </c>
      <c r="M6238" s="19" t="s">
        <v>63</v>
      </c>
      <c r="N6238" t="b">
        <v>0</v>
      </c>
      <c r="O6238">
        <v>0</v>
      </c>
      <c r="P6238">
        <v>0</v>
      </c>
      <c r="Q6238">
        <v>1</v>
      </c>
      <c r="R6238">
        <v>0</v>
      </c>
    </row>
    <row r="6239" spans="1:18" x14ac:dyDescent="0.45">
      <c r="A6239" s="19" t="s">
        <v>11</v>
      </c>
      <c r="B6239" s="19" t="s">
        <v>63</v>
      </c>
      <c r="C6239">
        <v>4</v>
      </c>
      <c r="D6239">
        <v>1</v>
      </c>
      <c r="E6239">
        <v>2</v>
      </c>
      <c r="F6239" s="15">
        <v>46286</v>
      </c>
      <c r="G6239" s="19" t="s">
        <v>741</v>
      </c>
      <c r="H6239">
        <v>4</v>
      </c>
      <c r="I6239">
        <v>2026</v>
      </c>
      <c r="J6239">
        <v>9</v>
      </c>
      <c r="K6239" s="19" t="s">
        <v>87</v>
      </c>
      <c r="L6239" s="19" t="s">
        <v>9</v>
      </c>
      <c r="M6239" s="19" t="s">
        <v>63</v>
      </c>
      <c r="N6239" t="b">
        <v>0</v>
      </c>
      <c r="O6239">
        <v>0</v>
      </c>
      <c r="P6239">
        <v>0</v>
      </c>
      <c r="Q6239">
        <v>1</v>
      </c>
      <c r="R6239">
        <v>0</v>
      </c>
    </row>
    <row r="6240" spans="1:18" x14ac:dyDescent="0.45">
      <c r="A6240" s="19" t="s">
        <v>11</v>
      </c>
      <c r="B6240" s="19" t="s">
        <v>63</v>
      </c>
      <c r="C6240">
        <v>4</v>
      </c>
      <c r="D6240">
        <v>1</v>
      </c>
      <c r="E6240">
        <v>2</v>
      </c>
      <c r="F6240" s="15">
        <v>46286</v>
      </c>
      <c r="G6240" s="19" t="s">
        <v>741</v>
      </c>
      <c r="H6240">
        <v>4</v>
      </c>
      <c r="I6240">
        <v>2026</v>
      </c>
      <c r="J6240">
        <v>9</v>
      </c>
      <c r="K6240" s="19" t="s">
        <v>87</v>
      </c>
      <c r="L6240" s="19" t="s">
        <v>540</v>
      </c>
      <c r="M6240" s="19" t="s">
        <v>63</v>
      </c>
      <c r="N6240" t="b">
        <v>0</v>
      </c>
      <c r="O6240">
        <v>0</v>
      </c>
      <c r="P6240">
        <v>0</v>
      </c>
      <c r="Q6240">
        <v>1</v>
      </c>
      <c r="R6240">
        <v>0</v>
      </c>
    </row>
    <row r="6241" spans="1:18" x14ac:dyDescent="0.45">
      <c r="A6241" s="19" t="s">
        <v>11</v>
      </c>
      <c r="B6241" s="19" t="s">
        <v>63</v>
      </c>
      <c r="C6241">
        <v>4</v>
      </c>
      <c r="D6241">
        <v>1</v>
      </c>
      <c r="E6241">
        <v>2</v>
      </c>
      <c r="F6241" s="15">
        <v>46286</v>
      </c>
      <c r="G6241" s="19" t="s">
        <v>741</v>
      </c>
      <c r="H6241">
        <v>4</v>
      </c>
      <c r="I6241">
        <v>2026</v>
      </c>
      <c r="J6241">
        <v>9</v>
      </c>
      <c r="K6241" s="19" t="s">
        <v>87</v>
      </c>
      <c r="L6241" s="19" t="s">
        <v>7</v>
      </c>
      <c r="M6241" s="19" t="s">
        <v>63</v>
      </c>
      <c r="N6241" t="b">
        <v>0</v>
      </c>
      <c r="O6241">
        <v>0</v>
      </c>
      <c r="P6241">
        <v>0</v>
      </c>
      <c r="Q6241">
        <v>1</v>
      </c>
      <c r="R6241">
        <v>0</v>
      </c>
    </row>
    <row r="6242" spans="1:18" x14ac:dyDescent="0.45">
      <c r="A6242" s="19" t="s">
        <v>28</v>
      </c>
      <c r="B6242" s="19" t="s">
        <v>63</v>
      </c>
      <c r="C6242">
        <v>1</v>
      </c>
      <c r="D6242">
        <v>2</v>
      </c>
      <c r="E6242">
        <v>2</v>
      </c>
      <c r="F6242" s="15">
        <v>46286</v>
      </c>
      <c r="G6242" s="19" t="s">
        <v>742</v>
      </c>
      <c r="H6242">
        <v>4</v>
      </c>
      <c r="I6242">
        <v>2026</v>
      </c>
      <c r="J6242">
        <v>9</v>
      </c>
      <c r="K6242" s="19" t="s">
        <v>87</v>
      </c>
      <c r="L6242" s="19" t="s">
        <v>17</v>
      </c>
      <c r="M6242" s="19" t="s">
        <v>63</v>
      </c>
      <c r="N6242" t="b">
        <v>0</v>
      </c>
      <c r="O6242">
        <v>0</v>
      </c>
      <c r="P6242">
        <v>0</v>
      </c>
      <c r="Q6242">
        <v>1</v>
      </c>
      <c r="R6242">
        <v>0</v>
      </c>
    </row>
    <row r="6243" spans="1:18" x14ac:dyDescent="0.45">
      <c r="A6243" s="19" t="s">
        <v>28</v>
      </c>
      <c r="B6243" s="19" t="s">
        <v>63</v>
      </c>
      <c r="C6243">
        <v>1</v>
      </c>
      <c r="D6243">
        <v>2</v>
      </c>
      <c r="E6243">
        <v>2</v>
      </c>
      <c r="F6243" s="15">
        <v>46286</v>
      </c>
      <c r="G6243" s="19" t="s">
        <v>742</v>
      </c>
      <c r="H6243">
        <v>4</v>
      </c>
      <c r="I6243">
        <v>2026</v>
      </c>
      <c r="J6243">
        <v>9</v>
      </c>
      <c r="K6243" s="19" t="s">
        <v>87</v>
      </c>
      <c r="L6243" s="19" t="s">
        <v>15</v>
      </c>
      <c r="M6243" s="19" t="s">
        <v>63</v>
      </c>
      <c r="N6243" t="b">
        <v>0</v>
      </c>
      <c r="O6243">
        <v>0</v>
      </c>
      <c r="P6243">
        <v>0</v>
      </c>
      <c r="Q6243">
        <v>1</v>
      </c>
      <c r="R6243">
        <v>0</v>
      </c>
    </row>
    <row r="6244" spans="1:18" x14ac:dyDescent="0.45">
      <c r="A6244" s="19" t="s">
        <v>28</v>
      </c>
      <c r="B6244" s="19" t="s">
        <v>63</v>
      </c>
      <c r="C6244">
        <v>1</v>
      </c>
      <c r="D6244">
        <v>2</v>
      </c>
      <c r="E6244">
        <v>2</v>
      </c>
      <c r="F6244" s="15">
        <v>46286</v>
      </c>
      <c r="G6244" s="19" t="s">
        <v>742</v>
      </c>
      <c r="H6244">
        <v>4</v>
      </c>
      <c r="I6244">
        <v>2026</v>
      </c>
      <c r="J6244">
        <v>9</v>
      </c>
      <c r="K6244" s="19" t="s">
        <v>87</v>
      </c>
      <c r="L6244" s="19" t="s">
        <v>351</v>
      </c>
      <c r="M6244" s="19" t="s">
        <v>63</v>
      </c>
      <c r="N6244" t="b">
        <v>0</v>
      </c>
      <c r="O6244">
        <v>0</v>
      </c>
      <c r="P6244">
        <v>0</v>
      </c>
      <c r="Q6244">
        <v>1</v>
      </c>
      <c r="R6244">
        <v>0</v>
      </c>
    </row>
    <row r="6245" spans="1:18" x14ac:dyDescent="0.45">
      <c r="A6245" s="19" t="s">
        <v>17</v>
      </c>
      <c r="B6245" s="19" t="s">
        <v>63</v>
      </c>
      <c r="C6245">
        <v>2</v>
      </c>
      <c r="D6245">
        <v>2</v>
      </c>
      <c r="E6245">
        <v>2</v>
      </c>
      <c r="F6245" s="15">
        <v>46286</v>
      </c>
      <c r="G6245" s="19" t="s">
        <v>742</v>
      </c>
      <c r="H6245">
        <v>4</v>
      </c>
      <c r="I6245">
        <v>2026</v>
      </c>
      <c r="J6245">
        <v>9</v>
      </c>
      <c r="K6245" s="19" t="s">
        <v>87</v>
      </c>
      <c r="L6245" s="19" t="s">
        <v>28</v>
      </c>
      <c r="M6245" s="19" t="s">
        <v>63</v>
      </c>
      <c r="N6245" t="b">
        <v>0</v>
      </c>
      <c r="O6245">
        <v>0</v>
      </c>
      <c r="P6245">
        <v>0</v>
      </c>
      <c r="Q6245">
        <v>1</v>
      </c>
      <c r="R6245">
        <v>0</v>
      </c>
    </row>
    <row r="6246" spans="1:18" x14ac:dyDescent="0.45">
      <c r="A6246" s="19" t="s">
        <v>17</v>
      </c>
      <c r="B6246" s="19" t="s">
        <v>63</v>
      </c>
      <c r="C6246">
        <v>2</v>
      </c>
      <c r="D6246">
        <v>2</v>
      </c>
      <c r="E6246">
        <v>2</v>
      </c>
      <c r="F6246" s="15">
        <v>46286</v>
      </c>
      <c r="G6246" s="19" t="s">
        <v>742</v>
      </c>
      <c r="H6246">
        <v>4</v>
      </c>
      <c r="I6246">
        <v>2026</v>
      </c>
      <c r="J6246">
        <v>9</v>
      </c>
      <c r="K6246" s="19" t="s">
        <v>87</v>
      </c>
      <c r="L6246" s="19" t="s">
        <v>15</v>
      </c>
      <c r="M6246" s="19" t="s">
        <v>63</v>
      </c>
      <c r="N6246" t="b">
        <v>0</v>
      </c>
      <c r="O6246">
        <v>0</v>
      </c>
      <c r="P6246">
        <v>0</v>
      </c>
      <c r="Q6246">
        <v>1</v>
      </c>
      <c r="R6246">
        <v>0</v>
      </c>
    </row>
    <row r="6247" spans="1:18" x14ac:dyDescent="0.45">
      <c r="A6247" s="19" t="s">
        <v>17</v>
      </c>
      <c r="B6247" s="19" t="s">
        <v>63</v>
      </c>
      <c r="C6247">
        <v>2</v>
      </c>
      <c r="D6247">
        <v>2</v>
      </c>
      <c r="E6247">
        <v>2</v>
      </c>
      <c r="F6247" s="15">
        <v>46286</v>
      </c>
      <c r="G6247" s="19" t="s">
        <v>742</v>
      </c>
      <c r="H6247">
        <v>4</v>
      </c>
      <c r="I6247">
        <v>2026</v>
      </c>
      <c r="J6247">
        <v>9</v>
      </c>
      <c r="K6247" s="19" t="s">
        <v>87</v>
      </c>
      <c r="L6247" s="19" t="s">
        <v>351</v>
      </c>
      <c r="M6247" s="19" t="s">
        <v>63</v>
      </c>
      <c r="N6247" t="b">
        <v>0</v>
      </c>
      <c r="O6247">
        <v>0</v>
      </c>
      <c r="P6247">
        <v>0</v>
      </c>
      <c r="Q6247">
        <v>1</v>
      </c>
      <c r="R6247">
        <v>0</v>
      </c>
    </row>
    <row r="6248" spans="1:18" x14ac:dyDescent="0.45">
      <c r="A6248" s="19" t="s">
        <v>15</v>
      </c>
      <c r="B6248" s="19" t="s">
        <v>63</v>
      </c>
      <c r="C6248">
        <v>3</v>
      </c>
      <c r="D6248">
        <v>2</v>
      </c>
      <c r="E6248">
        <v>2</v>
      </c>
      <c r="F6248" s="15">
        <v>46286</v>
      </c>
      <c r="G6248" s="19" t="s">
        <v>742</v>
      </c>
      <c r="H6248">
        <v>4</v>
      </c>
      <c r="I6248">
        <v>2026</v>
      </c>
      <c r="J6248">
        <v>9</v>
      </c>
      <c r="K6248" s="19" t="s">
        <v>87</v>
      </c>
      <c r="L6248" s="19" t="s">
        <v>28</v>
      </c>
      <c r="M6248" s="19" t="s">
        <v>63</v>
      </c>
      <c r="N6248" t="b">
        <v>0</v>
      </c>
      <c r="O6248">
        <v>0</v>
      </c>
      <c r="P6248">
        <v>0</v>
      </c>
      <c r="Q6248">
        <v>1</v>
      </c>
      <c r="R6248">
        <v>0</v>
      </c>
    </row>
    <row r="6249" spans="1:18" x14ac:dyDescent="0.45">
      <c r="A6249" s="19" t="s">
        <v>15</v>
      </c>
      <c r="B6249" s="19" t="s">
        <v>63</v>
      </c>
      <c r="C6249">
        <v>3</v>
      </c>
      <c r="D6249">
        <v>2</v>
      </c>
      <c r="E6249">
        <v>2</v>
      </c>
      <c r="F6249" s="15">
        <v>46286</v>
      </c>
      <c r="G6249" s="19" t="s">
        <v>742</v>
      </c>
      <c r="H6249">
        <v>4</v>
      </c>
      <c r="I6249">
        <v>2026</v>
      </c>
      <c r="J6249">
        <v>9</v>
      </c>
      <c r="K6249" s="19" t="s">
        <v>87</v>
      </c>
      <c r="L6249" s="19" t="s">
        <v>17</v>
      </c>
      <c r="M6249" s="19" t="s">
        <v>63</v>
      </c>
      <c r="N6249" t="b">
        <v>0</v>
      </c>
      <c r="O6249">
        <v>0</v>
      </c>
      <c r="P6249">
        <v>0</v>
      </c>
      <c r="Q6249">
        <v>1</v>
      </c>
      <c r="R6249">
        <v>0</v>
      </c>
    </row>
    <row r="6250" spans="1:18" x14ac:dyDescent="0.45">
      <c r="A6250" s="19" t="s">
        <v>15</v>
      </c>
      <c r="B6250" s="19" t="s">
        <v>63</v>
      </c>
      <c r="C6250">
        <v>3</v>
      </c>
      <c r="D6250">
        <v>2</v>
      </c>
      <c r="E6250">
        <v>2</v>
      </c>
      <c r="F6250" s="15">
        <v>46286</v>
      </c>
      <c r="G6250" s="19" t="s">
        <v>742</v>
      </c>
      <c r="H6250">
        <v>4</v>
      </c>
      <c r="I6250">
        <v>2026</v>
      </c>
      <c r="J6250">
        <v>9</v>
      </c>
      <c r="K6250" s="19" t="s">
        <v>87</v>
      </c>
      <c r="L6250" s="19" t="s">
        <v>351</v>
      </c>
      <c r="M6250" s="19" t="s">
        <v>63</v>
      </c>
      <c r="N6250" t="b">
        <v>0</v>
      </c>
      <c r="O6250">
        <v>0</v>
      </c>
      <c r="P6250">
        <v>0</v>
      </c>
      <c r="Q6250">
        <v>1</v>
      </c>
      <c r="R6250">
        <v>0</v>
      </c>
    </row>
    <row r="6251" spans="1:18" x14ac:dyDescent="0.45">
      <c r="A6251" s="19" t="s">
        <v>351</v>
      </c>
      <c r="B6251" s="19" t="s">
        <v>63</v>
      </c>
      <c r="C6251">
        <v>4</v>
      </c>
      <c r="D6251">
        <v>2</v>
      </c>
      <c r="E6251">
        <v>2</v>
      </c>
      <c r="F6251" s="15">
        <v>46286</v>
      </c>
      <c r="G6251" s="19" t="s">
        <v>742</v>
      </c>
      <c r="H6251">
        <v>4</v>
      </c>
      <c r="I6251">
        <v>2026</v>
      </c>
      <c r="J6251">
        <v>9</v>
      </c>
      <c r="K6251" s="19" t="s">
        <v>87</v>
      </c>
      <c r="L6251" s="19" t="s">
        <v>28</v>
      </c>
      <c r="M6251" s="19" t="s">
        <v>63</v>
      </c>
      <c r="N6251" t="b">
        <v>0</v>
      </c>
      <c r="O6251">
        <v>0</v>
      </c>
      <c r="P6251">
        <v>0</v>
      </c>
      <c r="Q6251">
        <v>1</v>
      </c>
      <c r="R6251">
        <v>0</v>
      </c>
    </row>
    <row r="6252" spans="1:18" x14ac:dyDescent="0.45">
      <c r="A6252" s="19" t="s">
        <v>351</v>
      </c>
      <c r="B6252" s="19" t="s">
        <v>63</v>
      </c>
      <c r="C6252">
        <v>4</v>
      </c>
      <c r="D6252">
        <v>2</v>
      </c>
      <c r="E6252">
        <v>2</v>
      </c>
      <c r="F6252" s="15">
        <v>46286</v>
      </c>
      <c r="G6252" s="19" t="s">
        <v>742</v>
      </c>
      <c r="H6252">
        <v>4</v>
      </c>
      <c r="I6252">
        <v>2026</v>
      </c>
      <c r="J6252">
        <v>9</v>
      </c>
      <c r="K6252" s="19" t="s">
        <v>87</v>
      </c>
      <c r="L6252" s="19" t="s">
        <v>17</v>
      </c>
      <c r="M6252" s="19" t="s">
        <v>63</v>
      </c>
      <c r="N6252" t="b">
        <v>0</v>
      </c>
      <c r="O6252">
        <v>0</v>
      </c>
      <c r="P6252">
        <v>0</v>
      </c>
      <c r="Q6252">
        <v>1</v>
      </c>
      <c r="R6252">
        <v>0</v>
      </c>
    </row>
    <row r="6253" spans="1:18" x14ac:dyDescent="0.45">
      <c r="A6253" s="19" t="s">
        <v>351</v>
      </c>
      <c r="B6253" s="19" t="s">
        <v>63</v>
      </c>
      <c r="C6253">
        <v>4</v>
      </c>
      <c r="D6253">
        <v>2</v>
      </c>
      <c r="E6253">
        <v>2</v>
      </c>
      <c r="F6253" s="15">
        <v>46286</v>
      </c>
      <c r="G6253" s="19" t="s">
        <v>742</v>
      </c>
      <c r="H6253">
        <v>4</v>
      </c>
      <c r="I6253">
        <v>2026</v>
      </c>
      <c r="J6253">
        <v>9</v>
      </c>
      <c r="K6253" s="19" t="s">
        <v>87</v>
      </c>
      <c r="L6253" s="19" t="s">
        <v>15</v>
      </c>
      <c r="M6253" s="19" t="s">
        <v>63</v>
      </c>
      <c r="N6253" t="b">
        <v>0</v>
      </c>
      <c r="O6253">
        <v>0</v>
      </c>
      <c r="P6253">
        <v>0</v>
      </c>
      <c r="Q6253">
        <v>1</v>
      </c>
      <c r="R6253">
        <v>0</v>
      </c>
    </row>
    <row r="6254" spans="1:18" x14ac:dyDescent="0.45">
      <c r="A6254" s="19" t="s">
        <v>723</v>
      </c>
      <c r="B6254" s="19" t="s">
        <v>63</v>
      </c>
      <c r="C6254">
        <v>1</v>
      </c>
      <c r="D6254">
        <v>3</v>
      </c>
      <c r="E6254">
        <v>2</v>
      </c>
      <c r="F6254" s="15">
        <v>46286</v>
      </c>
      <c r="G6254" s="19" t="s">
        <v>743</v>
      </c>
      <c r="H6254">
        <v>4</v>
      </c>
      <c r="I6254">
        <v>2026</v>
      </c>
      <c r="J6254">
        <v>9</v>
      </c>
      <c r="K6254" s="19" t="s">
        <v>87</v>
      </c>
      <c r="L6254" s="19" t="s">
        <v>325</v>
      </c>
      <c r="M6254" s="19" t="s">
        <v>63</v>
      </c>
      <c r="N6254" t="b">
        <v>0</v>
      </c>
      <c r="O6254">
        <v>0</v>
      </c>
      <c r="P6254">
        <v>0</v>
      </c>
      <c r="Q6254">
        <v>1</v>
      </c>
      <c r="R6254">
        <v>0</v>
      </c>
    </row>
    <row r="6255" spans="1:18" x14ac:dyDescent="0.45">
      <c r="A6255" s="19" t="s">
        <v>723</v>
      </c>
      <c r="B6255" s="19" t="s">
        <v>63</v>
      </c>
      <c r="C6255">
        <v>1</v>
      </c>
      <c r="D6255">
        <v>3</v>
      </c>
      <c r="E6255">
        <v>2</v>
      </c>
      <c r="F6255" s="15">
        <v>46286</v>
      </c>
      <c r="G6255" s="19" t="s">
        <v>743</v>
      </c>
      <c r="H6255">
        <v>4</v>
      </c>
      <c r="I6255">
        <v>2026</v>
      </c>
      <c r="J6255">
        <v>9</v>
      </c>
      <c r="K6255" s="19" t="s">
        <v>87</v>
      </c>
      <c r="L6255" s="19" t="s">
        <v>14</v>
      </c>
      <c r="M6255" s="19" t="s">
        <v>63</v>
      </c>
      <c r="N6255" t="b">
        <v>0</v>
      </c>
      <c r="O6255">
        <v>0</v>
      </c>
      <c r="P6255">
        <v>0</v>
      </c>
      <c r="Q6255">
        <v>1</v>
      </c>
      <c r="R6255">
        <v>0</v>
      </c>
    </row>
    <row r="6256" spans="1:18" x14ac:dyDescent="0.45">
      <c r="A6256" s="19" t="s">
        <v>723</v>
      </c>
      <c r="B6256" s="19" t="s">
        <v>63</v>
      </c>
      <c r="C6256">
        <v>1</v>
      </c>
      <c r="D6256">
        <v>3</v>
      </c>
      <c r="E6256">
        <v>2</v>
      </c>
      <c r="F6256" s="15">
        <v>46286</v>
      </c>
      <c r="G6256" s="19" t="s">
        <v>743</v>
      </c>
      <c r="H6256">
        <v>4</v>
      </c>
      <c r="I6256">
        <v>2026</v>
      </c>
      <c r="J6256">
        <v>9</v>
      </c>
      <c r="K6256" s="19" t="s">
        <v>87</v>
      </c>
      <c r="L6256" s="19" t="s">
        <v>734</v>
      </c>
      <c r="M6256" s="19" t="s">
        <v>63</v>
      </c>
      <c r="N6256" t="b">
        <v>0</v>
      </c>
      <c r="O6256">
        <v>0</v>
      </c>
      <c r="P6256">
        <v>0</v>
      </c>
      <c r="Q6256">
        <v>1</v>
      </c>
      <c r="R6256">
        <v>0</v>
      </c>
    </row>
    <row r="6257" spans="1:18" x14ac:dyDescent="0.45">
      <c r="A6257" s="19" t="s">
        <v>325</v>
      </c>
      <c r="B6257" s="19" t="s">
        <v>63</v>
      </c>
      <c r="C6257">
        <v>2</v>
      </c>
      <c r="D6257">
        <v>3</v>
      </c>
      <c r="E6257">
        <v>2</v>
      </c>
      <c r="F6257" s="15">
        <v>46286</v>
      </c>
      <c r="G6257" s="19" t="s">
        <v>743</v>
      </c>
      <c r="H6257">
        <v>4</v>
      </c>
      <c r="I6257">
        <v>2026</v>
      </c>
      <c r="J6257">
        <v>9</v>
      </c>
      <c r="K6257" s="19" t="s">
        <v>87</v>
      </c>
      <c r="L6257" s="19" t="s">
        <v>723</v>
      </c>
      <c r="M6257" s="19" t="s">
        <v>63</v>
      </c>
      <c r="N6257" t="b">
        <v>0</v>
      </c>
      <c r="O6257">
        <v>0</v>
      </c>
      <c r="P6257">
        <v>0</v>
      </c>
      <c r="Q6257">
        <v>1</v>
      </c>
      <c r="R6257">
        <v>0</v>
      </c>
    </row>
    <row r="6258" spans="1:18" x14ac:dyDescent="0.45">
      <c r="A6258" s="19" t="s">
        <v>325</v>
      </c>
      <c r="B6258" s="19" t="s">
        <v>63</v>
      </c>
      <c r="C6258">
        <v>2</v>
      </c>
      <c r="D6258">
        <v>3</v>
      </c>
      <c r="E6258">
        <v>2</v>
      </c>
      <c r="F6258" s="15">
        <v>46286</v>
      </c>
      <c r="G6258" s="19" t="s">
        <v>743</v>
      </c>
      <c r="H6258">
        <v>4</v>
      </c>
      <c r="I6258">
        <v>2026</v>
      </c>
      <c r="J6258">
        <v>9</v>
      </c>
      <c r="K6258" s="19" t="s">
        <v>87</v>
      </c>
      <c r="L6258" s="19" t="s">
        <v>14</v>
      </c>
      <c r="M6258" s="19" t="s">
        <v>63</v>
      </c>
      <c r="N6258" t="b">
        <v>0</v>
      </c>
      <c r="O6258">
        <v>0</v>
      </c>
      <c r="P6258">
        <v>0</v>
      </c>
      <c r="Q6258">
        <v>1</v>
      </c>
      <c r="R6258">
        <v>0</v>
      </c>
    </row>
    <row r="6259" spans="1:18" x14ac:dyDescent="0.45">
      <c r="A6259" s="19" t="s">
        <v>325</v>
      </c>
      <c r="B6259" s="19" t="s">
        <v>63</v>
      </c>
      <c r="C6259">
        <v>2</v>
      </c>
      <c r="D6259">
        <v>3</v>
      </c>
      <c r="E6259">
        <v>2</v>
      </c>
      <c r="F6259" s="15">
        <v>46286</v>
      </c>
      <c r="G6259" s="19" t="s">
        <v>743</v>
      </c>
      <c r="H6259">
        <v>4</v>
      </c>
      <c r="I6259">
        <v>2026</v>
      </c>
      <c r="J6259">
        <v>9</v>
      </c>
      <c r="K6259" s="19" t="s">
        <v>87</v>
      </c>
      <c r="L6259" s="19" t="s">
        <v>734</v>
      </c>
      <c r="M6259" s="19" t="s">
        <v>63</v>
      </c>
      <c r="N6259" t="b">
        <v>0</v>
      </c>
      <c r="O6259">
        <v>0</v>
      </c>
      <c r="P6259">
        <v>0</v>
      </c>
      <c r="Q6259">
        <v>1</v>
      </c>
      <c r="R6259">
        <v>0</v>
      </c>
    </row>
    <row r="6260" spans="1:18" x14ac:dyDescent="0.45">
      <c r="A6260" s="19" t="s">
        <v>14</v>
      </c>
      <c r="B6260" s="19" t="s">
        <v>63</v>
      </c>
      <c r="C6260">
        <v>3</v>
      </c>
      <c r="D6260">
        <v>3</v>
      </c>
      <c r="E6260">
        <v>2</v>
      </c>
      <c r="F6260" s="15">
        <v>46286</v>
      </c>
      <c r="G6260" s="19" t="s">
        <v>743</v>
      </c>
      <c r="H6260">
        <v>4</v>
      </c>
      <c r="I6260">
        <v>2026</v>
      </c>
      <c r="J6260">
        <v>9</v>
      </c>
      <c r="K6260" s="19" t="s">
        <v>87</v>
      </c>
      <c r="L6260" s="19" t="s">
        <v>723</v>
      </c>
      <c r="M6260" s="19" t="s">
        <v>63</v>
      </c>
      <c r="N6260" t="b">
        <v>0</v>
      </c>
      <c r="O6260">
        <v>0</v>
      </c>
      <c r="P6260">
        <v>0</v>
      </c>
      <c r="Q6260">
        <v>1</v>
      </c>
      <c r="R6260">
        <v>0</v>
      </c>
    </row>
    <row r="6261" spans="1:18" x14ac:dyDescent="0.45">
      <c r="A6261" s="19" t="s">
        <v>14</v>
      </c>
      <c r="B6261" s="19" t="s">
        <v>63</v>
      </c>
      <c r="C6261">
        <v>3</v>
      </c>
      <c r="D6261">
        <v>3</v>
      </c>
      <c r="E6261">
        <v>2</v>
      </c>
      <c r="F6261" s="15">
        <v>46286</v>
      </c>
      <c r="G6261" s="19" t="s">
        <v>743</v>
      </c>
      <c r="H6261">
        <v>4</v>
      </c>
      <c r="I6261">
        <v>2026</v>
      </c>
      <c r="J6261">
        <v>9</v>
      </c>
      <c r="K6261" s="19" t="s">
        <v>87</v>
      </c>
      <c r="L6261" s="19" t="s">
        <v>325</v>
      </c>
      <c r="M6261" s="19" t="s">
        <v>63</v>
      </c>
      <c r="N6261" t="b">
        <v>0</v>
      </c>
      <c r="O6261">
        <v>0</v>
      </c>
      <c r="P6261">
        <v>0</v>
      </c>
      <c r="Q6261">
        <v>1</v>
      </c>
      <c r="R6261">
        <v>0</v>
      </c>
    </row>
    <row r="6262" spans="1:18" x14ac:dyDescent="0.45">
      <c r="A6262" s="19" t="s">
        <v>14</v>
      </c>
      <c r="B6262" s="19" t="s">
        <v>63</v>
      </c>
      <c r="C6262">
        <v>3</v>
      </c>
      <c r="D6262">
        <v>3</v>
      </c>
      <c r="E6262">
        <v>2</v>
      </c>
      <c r="F6262" s="15">
        <v>46286</v>
      </c>
      <c r="G6262" s="19" t="s">
        <v>743</v>
      </c>
      <c r="H6262">
        <v>4</v>
      </c>
      <c r="I6262">
        <v>2026</v>
      </c>
      <c r="J6262">
        <v>9</v>
      </c>
      <c r="K6262" s="19" t="s">
        <v>87</v>
      </c>
      <c r="L6262" s="19" t="s">
        <v>734</v>
      </c>
      <c r="M6262" s="19" t="s">
        <v>63</v>
      </c>
      <c r="N6262" t="b">
        <v>0</v>
      </c>
      <c r="O6262">
        <v>0</v>
      </c>
      <c r="P6262">
        <v>0</v>
      </c>
      <c r="Q6262">
        <v>1</v>
      </c>
      <c r="R6262">
        <v>0</v>
      </c>
    </row>
    <row r="6263" spans="1:18" x14ac:dyDescent="0.45">
      <c r="A6263" s="19" t="s">
        <v>734</v>
      </c>
      <c r="B6263" s="19" t="s">
        <v>63</v>
      </c>
      <c r="C6263">
        <v>4</v>
      </c>
      <c r="D6263">
        <v>3</v>
      </c>
      <c r="E6263">
        <v>2</v>
      </c>
      <c r="F6263" s="15">
        <v>46286</v>
      </c>
      <c r="G6263" s="19" t="s">
        <v>743</v>
      </c>
      <c r="H6263">
        <v>4</v>
      </c>
      <c r="I6263">
        <v>2026</v>
      </c>
      <c r="J6263">
        <v>9</v>
      </c>
      <c r="K6263" s="19" t="s">
        <v>87</v>
      </c>
      <c r="L6263" s="19" t="s">
        <v>723</v>
      </c>
      <c r="M6263" s="19" t="s">
        <v>63</v>
      </c>
      <c r="N6263" t="b">
        <v>0</v>
      </c>
      <c r="O6263">
        <v>0</v>
      </c>
      <c r="P6263">
        <v>0</v>
      </c>
      <c r="Q6263">
        <v>1</v>
      </c>
      <c r="R6263">
        <v>0</v>
      </c>
    </row>
    <row r="6264" spans="1:18" x14ac:dyDescent="0.45">
      <c r="A6264" s="19" t="s">
        <v>734</v>
      </c>
      <c r="B6264" s="19" t="s">
        <v>63</v>
      </c>
      <c r="C6264">
        <v>4</v>
      </c>
      <c r="D6264">
        <v>3</v>
      </c>
      <c r="E6264">
        <v>2</v>
      </c>
      <c r="F6264" s="15">
        <v>46286</v>
      </c>
      <c r="G6264" s="19" t="s">
        <v>743</v>
      </c>
      <c r="H6264">
        <v>4</v>
      </c>
      <c r="I6264">
        <v>2026</v>
      </c>
      <c r="J6264">
        <v>9</v>
      </c>
      <c r="K6264" s="19" t="s">
        <v>87</v>
      </c>
      <c r="L6264" s="19" t="s">
        <v>325</v>
      </c>
      <c r="M6264" s="19" t="s">
        <v>63</v>
      </c>
      <c r="N6264" t="b">
        <v>0</v>
      </c>
      <c r="O6264">
        <v>0</v>
      </c>
      <c r="P6264">
        <v>0</v>
      </c>
      <c r="Q6264">
        <v>1</v>
      </c>
      <c r="R6264">
        <v>0</v>
      </c>
    </row>
    <row r="6265" spans="1:18" x14ac:dyDescent="0.45">
      <c r="A6265" s="19" t="s">
        <v>734</v>
      </c>
      <c r="B6265" s="19" t="s">
        <v>63</v>
      </c>
      <c r="C6265">
        <v>4</v>
      </c>
      <c r="D6265">
        <v>3</v>
      </c>
      <c r="E6265">
        <v>2</v>
      </c>
      <c r="F6265" s="15">
        <v>46286</v>
      </c>
      <c r="G6265" s="19" t="s">
        <v>743</v>
      </c>
      <c r="H6265">
        <v>4</v>
      </c>
      <c r="I6265">
        <v>2026</v>
      </c>
      <c r="J6265">
        <v>9</v>
      </c>
      <c r="K6265" s="19" t="s">
        <v>87</v>
      </c>
      <c r="L6265" s="19" t="s">
        <v>14</v>
      </c>
      <c r="M6265" s="19" t="s">
        <v>63</v>
      </c>
      <c r="N6265" t="b">
        <v>0</v>
      </c>
      <c r="O6265">
        <v>0</v>
      </c>
      <c r="P6265">
        <v>0</v>
      </c>
      <c r="Q6265">
        <v>1</v>
      </c>
      <c r="R6265">
        <v>0</v>
      </c>
    </row>
    <row r="6266" spans="1:18" x14ac:dyDescent="0.45">
      <c r="A6266" s="19" t="s">
        <v>402</v>
      </c>
      <c r="B6266" s="19" t="s">
        <v>8</v>
      </c>
      <c r="C6266">
        <v>1</v>
      </c>
      <c r="D6266">
        <v>4</v>
      </c>
      <c r="E6266">
        <v>2</v>
      </c>
      <c r="F6266" s="15">
        <v>46286</v>
      </c>
      <c r="G6266" s="19" t="s">
        <v>744</v>
      </c>
      <c r="H6266">
        <v>4</v>
      </c>
      <c r="I6266">
        <v>2026</v>
      </c>
      <c r="J6266">
        <v>9</v>
      </c>
      <c r="K6266" s="19" t="s">
        <v>87</v>
      </c>
      <c r="L6266" s="19" t="s">
        <v>19</v>
      </c>
      <c r="M6266" s="19" t="s">
        <v>6</v>
      </c>
      <c r="N6266" t="b">
        <v>0</v>
      </c>
      <c r="O6266">
        <v>1</v>
      </c>
      <c r="P6266">
        <v>0</v>
      </c>
      <c r="Q6266">
        <v>0</v>
      </c>
      <c r="R6266">
        <v>0</v>
      </c>
    </row>
    <row r="6267" spans="1:18" x14ac:dyDescent="0.45">
      <c r="A6267" s="19" t="s">
        <v>402</v>
      </c>
      <c r="B6267" s="19" t="s">
        <v>8</v>
      </c>
      <c r="C6267">
        <v>1</v>
      </c>
      <c r="D6267">
        <v>4</v>
      </c>
      <c r="E6267">
        <v>2</v>
      </c>
      <c r="F6267" s="15">
        <v>46286</v>
      </c>
      <c r="G6267" s="19" t="s">
        <v>744</v>
      </c>
      <c r="H6267">
        <v>4</v>
      </c>
      <c r="I6267">
        <v>2026</v>
      </c>
      <c r="J6267">
        <v>9</v>
      </c>
      <c r="K6267" s="19" t="s">
        <v>87</v>
      </c>
      <c r="L6267" s="19" t="s">
        <v>578</v>
      </c>
      <c r="M6267" s="19" t="s">
        <v>6</v>
      </c>
      <c r="N6267" t="b">
        <v>0</v>
      </c>
      <c r="O6267">
        <v>1</v>
      </c>
      <c r="P6267">
        <v>0</v>
      </c>
      <c r="Q6267">
        <v>0</v>
      </c>
      <c r="R6267">
        <v>0</v>
      </c>
    </row>
    <row r="6268" spans="1:18" x14ac:dyDescent="0.45">
      <c r="A6268" s="19" t="s">
        <v>402</v>
      </c>
      <c r="B6268" s="19" t="s">
        <v>8</v>
      </c>
      <c r="C6268">
        <v>1</v>
      </c>
      <c r="D6268">
        <v>4</v>
      </c>
      <c r="E6268">
        <v>2</v>
      </c>
      <c r="F6268" s="15">
        <v>46286</v>
      </c>
      <c r="G6268" s="19" t="s">
        <v>744</v>
      </c>
      <c r="H6268">
        <v>4</v>
      </c>
      <c r="I6268">
        <v>2026</v>
      </c>
      <c r="J6268">
        <v>9</v>
      </c>
      <c r="K6268" s="19" t="s">
        <v>87</v>
      </c>
      <c r="L6268" s="19" t="s">
        <v>608</v>
      </c>
      <c r="M6268" s="19" t="s">
        <v>6</v>
      </c>
      <c r="N6268" t="b">
        <v>0</v>
      </c>
      <c r="O6268">
        <v>1</v>
      </c>
      <c r="P6268">
        <v>0</v>
      </c>
      <c r="Q6268">
        <v>0</v>
      </c>
      <c r="R6268">
        <v>0</v>
      </c>
    </row>
    <row r="6269" spans="1:18" x14ac:dyDescent="0.45">
      <c r="A6269" s="19" t="s">
        <v>19</v>
      </c>
      <c r="B6269" s="19" t="s">
        <v>6</v>
      </c>
      <c r="C6269">
        <v>2</v>
      </c>
      <c r="D6269">
        <v>4</v>
      </c>
      <c r="E6269">
        <v>2</v>
      </c>
      <c r="F6269" s="15">
        <v>46286</v>
      </c>
      <c r="G6269" s="19" t="s">
        <v>744</v>
      </c>
      <c r="H6269">
        <v>4</v>
      </c>
      <c r="I6269">
        <v>2026</v>
      </c>
      <c r="J6269">
        <v>9</v>
      </c>
      <c r="K6269" s="19" t="s">
        <v>87</v>
      </c>
      <c r="L6269" s="19" t="s">
        <v>402</v>
      </c>
      <c r="M6269" s="19" t="s">
        <v>8</v>
      </c>
      <c r="N6269" t="b">
        <v>0</v>
      </c>
      <c r="O6269">
        <v>0</v>
      </c>
      <c r="P6269">
        <v>1</v>
      </c>
      <c r="Q6269">
        <v>0</v>
      </c>
      <c r="R6269">
        <v>1</v>
      </c>
    </row>
    <row r="6270" spans="1:18" x14ac:dyDescent="0.45">
      <c r="A6270" s="19" t="s">
        <v>19</v>
      </c>
      <c r="B6270" s="19" t="s">
        <v>6</v>
      </c>
      <c r="C6270">
        <v>2</v>
      </c>
      <c r="D6270">
        <v>4</v>
      </c>
      <c r="E6270">
        <v>2</v>
      </c>
      <c r="F6270" s="15">
        <v>46286</v>
      </c>
      <c r="G6270" s="19" t="s">
        <v>744</v>
      </c>
      <c r="H6270">
        <v>4</v>
      </c>
      <c r="I6270">
        <v>2026</v>
      </c>
      <c r="J6270">
        <v>9</v>
      </c>
      <c r="K6270" s="19" t="s">
        <v>87</v>
      </c>
      <c r="L6270" s="19" t="s">
        <v>578</v>
      </c>
      <c r="M6270" s="19" t="s">
        <v>6</v>
      </c>
      <c r="N6270" t="b">
        <v>0</v>
      </c>
      <c r="O6270">
        <v>0</v>
      </c>
      <c r="P6270">
        <v>1</v>
      </c>
      <c r="Q6270">
        <v>0</v>
      </c>
      <c r="R6270">
        <v>0</v>
      </c>
    </row>
    <row r="6271" spans="1:18" x14ac:dyDescent="0.45">
      <c r="A6271" s="19" t="s">
        <v>19</v>
      </c>
      <c r="B6271" s="19" t="s">
        <v>6</v>
      </c>
      <c r="C6271">
        <v>2</v>
      </c>
      <c r="D6271">
        <v>4</v>
      </c>
      <c r="E6271">
        <v>2</v>
      </c>
      <c r="F6271" s="15">
        <v>46286</v>
      </c>
      <c r="G6271" s="19" t="s">
        <v>744</v>
      </c>
      <c r="H6271">
        <v>4</v>
      </c>
      <c r="I6271">
        <v>2026</v>
      </c>
      <c r="J6271">
        <v>9</v>
      </c>
      <c r="K6271" s="19" t="s">
        <v>87</v>
      </c>
      <c r="L6271" s="19" t="s">
        <v>608</v>
      </c>
      <c r="M6271" s="19" t="s">
        <v>6</v>
      </c>
      <c r="N6271" t="b">
        <v>0</v>
      </c>
      <c r="O6271">
        <v>0</v>
      </c>
      <c r="P6271">
        <v>1</v>
      </c>
      <c r="Q6271">
        <v>0</v>
      </c>
      <c r="R6271">
        <v>0</v>
      </c>
    </row>
    <row r="6272" spans="1:18" x14ac:dyDescent="0.45">
      <c r="A6272" s="19" t="s">
        <v>578</v>
      </c>
      <c r="B6272" s="19" t="s">
        <v>6</v>
      </c>
      <c r="C6272">
        <v>3</v>
      </c>
      <c r="D6272">
        <v>4</v>
      </c>
      <c r="E6272">
        <v>2</v>
      </c>
      <c r="F6272" s="15">
        <v>46286</v>
      </c>
      <c r="G6272" s="19" t="s">
        <v>744</v>
      </c>
      <c r="H6272">
        <v>4</v>
      </c>
      <c r="I6272">
        <v>2026</v>
      </c>
      <c r="J6272">
        <v>9</v>
      </c>
      <c r="K6272" s="19" t="s">
        <v>87</v>
      </c>
      <c r="L6272" s="19" t="s">
        <v>402</v>
      </c>
      <c r="M6272" s="19" t="s">
        <v>8</v>
      </c>
      <c r="N6272" t="b">
        <v>0</v>
      </c>
      <c r="O6272">
        <v>0</v>
      </c>
      <c r="P6272">
        <v>1</v>
      </c>
      <c r="Q6272">
        <v>0</v>
      </c>
      <c r="R6272">
        <v>1</v>
      </c>
    </row>
    <row r="6273" spans="1:18" x14ac:dyDescent="0.45">
      <c r="A6273" s="19" t="s">
        <v>578</v>
      </c>
      <c r="B6273" s="19" t="s">
        <v>6</v>
      </c>
      <c r="C6273">
        <v>3</v>
      </c>
      <c r="D6273">
        <v>4</v>
      </c>
      <c r="E6273">
        <v>2</v>
      </c>
      <c r="F6273" s="15">
        <v>46286</v>
      </c>
      <c r="G6273" s="19" t="s">
        <v>744</v>
      </c>
      <c r="H6273">
        <v>4</v>
      </c>
      <c r="I6273">
        <v>2026</v>
      </c>
      <c r="J6273">
        <v>9</v>
      </c>
      <c r="K6273" s="19" t="s">
        <v>87</v>
      </c>
      <c r="L6273" s="19" t="s">
        <v>19</v>
      </c>
      <c r="M6273" s="19" t="s">
        <v>6</v>
      </c>
      <c r="N6273" t="b">
        <v>0</v>
      </c>
      <c r="O6273">
        <v>0</v>
      </c>
      <c r="P6273">
        <v>1</v>
      </c>
      <c r="Q6273">
        <v>0</v>
      </c>
      <c r="R6273">
        <v>0</v>
      </c>
    </row>
    <row r="6274" spans="1:18" x14ac:dyDescent="0.45">
      <c r="A6274" s="19" t="s">
        <v>578</v>
      </c>
      <c r="B6274" s="19" t="s">
        <v>6</v>
      </c>
      <c r="C6274">
        <v>3</v>
      </c>
      <c r="D6274">
        <v>4</v>
      </c>
      <c r="E6274">
        <v>2</v>
      </c>
      <c r="F6274" s="15">
        <v>46286</v>
      </c>
      <c r="G6274" s="19" t="s">
        <v>744</v>
      </c>
      <c r="H6274">
        <v>4</v>
      </c>
      <c r="I6274">
        <v>2026</v>
      </c>
      <c r="J6274">
        <v>9</v>
      </c>
      <c r="K6274" s="19" t="s">
        <v>87</v>
      </c>
      <c r="L6274" s="19" t="s">
        <v>608</v>
      </c>
      <c r="M6274" s="19" t="s">
        <v>6</v>
      </c>
      <c r="N6274" t="b">
        <v>0</v>
      </c>
      <c r="O6274">
        <v>0</v>
      </c>
      <c r="P6274">
        <v>1</v>
      </c>
      <c r="Q6274">
        <v>0</v>
      </c>
      <c r="R6274">
        <v>0</v>
      </c>
    </row>
    <row r="6275" spans="1:18" x14ac:dyDescent="0.45">
      <c r="A6275" s="19" t="s">
        <v>608</v>
      </c>
      <c r="B6275" s="19" t="s">
        <v>6</v>
      </c>
      <c r="C6275">
        <v>4</v>
      </c>
      <c r="D6275">
        <v>4</v>
      </c>
      <c r="E6275">
        <v>2</v>
      </c>
      <c r="F6275" s="15">
        <v>46286</v>
      </c>
      <c r="G6275" s="19" t="s">
        <v>744</v>
      </c>
      <c r="H6275">
        <v>4</v>
      </c>
      <c r="I6275">
        <v>2026</v>
      </c>
      <c r="J6275">
        <v>9</v>
      </c>
      <c r="K6275" s="19" t="s">
        <v>87</v>
      </c>
      <c r="L6275" s="19" t="s">
        <v>402</v>
      </c>
      <c r="M6275" s="19" t="s">
        <v>8</v>
      </c>
      <c r="N6275" t="b">
        <v>0</v>
      </c>
      <c r="O6275">
        <v>0</v>
      </c>
      <c r="P6275">
        <v>1</v>
      </c>
      <c r="Q6275">
        <v>0</v>
      </c>
      <c r="R6275">
        <v>1</v>
      </c>
    </row>
    <row r="6276" spans="1:18" x14ac:dyDescent="0.45">
      <c r="A6276" s="19" t="s">
        <v>608</v>
      </c>
      <c r="B6276" s="19" t="s">
        <v>6</v>
      </c>
      <c r="C6276">
        <v>4</v>
      </c>
      <c r="D6276">
        <v>4</v>
      </c>
      <c r="E6276">
        <v>2</v>
      </c>
      <c r="F6276" s="15">
        <v>46286</v>
      </c>
      <c r="G6276" s="19" t="s">
        <v>744</v>
      </c>
      <c r="H6276">
        <v>4</v>
      </c>
      <c r="I6276">
        <v>2026</v>
      </c>
      <c r="J6276">
        <v>9</v>
      </c>
      <c r="K6276" s="19" t="s">
        <v>87</v>
      </c>
      <c r="L6276" s="19" t="s">
        <v>19</v>
      </c>
      <c r="M6276" s="19" t="s">
        <v>6</v>
      </c>
      <c r="N6276" t="b">
        <v>0</v>
      </c>
      <c r="O6276">
        <v>0</v>
      </c>
      <c r="P6276">
        <v>1</v>
      </c>
      <c r="Q6276">
        <v>0</v>
      </c>
      <c r="R6276">
        <v>0</v>
      </c>
    </row>
    <row r="6277" spans="1:18" x14ac:dyDescent="0.45">
      <c r="A6277" s="19" t="s">
        <v>608</v>
      </c>
      <c r="B6277" s="19" t="s">
        <v>6</v>
      </c>
      <c r="C6277">
        <v>4</v>
      </c>
      <c r="D6277">
        <v>4</v>
      </c>
      <c r="E6277">
        <v>2</v>
      </c>
      <c r="F6277" s="15">
        <v>46286</v>
      </c>
      <c r="G6277" s="19" t="s">
        <v>744</v>
      </c>
      <c r="H6277">
        <v>4</v>
      </c>
      <c r="I6277">
        <v>2026</v>
      </c>
      <c r="J6277">
        <v>9</v>
      </c>
      <c r="K6277" s="19" t="s">
        <v>87</v>
      </c>
      <c r="L6277" s="19" t="s">
        <v>578</v>
      </c>
      <c r="M6277" s="19" t="s">
        <v>6</v>
      </c>
      <c r="N6277" t="b">
        <v>0</v>
      </c>
      <c r="O6277">
        <v>0</v>
      </c>
      <c r="P6277">
        <v>1</v>
      </c>
      <c r="Q6277">
        <v>0</v>
      </c>
      <c r="R6277">
        <v>0</v>
      </c>
    </row>
    <row r="6278" spans="1:18" x14ac:dyDescent="0.45">
      <c r="A6278" s="19" t="s">
        <v>20</v>
      </c>
      <c r="B6278" s="19" t="s">
        <v>8</v>
      </c>
      <c r="C6278">
        <v>1</v>
      </c>
      <c r="D6278">
        <v>5</v>
      </c>
      <c r="E6278">
        <v>2</v>
      </c>
      <c r="F6278" s="15">
        <v>46286</v>
      </c>
      <c r="G6278" s="19" t="s">
        <v>745</v>
      </c>
      <c r="H6278">
        <v>4</v>
      </c>
      <c r="I6278">
        <v>2026</v>
      </c>
      <c r="J6278">
        <v>9</v>
      </c>
      <c r="K6278" s="19" t="s">
        <v>87</v>
      </c>
      <c r="L6278" s="19" t="s">
        <v>10</v>
      </c>
      <c r="M6278" s="19" t="s">
        <v>6</v>
      </c>
      <c r="N6278" t="b">
        <v>0</v>
      </c>
      <c r="O6278">
        <v>1</v>
      </c>
      <c r="P6278">
        <v>0</v>
      </c>
      <c r="Q6278">
        <v>0</v>
      </c>
      <c r="R6278">
        <v>0</v>
      </c>
    </row>
    <row r="6279" spans="1:18" x14ac:dyDescent="0.45">
      <c r="A6279" s="19" t="s">
        <v>20</v>
      </c>
      <c r="B6279" s="19" t="s">
        <v>8</v>
      </c>
      <c r="C6279">
        <v>1</v>
      </c>
      <c r="D6279">
        <v>5</v>
      </c>
      <c r="E6279">
        <v>2</v>
      </c>
      <c r="F6279" s="15">
        <v>46286</v>
      </c>
      <c r="G6279" s="19" t="s">
        <v>745</v>
      </c>
      <c r="H6279">
        <v>4</v>
      </c>
      <c r="I6279">
        <v>2026</v>
      </c>
      <c r="J6279">
        <v>9</v>
      </c>
      <c r="K6279" s="19" t="s">
        <v>87</v>
      </c>
      <c r="L6279" s="19" t="s">
        <v>13</v>
      </c>
      <c r="M6279" s="19" t="s">
        <v>6</v>
      </c>
      <c r="N6279" t="b">
        <v>0</v>
      </c>
      <c r="O6279">
        <v>1</v>
      </c>
      <c r="P6279">
        <v>0</v>
      </c>
      <c r="Q6279">
        <v>0</v>
      </c>
      <c r="R6279">
        <v>0</v>
      </c>
    </row>
    <row r="6280" spans="1:18" x14ac:dyDescent="0.45">
      <c r="A6280" s="19" t="s">
        <v>20</v>
      </c>
      <c r="B6280" s="19" t="s">
        <v>8</v>
      </c>
      <c r="C6280">
        <v>1</v>
      </c>
      <c r="D6280">
        <v>5</v>
      </c>
      <c r="E6280">
        <v>2</v>
      </c>
      <c r="F6280" s="15">
        <v>46286</v>
      </c>
      <c r="G6280" s="19" t="s">
        <v>745</v>
      </c>
      <c r="H6280">
        <v>4</v>
      </c>
      <c r="I6280">
        <v>2026</v>
      </c>
      <c r="J6280">
        <v>9</v>
      </c>
      <c r="K6280" s="19" t="s">
        <v>87</v>
      </c>
      <c r="L6280" s="19" t="s">
        <v>519</v>
      </c>
      <c r="M6280" s="19" t="s">
        <v>6</v>
      </c>
      <c r="N6280" t="b">
        <v>0</v>
      </c>
      <c r="O6280">
        <v>1</v>
      </c>
      <c r="P6280">
        <v>0</v>
      </c>
      <c r="Q6280">
        <v>0</v>
      </c>
      <c r="R6280">
        <v>0</v>
      </c>
    </row>
    <row r="6281" spans="1:18" x14ac:dyDescent="0.45">
      <c r="A6281" s="19" t="s">
        <v>10</v>
      </c>
      <c r="B6281" s="19" t="s">
        <v>6</v>
      </c>
      <c r="C6281">
        <v>2</v>
      </c>
      <c r="D6281">
        <v>5</v>
      </c>
      <c r="E6281">
        <v>2</v>
      </c>
      <c r="F6281" s="15">
        <v>46286</v>
      </c>
      <c r="G6281" s="19" t="s">
        <v>745</v>
      </c>
      <c r="H6281">
        <v>4</v>
      </c>
      <c r="I6281">
        <v>2026</v>
      </c>
      <c r="J6281">
        <v>9</v>
      </c>
      <c r="K6281" s="19" t="s">
        <v>87</v>
      </c>
      <c r="L6281" s="19" t="s">
        <v>20</v>
      </c>
      <c r="M6281" s="19" t="s">
        <v>8</v>
      </c>
      <c r="N6281" t="b">
        <v>0</v>
      </c>
      <c r="O6281">
        <v>0</v>
      </c>
      <c r="P6281">
        <v>1</v>
      </c>
      <c r="Q6281">
        <v>0</v>
      </c>
      <c r="R6281">
        <v>1</v>
      </c>
    </row>
    <row r="6282" spans="1:18" x14ac:dyDescent="0.45">
      <c r="A6282" s="19" t="s">
        <v>10</v>
      </c>
      <c r="B6282" s="19" t="s">
        <v>6</v>
      </c>
      <c r="C6282">
        <v>2</v>
      </c>
      <c r="D6282">
        <v>5</v>
      </c>
      <c r="E6282">
        <v>2</v>
      </c>
      <c r="F6282" s="15">
        <v>46286</v>
      </c>
      <c r="G6282" s="19" t="s">
        <v>745</v>
      </c>
      <c r="H6282">
        <v>4</v>
      </c>
      <c r="I6282">
        <v>2026</v>
      </c>
      <c r="J6282">
        <v>9</v>
      </c>
      <c r="K6282" s="19" t="s">
        <v>87</v>
      </c>
      <c r="L6282" s="19" t="s">
        <v>13</v>
      </c>
      <c r="M6282" s="19" t="s">
        <v>6</v>
      </c>
      <c r="N6282" t="b">
        <v>0</v>
      </c>
      <c r="O6282">
        <v>0</v>
      </c>
      <c r="P6282">
        <v>1</v>
      </c>
      <c r="Q6282">
        <v>0</v>
      </c>
      <c r="R6282">
        <v>0</v>
      </c>
    </row>
    <row r="6283" spans="1:18" x14ac:dyDescent="0.45">
      <c r="A6283" s="19" t="s">
        <v>10</v>
      </c>
      <c r="B6283" s="19" t="s">
        <v>6</v>
      </c>
      <c r="C6283">
        <v>2</v>
      </c>
      <c r="D6283">
        <v>5</v>
      </c>
      <c r="E6283">
        <v>2</v>
      </c>
      <c r="F6283" s="15">
        <v>46286</v>
      </c>
      <c r="G6283" s="19" t="s">
        <v>745</v>
      </c>
      <c r="H6283">
        <v>4</v>
      </c>
      <c r="I6283">
        <v>2026</v>
      </c>
      <c r="J6283">
        <v>9</v>
      </c>
      <c r="K6283" s="19" t="s">
        <v>87</v>
      </c>
      <c r="L6283" s="19" t="s">
        <v>519</v>
      </c>
      <c r="M6283" s="19" t="s">
        <v>6</v>
      </c>
      <c r="N6283" t="b">
        <v>0</v>
      </c>
      <c r="O6283">
        <v>0</v>
      </c>
      <c r="P6283">
        <v>1</v>
      </c>
      <c r="Q6283">
        <v>0</v>
      </c>
      <c r="R6283">
        <v>0</v>
      </c>
    </row>
    <row r="6284" spans="1:18" x14ac:dyDescent="0.45">
      <c r="A6284" s="19" t="s">
        <v>13</v>
      </c>
      <c r="B6284" s="19" t="s">
        <v>6</v>
      </c>
      <c r="C6284">
        <v>3</v>
      </c>
      <c r="D6284">
        <v>5</v>
      </c>
      <c r="E6284">
        <v>2</v>
      </c>
      <c r="F6284" s="15">
        <v>46286</v>
      </c>
      <c r="G6284" s="19" t="s">
        <v>745</v>
      </c>
      <c r="H6284">
        <v>4</v>
      </c>
      <c r="I6284">
        <v>2026</v>
      </c>
      <c r="J6284">
        <v>9</v>
      </c>
      <c r="K6284" s="19" t="s">
        <v>87</v>
      </c>
      <c r="L6284" s="19" t="s">
        <v>20</v>
      </c>
      <c r="M6284" s="19" t="s">
        <v>8</v>
      </c>
      <c r="N6284" t="b">
        <v>0</v>
      </c>
      <c r="O6284">
        <v>0</v>
      </c>
      <c r="P6284">
        <v>1</v>
      </c>
      <c r="Q6284">
        <v>0</v>
      </c>
      <c r="R6284">
        <v>1</v>
      </c>
    </row>
    <row r="6285" spans="1:18" x14ac:dyDescent="0.45">
      <c r="A6285" s="19" t="s">
        <v>13</v>
      </c>
      <c r="B6285" s="19" t="s">
        <v>6</v>
      </c>
      <c r="C6285">
        <v>3</v>
      </c>
      <c r="D6285">
        <v>5</v>
      </c>
      <c r="E6285">
        <v>2</v>
      </c>
      <c r="F6285" s="15">
        <v>46286</v>
      </c>
      <c r="G6285" s="19" t="s">
        <v>745</v>
      </c>
      <c r="H6285">
        <v>4</v>
      </c>
      <c r="I6285">
        <v>2026</v>
      </c>
      <c r="J6285">
        <v>9</v>
      </c>
      <c r="K6285" s="19" t="s">
        <v>87</v>
      </c>
      <c r="L6285" s="19" t="s">
        <v>10</v>
      </c>
      <c r="M6285" s="19" t="s">
        <v>6</v>
      </c>
      <c r="N6285" t="b">
        <v>0</v>
      </c>
      <c r="O6285">
        <v>0</v>
      </c>
      <c r="P6285">
        <v>1</v>
      </c>
      <c r="Q6285">
        <v>0</v>
      </c>
      <c r="R6285">
        <v>0</v>
      </c>
    </row>
    <row r="6286" spans="1:18" x14ac:dyDescent="0.45">
      <c r="A6286" s="19" t="s">
        <v>13</v>
      </c>
      <c r="B6286" s="19" t="s">
        <v>6</v>
      </c>
      <c r="C6286">
        <v>3</v>
      </c>
      <c r="D6286">
        <v>5</v>
      </c>
      <c r="E6286">
        <v>2</v>
      </c>
      <c r="F6286" s="15">
        <v>46286</v>
      </c>
      <c r="G6286" s="19" t="s">
        <v>745</v>
      </c>
      <c r="H6286">
        <v>4</v>
      </c>
      <c r="I6286">
        <v>2026</v>
      </c>
      <c r="J6286">
        <v>9</v>
      </c>
      <c r="K6286" s="19" t="s">
        <v>87</v>
      </c>
      <c r="L6286" s="19" t="s">
        <v>519</v>
      </c>
      <c r="M6286" s="19" t="s">
        <v>6</v>
      </c>
      <c r="N6286" t="b">
        <v>0</v>
      </c>
      <c r="O6286">
        <v>0</v>
      </c>
      <c r="P6286">
        <v>1</v>
      </c>
      <c r="Q6286">
        <v>0</v>
      </c>
      <c r="R6286">
        <v>0</v>
      </c>
    </row>
    <row r="6287" spans="1:18" x14ac:dyDescent="0.45">
      <c r="A6287" s="19" t="s">
        <v>519</v>
      </c>
      <c r="B6287" s="19" t="s">
        <v>6</v>
      </c>
      <c r="C6287">
        <v>4</v>
      </c>
      <c r="D6287">
        <v>5</v>
      </c>
      <c r="E6287">
        <v>2</v>
      </c>
      <c r="F6287" s="15">
        <v>46286</v>
      </c>
      <c r="G6287" s="19" t="s">
        <v>745</v>
      </c>
      <c r="H6287">
        <v>4</v>
      </c>
      <c r="I6287">
        <v>2026</v>
      </c>
      <c r="J6287">
        <v>9</v>
      </c>
      <c r="K6287" s="19" t="s">
        <v>87</v>
      </c>
      <c r="L6287" s="19" t="s">
        <v>20</v>
      </c>
      <c r="M6287" s="19" t="s">
        <v>8</v>
      </c>
      <c r="N6287" t="b">
        <v>0</v>
      </c>
      <c r="O6287">
        <v>0</v>
      </c>
      <c r="P6287">
        <v>1</v>
      </c>
      <c r="Q6287">
        <v>0</v>
      </c>
      <c r="R6287">
        <v>1</v>
      </c>
    </row>
    <row r="6288" spans="1:18" x14ac:dyDescent="0.45">
      <c r="A6288" s="19" t="s">
        <v>519</v>
      </c>
      <c r="B6288" s="19" t="s">
        <v>6</v>
      </c>
      <c r="C6288">
        <v>4</v>
      </c>
      <c r="D6288">
        <v>5</v>
      </c>
      <c r="E6288">
        <v>2</v>
      </c>
      <c r="F6288" s="15">
        <v>46286</v>
      </c>
      <c r="G6288" s="19" t="s">
        <v>745</v>
      </c>
      <c r="H6288">
        <v>4</v>
      </c>
      <c r="I6288">
        <v>2026</v>
      </c>
      <c r="J6288">
        <v>9</v>
      </c>
      <c r="K6288" s="19" t="s">
        <v>87</v>
      </c>
      <c r="L6288" s="19" t="s">
        <v>10</v>
      </c>
      <c r="M6288" s="19" t="s">
        <v>6</v>
      </c>
      <c r="N6288" t="b">
        <v>0</v>
      </c>
      <c r="O6288">
        <v>0</v>
      </c>
      <c r="P6288">
        <v>1</v>
      </c>
      <c r="Q6288">
        <v>0</v>
      </c>
      <c r="R6288">
        <v>0</v>
      </c>
    </row>
    <row r="6289" spans="1:18" x14ac:dyDescent="0.45">
      <c r="A6289" s="19" t="s">
        <v>519</v>
      </c>
      <c r="B6289" s="19" t="s">
        <v>6</v>
      </c>
      <c r="C6289">
        <v>4</v>
      </c>
      <c r="D6289">
        <v>5</v>
      </c>
      <c r="E6289">
        <v>2</v>
      </c>
      <c r="F6289" s="15">
        <v>46286</v>
      </c>
      <c r="G6289" s="19" t="s">
        <v>745</v>
      </c>
      <c r="H6289">
        <v>4</v>
      </c>
      <c r="I6289">
        <v>2026</v>
      </c>
      <c r="J6289">
        <v>9</v>
      </c>
      <c r="K6289" s="19" t="s">
        <v>87</v>
      </c>
      <c r="L6289" s="19" t="s">
        <v>13</v>
      </c>
      <c r="M6289" s="19" t="s">
        <v>6</v>
      </c>
      <c r="N6289" t="b">
        <v>0</v>
      </c>
      <c r="O6289">
        <v>0</v>
      </c>
      <c r="P6289">
        <v>1</v>
      </c>
      <c r="Q6289">
        <v>0</v>
      </c>
      <c r="R6289">
        <v>0</v>
      </c>
    </row>
    <row r="6290" spans="1:18" x14ac:dyDescent="0.45">
      <c r="A6290" s="19" t="s">
        <v>364</v>
      </c>
      <c r="B6290" s="19" t="s">
        <v>6</v>
      </c>
      <c r="C6290">
        <v>1</v>
      </c>
      <c r="D6290">
        <v>6</v>
      </c>
      <c r="E6290">
        <v>2</v>
      </c>
      <c r="F6290" s="15">
        <v>46286</v>
      </c>
      <c r="G6290" s="19" t="s">
        <v>746</v>
      </c>
      <c r="H6290">
        <v>3</v>
      </c>
      <c r="I6290">
        <v>2026</v>
      </c>
      <c r="J6290">
        <v>9</v>
      </c>
      <c r="K6290" s="19" t="s">
        <v>87</v>
      </c>
      <c r="L6290" s="19" t="s">
        <v>27</v>
      </c>
      <c r="M6290" s="19" t="s">
        <v>8</v>
      </c>
      <c r="N6290" t="b">
        <v>0</v>
      </c>
      <c r="O6290">
        <v>0</v>
      </c>
      <c r="P6290">
        <v>1</v>
      </c>
      <c r="Q6290">
        <v>0</v>
      </c>
      <c r="R6290">
        <v>1</v>
      </c>
    </row>
    <row r="6291" spans="1:18" x14ac:dyDescent="0.45">
      <c r="A6291" s="19" t="s">
        <v>364</v>
      </c>
      <c r="B6291" s="19" t="s">
        <v>6</v>
      </c>
      <c r="C6291">
        <v>1</v>
      </c>
      <c r="D6291">
        <v>6</v>
      </c>
      <c r="E6291">
        <v>2</v>
      </c>
      <c r="F6291" s="15">
        <v>46286</v>
      </c>
      <c r="G6291" s="19" t="s">
        <v>746</v>
      </c>
      <c r="H6291">
        <v>3</v>
      </c>
      <c r="I6291">
        <v>2026</v>
      </c>
      <c r="J6291">
        <v>9</v>
      </c>
      <c r="K6291" s="19" t="s">
        <v>87</v>
      </c>
      <c r="L6291" s="19" t="s">
        <v>609</v>
      </c>
      <c r="M6291" s="19" t="s">
        <v>6</v>
      </c>
      <c r="N6291" t="b">
        <v>0</v>
      </c>
      <c r="O6291">
        <v>0</v>
      </c>
      <c r="P6291">
        <v>1</v>
      </c>
      <c r="Q6291">
        <v>0</v>
      </c>
      <c r="R6291">
        <v>0</v>
      </c>
    </row>
    <row r="6292" spans="1:18" x14ac:dyDescent="0.45">
      <c r="A6292" s="19" t="s">
        <v>27</v>
      </c>
      <c r="B6292" s="19" t="s">
        <v>8</v>
      </c>
      <c r="C6292">
        <v>2</v>
      </c>
      <c r="D6292">
        <v>6</v>
      </c>
      <c r="E6292">
        <v>2</v>
      </c>
      <c r="F6292" s="15">
        <v>46286</v>
      </c>
      <c r="G6292" s="19" t="s">
        <v>746</v>
      </c>
      <c r="H6292">
        <v>3</v>
      </c>
      <c r="I6292">
        <v>2026</v>
      </c>
      <c r="J6292">
        <v>9</v>
      </c>
      <c r="K6292" s="19" t="s">
        <v>87</v>
      </c>
      <c r="L6292" s="19" t="s">
        <v>364</v>
      </c>
      <c r="M6292" s="19" t="s">
        <v>6</v>
      </c>
      <c r="N6292" t="b">
        <v>0</v>
      </c>
      <c r="O6292">
        <v>1</v>
      </c>
      <c r="P6292">
        <v>0</v>
      </c>
      <c r="Q6292">
        <v>0</v>
      </c>
      <c r="R6292">
        <v>0</v>
      </c>
    </row>
    <row r="6293" spans="1:18" x14ac:dyDescent="0.45">
      <c r="A6293" s="19" t="s">
        <v>27</v>
      </c>
      <c r="B6293" s="19" t="s">
        <v>8</v>
      </c>
      <c r="C6293">
        <v>2</v>
      </c>
      <c r="D6293">
        <v>6</v>
      </c>
      <c r="E6293">
        <v>2</v>
      </c>
      <c r="F6293" s="15">
        <v>46286</v>
      </c>
      <c r="G6293" s="19" t="s">
        <v>746</v>
      </c>
      <c r="H6293">
        <v>3</v>
      </c>
      <c r="I6293">
        <v>2026</v>
      </c>
      <c r="J6293">
        <v>9</v>
      </c>
      <c r="K6293" s="19" t="s">
        <v>87</v>
      </c>
      <c r="L6293" s="19" t="s">
        <v>609</v>
      </c>
      <c r="M6293" s="19" t="s">
        <v>6</v>
      </c>
      <c r="N6293" t="b">
        <v>0</v>
      </c>
      <c r="O6293">
        <v>1</v>
      </c>
      <c r="P6293">
        <v>0</v>
      </c>
      <c r="Q6293">
        <v>0</v>
      </c>
      <c r="R6293">
        <v>0</v>
      </c>
    </row>
    <row r="6294" spans="1:18" x14ac:dyDescent="0.45">
      <c r="A6294" s="19" t="s">
        <v>609</v>
      </c>
      <c r="B6294" s="19" t="s">
        <v>6</v>
      </c>
      <c r="C6294">
        <v>3</v>
      </c>
      <c r="D6294">
        <v>6</v>
      </c>
      <c r="E6294">
        <v>2</v>
      </c>
      <c r="F6294" s="15">
        <v>46286</v>
      </c>
      <c r="G6294" s="19" t="s">
        <v>746</v>
      </c>
      <c r="H6294">
        <v>3</v>
      </c>
      <c r="I6294">
        <v>2026</v>
      </c>
      <c r="J6294">
        <v>9</v>
      </c>
      <c r="K6294" s="19" t="s">
        <v>87</v>
      </c>
      <c r="L6294" s="19" t="s">
        <v>364</v>
      </c>
      <c r="M6294" s="19" t="s">
        <v>6</v>
      </c>
      <c r="N6294" t="b">
        <v>0</v>
      </c>
      <c r="O6294">
        <v>0</v>
      </c>
      <c r="P6294">
        <v>1</v>
      </c>
      <c r="Q6294">
        <v>0</v>
      </c>
      <c r="R6294">
        <v>0</v>
      </c>
    </row>
    <row r="6295" spans="1:18" x14ac:dyDescent="0.45">
      <c r="A6295" s="19" t="s">
        <v>609</v>
      </c>
      <c r="B6295" s="19" t="s">
        <v>6</v>
      </c>
      <c r="C6295">
        <v>3</v>
      </c>
      <c r="D6295">
        <v>6</v>
      </c>
      <c r="E6295">
        <v>2</v>
      </c>
      <c r="F6295" s="15">
        <v>46286</v>
      </c>
      <c r="G6295" s="19" t="s">
        <v>746</v>
      </c>
      <c r="H6295">
        <v>3</v>
      </c>
      <c r="I6295">
        <v>2026</v>
      </c>
      <c r="J6295">
        <v>9</v>
      </c>
      <c r="K6295" s="19" t="s">
        <v>87</v>
      </c>
      <c r="L6295" s="19" t="s">
        <v>27</v>
      </c>
      <c r="M6295" s="19" t="s">
        <v>8</v>
      </c>
      <c r="N6295" t="b">
        <v>0</v>
      </c>
      <c r="O6295">
        <v>0</v>
      </c>
      <c r="P6295">
        <v>1</v>
      </c>
      <c r="Q6295">
        <v>0</v>
      </c>
      <c r="R6295">
        <v>1</v>
      </c>
    </row>
    <row r="6296" spans="1:18" x14ac:dyDescent="0.45">
      <c r="A6296" s="19" t="s">
        <v>433</v>
      </c>
      <c r="B6296" s="19" t="s">
        <v>63</v>
      </c>
      <c r="C6296">
        <v>1</v>
      </c>
      <c r="D6296">
        <v>1</v>
      </c>
      <c r="E6296">
        <v>1</v>
      </c>
      <c r="F6296" s="15">
        <v>46293</v>
      </c>
      <c r="G6296" s="19" t="s">
        <v>747</v>
      </c>
      <c r="H6296">
        <v>4</v>
      </c>
      <c r="I6296">
        <v>2026</v>
      </c>
      <c r="J6296">
        <v>9</v>
      </c>
      <c r="K6296" s="19" t="s">
        <v>87</v>
      </c>
      <c r="L6296" s="19" t="s">
        <v>28</v>
      </c>
      <c r="M6296" s="19" t="s">
        <v>63</v>
      </c>
      <c r="N6296" t="b">
        <v>0</v>
      </c>
      <c r="O6296">
        <v>0</v>
      </c>
      <c r="P6296">
        <v>0</v>
      </c>
      <c r="Q6296">
        <v>1</v>
      </c>
      <c r="R6296">
        <v>0</v>
      </c>
    </row>
    <row r="6297" spans="1:18" x14ac:dyDescent="0.45">
      <c r="A6297" s="19" t="s">
        <v>433</v>
      </c>
      <c r="B6297" s="19" t="s">
        <v>63</v>
      </c>
      <c r="C6297">
        <v>1</v>
      </c>
      <c r="D6297">
        <v>1</v>
      </c>
      <c r="E6297">
        <v>1</v>
      </c>
      <c r="F6297" s="15">
        <v>46293</v>
      </c>
      <c r="G6297" s="19" t="s">
        <v>747</v>
      </c>
      <c r="H6297">
        <v>4</v>
      </c>
      <c r="I6297">
        <v>2026</v>
      </c>
      <c r="J6297">
        <v>9</v>
      </c>
      <c r="K6297" s="19" t="s">
        <v>87</v>
      </c>
      <c r="L6297" s="19" t="s">
        <v>51</v>
      </c>
      <c r="M6297" s="19" t="s">
        <v>63</v>
      </c>
      <c r="N6297" t="b">
        <v>0</v>
      </c>
      <c r="O6297">
        <v>0</v>
      </c>
      <c r="P6297">
        <v>0</v>
      </c>
      <c r="Q6297">
        <v>1</v>
      </c>
      <c r="R6297">
        <v>0</v>
      </c>
    </row>
    <row r="6298" spans="1:18" x14ac:dyDescent="0.45">
      <c r="A6298" s="19" t="s">
        <v>433</v>
      </c>
      <c r="B6298" s="19" t="s">
        <v>63</v>
      </c>
      <c r="C6298">
        <v>1</v>
      </c>
      <c r="D6298">
        <v>1</v>
      </c>
      <c r="E6298">
        <v>1</v>
      </c>
      <c r="F6298" s="15">
        <v>46293</v>
      </c>
      <c r="G6298" s="19" t="s">
        <v>747</v>
      </c>
      <c r="H6298">
        <v>4</v>
      </c>
      <c r="I6298">
        <v>2026</v>
      </c>
      <c r="J6298">
        <v>9</v>
      </c>
      <c r="K6298" s="19" t="s">
        <v>87</v>
      </c>
      <c r="L6298" s="19" t="s">
        <v>15</v>
      </c>
      <c r="M6298" s="19" t="s">
        <v>63</v>
      </c>
      <c r="N6298" t="b">
        <v>0</v>
      </c>
      <c r="O6298">
        <v>0</v>
      </c>
      <c r="P6298">
        <v>0</v>
      </c>
      <c r="Q6298">
        <v>1</v>
      </c>
      <c r="R6298">
        <v>0</v>
      </c>
    </row>
    <row r="6299" spans="1:18" x14ac:dyDescent="0.45">
      <c r="A6299" s="19" t="s">
        <v>28</v>
      </c>
      <c r="B6299" s="19" t="s">
        <v>63</v>
      </c>
      <c r="C6299">
        <v>2</v>
      </c>
      <c r="D6299">
        <v>1</v>
      </c>
      <c r="E6299">
        <v>1</v>
      </c>
      <c r="F6299" s="15">
        <v>46293</v>
      </c>
      <c r="G6299" s="19" t="s">
        <v>747</v>
      </c>
      <c r="H6299">
        <v>4</v>
      </c>
      <c r="I6299">
        <v>2026</v>
      </c>
      <c r="J6299">
        <v>9</v>
      </c>
      <c r="K6299" s="19" t="s">
        <v>87</v>
      </c>
      <c r="L6299" s="19" t="s">
        <v>433</v>
      </c>
      <c r="M6299" s="19" t="s">
        <v>63</v>
      </c>
      <c r="N6299" t="b">
        <v>0</v>
      </c>
      <c r="O6299">
        <v>0</v>
      </c>
      <c r="P6299">
        <v>0</v>
      </c>
      <c r="Q6299">
        <v>1</v>
      </c>
      <c r="R6299">
        <v>0</v>
      </c>
    </row>
    <row r="6300" spans="1:18" x14ac:dyDescent="0.45">
      <c r="A6300" s="19" t="s">
        <v>28</v>
      </c>
      <c r="B6300" s="19" t="s">
        <v>63</v>
      </c>
      <c r="C6300">
        <v>2</v>
      </c>
      <c r="D6300">
        <v>1</v>
      </c>
      <c r="E6300">
        <v>1</v>
      </c>
      <c r="F6300" s="15">
        <v>46293</v>
      </c>
      <c r="G6300" s="19" t="s">
        <v>747</v>
      </c>
      <c r="H6300">
        <v>4</v>
      </c>
      <c r="I6300">
        <v>2026</v>
      </c>
      <c r="J6300">
        <v>9</v>
      </c>
      <c r="K6300" s="19" t="s">
        <v>87</v>
      </c>
      <c r="L6300" s="19" t="s">
        <v>51</v>
      </c>
      <c r="M6300" s="19" t="s">
        <v>63</v>
      </c>
      <c r="N6300" t="b">
        <v>0</v>
      </c>
      <c r="O6300">
        <v>0</v>
      </c>
      <c r="P6300">
        <v>0</v>
      </c>
      <c r="Q6300">
        <v>1</v>
      </c>
      <c r="R6300">
        <v>0</v>
      </c>
    </row>
    <row r="6301" spans="1:18" x14ac:dyDescent="0.45">
      <c r="A6301" s="19" t="s">
        <v>28</v>
      </c>
      <c r="B6301" s="19" t="s">
        <v>63</v>
      </c>
      <c r="C6301">
        <v>2</v>
      </c>
      <c r="D6301">
        <v>1</v>
      </c>
      <c r="E6301">
        <v>1</v>
      </c>
      <c r="F6301" s="15">
        <v>46293</v>
      </c>
      <c r="G6301" s="19" t="s">
        <v>747</v>
      </c>
      <c r="H6301">
        <v>4</v>
      </c>
      <c r="I6301">
        <v>2026</v>
      </c>
      <c r="J6301">
        <v>9</v>
      </c>
      <c r="K6301" s="19" t="s">
        <v>87</v>
      </c>
      <c r="L6301" s="19" t="s">
        <v>15</v>
      </c>
      <c r="M6301" s="19" t="s">
        <v>63</v>
      </c>
      <c r="N6301" t="b">
        <v>0</v>
      </c>
      <c r="O6301">
        <v>0</v>
      </c>
      <c r="P6301">
        <v>0</v>
      </c>
      <c r="Q6301">
        <v>1</v>
      </c>
      <c r="R6301">
        <v>0</v>
      </c>
    </row>
    <row r="6302" spans="1:18" x14ac:dyDescent="0.45">
      <c r="A6302" s="19" t="s">
        <v>51</v>
      </c>
      <c r="B6302" s="19" t="s">
        <v>63</v>
      </c>
      <c r="C6302">
        <v>3</v>
      </c>
      <c r="D6302">
        <v>1</v>
      </c>
      <c r="E6302">
        <v>1</v>
      </c>
      <c r="F6302" s="15">
        <v>46293</v>
      </c>
      <c r="G6302" s="19" t="s">
        <v>747</v>
      </c>
      <c r="H6302">
        <v>4</v>
      </c>
      <c r="I6302">
        <v>2026</v>
      </c>
      <c r="J6302">
        <v>9</v>
      </c>
      <c r="K6302" s="19" t="s">
        <v>87</v>
      </c>
      <c r="L6302" s="19" t="s">
        <v>433</v>
      </c>
      <c r="M6302" s="19" t="s">
        <v>63</v>
      </c>
      <c r="N6302" t="b">
        <v>0</v>
      </c>
      <c r="O6302">
        <v>0</v>
      </c>
      <c r="P6302">
        <v>0</v>
      </c>
      <c r="Q6302">
        <v>1</v>
      </c>
      <c r="R6302">
        <v>0</v>
      </c>
    </row>
    <row r="6303" spans="1:18" x14ac:dyDescent="0.45">
      <c r="A6303" s="19" t="s">
        <v>51</v>
      </c>
      <c r="B6303" s="19" t="s">
        <v>63</v>
      </c>
      <c r="C6303">
        <v>3</v>
      </c>
      <c r="D6303">
        <v>1</v>
      </c>
      <c r="E6303">
        <v>1</v>
      </c>
      <c r="F6303" s="15">
        <v>46293</v>
      </c>
      <c r="G6303" s="19" t="s">
        <v>747</v>
      </c>
      <c r="H6303">
        <v>4</v>
      </c>
      <c r="I6303">
        <v>2026</v>
      </c>
      <c r="J6303">
        <v>9</v>
      </c>
      <c r="K6303" s="19" t="s">
        <v>87</v>
      </c>
      <c r="L6303" s="19" t="s">
        <v>28</v>
      </c>
      <c r="M6303" s="19" t="s">
        <v>63</v>
      </c>
      <c r="N6303" t="b">
        <v>0</v>
      </c>
      <c r="O6303">
        <v>0</v>
      </c>
      <c r="P6303">
        <v>0</v>
      </c>
      <c r="Q6303">
        <v>1</v>
      </c>
      <c r="R6303">
        <v>0</v>
      </c>
    </row>
    <row r="6304" spans="1:18" x14ac:dyDescent="0.45">
      <c r="A6304" s="19" t="s">
        <v>51</v>
      </c>
      <c r="B6304" s="19" t="s">
        <v>63</v>
      </c>
      <c r="C6304">
        <v>3</v>
      </c>
      <c r="D6304">
        <v>1</v>
      </c>
      <c r="E6304">
        <v>1</v>
      </c>
      <c r="F6304" s="15">
        <v>46293</v>
      </c>
      <c r="G6304" s="19" t="s">
        <v>747</v>
      </c>
      <c r="H6304">
        <v>4</v>
      </c>
      <c r="I6304">
        <v>2026</v>
      </c>
      <c r="J6304">
        <v>9</v>
      </c>
      <c r="K6304" s="19" t="s">
        <v>87</v>
      </c>
      <c r="L6304" s="19" t="s">
        <v>15</v>
      </c>
      <c r="M6304" s="19" t="s">
        <v>63</v>
      </c>
      <c r="N6304" t="b">
        <v>0</v>
      </c>
      <c r="O6304">
        <v>0</v>
      </c>
      <c r="P6304">
        <v>0</v>
      </c>
      <c r="Q6304">
        <v>1</v>
      </c>
      <c r="R6304">
        <v>0</v>
      </c>
    </row>
    <row r="6305" spans="1:18" x14ac:dyDescent="0.45">
      <c r="A6305" s="19" t="s">
        <v>15</v>
      </c>
      <c r="B6305" s="19" t="s">
        <v>63</v>
      </c>
      <c r="C6305">
        <v>4</v>
      </c>
      <c r="D6305">
        <v>1</v>
      </c>
      <c r="E6305">
        <v>1</v>
      </c>
      <c r="F6305" s="15">
        <v>46293</v>
      </c>
      <c r="G6305" s="19" t="s">
        <v>747</v>
      </c>
      <c r="H6305">
        <v>4</v>
      </c>
      <c r="I6305">
        <v>2026</v>
      </c>
      <c r="J6305">
        <v>9</v>
      </c>
      <c r="K6305" s="19" t="s">
        <v>87</v>
      </c>
      <c r="L6305" s="19" t="s">
        <v>433</v>
      </c>
      <c r="M6305" s="19" t="s">
        <v>63</v>
      </c>
      <c r="N6305" t="b">
        <v>0</v>
      </c>
      <c r="O6305">
        <v>0</v>
      </c>
      <c r="P6305">
        <v>0</v>
      </c>
      <c r="Q6305">
        <v>1</v>
      </c>
      <c r="R6305">
        <v>0</v>
      </c>
    </row>
    <row r="6306" spans="1:18" x14ac:dyDescent="0.45">
      <c r="A6306" s="19" t="s">
        <v>15</v>
      </c>
      <c r="B6306" s="19" t="s">
        <v>63</v>
      </c>
      <c r="C6306">
        <v>4</v>
      </c>
      <c r="D6306">
        <v>1</v>
      </c>
      <c r="E6306">
        <v>1</v>
      </c>
      <c r="F6306" s="15">
        <v>46293</v>
      </c>
      <c r="G6306" s="19" t="s">
        <v>747</v>
      </c>
      <c r="H6306">
        <v>4</v>
      </c>
      <c r="I6306">
        <v>2026</v>
      </c>
      <c r="J6306">
        <v>9</v>
      </c>
      <c r="K6306" s="19" t="s">
        <v>87</v>
      </c>
      <c r="L6306" s="19" t="s">
        <v>28</v>
      </c>
      <c r="M6306" s="19" t="s">
        <v>63</v>
      </c>
      <c r="N6306" t="b">
        <v>0</v>
      </c>
      <c r="O6306">
        <v>0</v>
      </c>
      <c r="P6306">
        <v>0</v>
      </c>
      <c r="Q6306">
        <v>1</v>
      </c>
      <c r="R6306">
        <v>0</v>
      </c>
    </row>
    <row r="6307" spans="1:18" x14ac:dyDescent="0.45">
      <c r="A6307" s="19" t="s">
        <v>15</v>
      </c>
      <c r="B6307" s="19" t="s">
        <v>63</v>
      </c>
      <c r="C6307">
        <v>4</v>
      </c>
      <c r="D6307">
        <v>1</v>
      </c>
      <c r="E6307">
        <v>1</v>
      </c>
      <c r="F6307" s="15">
        <v>46293</v>
      </c>
      <c r="G6307" s="19" t="s">
        <v>747</v>
      </c>
      <c r="H6307">
        <v>4</v>
      </c>
      <c r="I6307">
        <v>2026</v>
      </c>
      <c r="J6307">
        <v>9</v>
      </c>
      <c r="K6307" s="19" t="s">
        <v>87</v>
      </c>
      <c r="L6307" s="19" t="s">
        <v>51</v>
      </c>
      <c r="M6307" s="19" t="s">
        <v>63</v>
      </c>
      <c r="N6307" t="b">
        <v>0</v>
      </c>
      <c r="O6307">
        <v>0</v>
      </c>
      <c r="P6307">
        <v>0</v>
      </c>
      <c r="Q6307">
        <v>1</v>
      </c>
      <c r="R6307">
        <v>0</v>
      </c>
    </row>
    <row r="6308" spans="1:18" x14ac:dyDescent="0.45">
      <c r="A6308" s="19" t="s">
        <v>13</v>
      </c>
      <c r="B6308" s="19" t="s">
        <v>8</v>
      </c>
      <c r="C6308">
        <v>1</v>
      </c>
      <c r="D6308">
        <v>2</v>
      </c>
      <c r="E6308">
        <v>1</v>
      </c>
      <c r="F6308" s="15">
        <v>46293</v>
      </c>
      <c r="G6308" s="19" t="s">
        <v>748</v>
      </c>
      <c r="H6308">
        <v>4</v>
      </c>
      <c r="I6308">
        <v>2026</v>
      </c>
      <c r="J6308">
        <v>9</v>
      </c>
      <c r="K6308" s="19" t="s">
        <v>87</v>
      </c>
      <c r="L6308" s="19" t="s">
        <v>27</v>
      </c>
      <c r="M6308" s="19" t="s">
        <v>6</v>
      </c>
      <c r="N6308" t="b">
        <v>0</v>
      </c>
      <c r="O6308">
        <v>1</v>
      </c>
      <c r="P6308">
        <v>0</v>
      </c>
      <c r="Q6308">
        <v>0</v>
      </c>
      <c r="R6308">
        <v>0</v>
      </c>
    </row>
    <row r="6309" spans="1:18" x14ac:dyDescent="0.45">
      <c r="A6309" s="19" t="s">
        <v>13</v>
      </c>
      <c r="B6309" s="19" t="s">
        <v>8</v>
      </c>
      <c r="C6309">
        <v>1</v>
      </c>
      <c r="D6309">
        <v>2</v>
      </c>
      <c r="E6309">
        <v>1</v>
      </c>
      <c r="F6309" s="15">
        <v>46293</v>
      </c>
      <c r="G6309" s="19" t="s">
        <v>748</v>
      </c>
      <c r="H6309">
        <v>4</v>
      </c>
      <c r="I6309">
        <v>2026</v>
      </c>
      <c r="J6309">
        <v>9</v>
      </c>
      <c r="K6309" s="19" t="s">
        <v>87</v>
      </c>
      <c r="L6309" s="19" t="s">
        <v>734</v>
      </c>
      <c r="M6309" s="19" t="s">
        <v>6</v>
      </c>
      <c r="N6309" t="b">
        <v>0</v>
      </c>
      <c r="O6309">
        <v>1</v>
      </c>
      <c r="P6309">
        <v>0</v>
      </c>
      <c r="Q6309">
        <v>0</v>
      </c>
      <c r="R6309">
        <v>0</v>
      </c>
    </row>
    <row r="6310" spans="1:18" x14ac:dyDescent="0.45">
      <c r="A6310" s="19" t="s">
        <v>13</v>
      </c>
      <c r="B6310" s="19" t="s">
        <v>8</v>
      </c>
      <c r="C6310">
        <v>1</v>
      </c>
      <c r="D6310">
        <v>2</v>
      </c>
      <c r="E6310">
        <v>1</v>
      </c>
      <c r="F6310" s="15">
        <v>46293</v>
      </c>
      <c r="G6310" s="19" t="s">
        <v>748</v>
      </c>
      <c r="H6310">
        <v>4</v>
      </c>
      <c r="I6310">
        <v>2026</v>
      </c>
      <c r="J6310">
        <v>9</v>
      </c>
      <c r="K6310" s="19" t="s">
        <v>87</v>
      </c>
      <c r="L6310" s="19" t="s">
        <v>352</v>
      </c>
      <c r="M6310" s="19" t="s">
        <v>6</v>
      </c>
      <c r="N6310" t="b">
        <v>0</v>
      </c>
      <c r="O6310">
        <v>1</v>
      </c>
      <c r="P6310">
        <v>0</v>
      </c>
      <c r="Q6310">
        <v>0</v>
      </c>
      <c r="R6310">
        <v>0</v>
      </c>
    </row>
    <row r="6311" spans="1:18" x14ac:dyDescent="0.45">
      <c r="A6311" s="19" t="s">
        <v>27</v>
      </c>
      <c r="B6311" s="19" t="s">
        <v>6</v>
      </c>
      <c r="C6311">
        <v>2</v>
      </c>
      <c r="D6311">
        <v>2</v>
      </c>
      <c r="E6311">
        <v>1</v>
      </c>
      <c r="F6311" s="15">
        <v>46293</v>
      </c>
      <c r="G6311" s="19" t="s">
        <v>748</v>
      </c>
      <c r="H6311">
        <v>4</v>
      </c>
      <c r="I6311">
        <v>2026</v>
      </c>
      <c r="J6311">
        <v>9</v>
      </c>
      <c r="K6311" s="19" t="s">
        <v>87</v>
      </c>
      <c r="L6311" s="19" t="s">
        <v>13</v>
      </c>
      <c r="M6311" s="19" t="s">
        <v>8</v>
      </c>
      <c r="N6311" t="b">
        <v>0</v>
      </c>
      <c r="O6311">
        <v>0</v>
      </c>
      <c r="P6311">
        <v>1</v>
      </c>
      <c r="Q6311">
        <v>0</v>
      </c>
      <c r="R6311">
        <v>1</v>
      </c>
    </row>
    <row r="6312" spans="1:18" x14ac:dyDescent="0.45">
      <c r="A6312" s="19" t="s">
        <v>27</v>
      </c>
      <c r="B6312" s="19" t="s">
        <v>6</v>
      </c>
      <c r="C6312">
        <v>2</v>
      </c>
      <c r="D6312">
        <v>2</v>
      </c>
      <c r="E6312">
        <v>1</v>
      </c>
      <c r="F6312" s="15">
        <v>46293</v>
      </c>
      <c r="G6312" s="19" t="s">
        <v>748</v>
      </c>
      <c r="H6312">
        <v>4</v>
      </c>
      <c r="I6312">
        <v>2026</v>
      </c>
      <c r="J6312">
        <v>9</v>
      </c>
      <c r="K6312" s="19" t="s">
        <v>87</v>
      </c>
      <c r="L6312" s="19" t="s">
        <v>734</v>
      </c>
      <c r="M6312" s="19" t="s">
        <v>6</v>
      </c>
      <c r="N6312" t="b">
        <v>0</v>
      </c>
      <c r="O6312">
        <v>0</v>
      </c>
      <c r="P6312">
        <v>1</v>
      </c>
      <c r="Q6312">
        <v>0</v>
      </c>
      <c r="R6312">
        <v>0</v>
      </c>
    </row>
    <row r="6313" spans="1:18" x14ac:dyDescent="0.45">
      <c r="A6313" s="19" t="s">
        <v>27</v>
      </c>
      <c r="B6313" s="19" t="s">
        <v>6</v>
      </c>
      <c r="C6313">
        <v>2</v>
      </c>
      <c r="D6313">
        <v>2</v>
      </c>
      <c r="E6313">
        <v>1</v>
      </c>
      <c r="F6313" s="15">
        <v>46293</v>
      </c>
      <c r="G6313" s="19" t="s">
        <v>748</v>
      </c>
      <c r="H6313">
        <v>4</v>
      </c>
      <c r="I6313">
        <v>2026</v>
      </c>
      <c r="J6313">
        <v>9</v>
      </c>
      <c r="K6313" s="19" t="s">
        <v>87</v>
      </c>
      <c r="L6313" s="19" t="s">
        <v>352</v>
      </c>
      <c r="M6313" s="19" t="s">
        <v>6</v>
      </c>
      <c r="N6313" t="b">
        <v>0</v>
      </c>
      <c r="O6313">
        <v>0</v>
      </c>
      <c r="P6313">
        <v>1</v>
      </c>
      <c r="Q6313">
        <v>0</v>
      </c>
      <c r="R6313">
        <v>0</v>
      </c>
    </row>
    <row r="6314" spans="1:18" x14ac:dyDescent="0.45">
      <c r="A6314" s="19" t="s">
        <v>734</v>
      </c>
      <c r="B6314" s="19" t="s">
        <v>6</v>
      </c>
      <c r="C6314">
        <v>3</v>
      </c>
      <c r="D6314">
        <v>2</v>
      </c>
      <c r="E6314">
        <v>1</v>
      </c>
      <c r="F6314" s="15">
        <v>46293</v>
      </c>
      <c r="G6314" s="19" t="s">
        <v>748</v>
      </c>
      <c r="H6314">
        <v>4</v>
      </c>
      <c r="I6314">
        <v>2026</v>
      </c>
      <c r="J6314">
        <v>9</v>
      </c>
      <c r="K6314" s="19" t="s">
        <v>87</v>
      </c>
      <c r="L6314" s="19" t="s">
        <v>13</v>
      </c>
      <c r="M6314" s="19" t="s">
        <v>8</v>
      </c>
      <c r="N6314" t="b">
        <v>0</v>
      </c>
      <c r="O6314">
        <v>0</v>
      </c>
      <c r="P6314">
        <v>1</v>
      </c>
      <c r="Q6314">
        <v>0</v>
      </c>
      <c r="R6314">
        <v>1</v>
      </c>
    </row>
    <row r="6315" spans="1:18" x14ac:dyDescent="0.45">
      <c r="A6315" s="19" t="s">
        <v>734</v>
      </c>
      <c r="B6315" s="19" t="s">
        <v>6</v>
      </c>
      <c r="C6315">
        <v>3</v>
      </c>
      <c r="D6315">
        <v>2</v>
      </c>
      <c r="E6315">
        <v>1</v>
      </c>
      <c r="F6315" s="15">
        <v>46293</v>
      </c>
      <c r="G6315" s="19" t="s">
        <v>748</v>
      </c>
      <c r="H6315">
        <v>4</v>
      </c>
      <c r="I6315">
        <v>2026</v>
      </c>
      <c r="J6315">
        <v>9</v>
      </c>
      <c r="K6315" s="19" t="s">
        <v>87</v>
      </c>
      <c r="L6315" s="19" t="s">
        <v>27</v>
      </c>
      <c r="M6315" s="19" t="s">
        <v>6</v>
      </c>
      <c r="N6315" t="b">
        <v>0</v>
      </c>
      <c r="O6315">
        <v>0</v>
      </c>
      <c r="P6315">
        <v>1</v>
      </c>
      <c r="Q6315">
        <v>0</v>
      </c>
      <c r="R6315">
        <v>0</v>
      </c>
    </row>
    <row r="6316" spans="1:18" x14ac:dyDescent="0.45">
      <c r="A6316" s="19" t="s">
        <v>734</v>
      </c>
      <c r="B6316" s="19" t="s">
        <v>6</v>
      </c>
      <c r="C6316">
        <v>3</v>
      </c>
      <c r="D6316">
        <v>2</v>
      </c>
      <c r="E6316">
        <v>1</v>
      </c>
      <c r="F6316" s="15">
        <v>46293</v>
      </c>
      <c r="G6316" s="19" t="s">
        <v>748</v>
      </c>
      <c r="H6316">
        <v>4</v>
      </c>
      <c r="I6316">
        <v>2026</v>
      </c>
      <c r="J6316">
        <v>9</v>
      </c>
      <c r="K6316" s="19" t="s">
        <v>87</v>
      </c>
      <c r="L6316" s="19" t="s">
        <v>352</v>
      </c>
      <c r="M6316" s="19" t="s">
        <v>6</v>
      </c>
      <c r="N6316" t="b">
        <v>0</v>
      </c>
      <c r="O6316">
        <v>0</v>
      </c>
      <c r="P6316">
        <v>1</v>
      </c>
      <c r="Q6316">
        <v>0</v>
      </c>
      <c r="R6316">
        <v>0</v>
      </c>
    </row>
    <row r="6317" spans="1:18" x14ac:dyDescent="0.45">
      <c r="A6317" s="19" t="s">
        <v>352</v>
      </c>
      <c r="B6317" s="19" t="s">
        <v>6</v>
      </c>
      <c r="C6317">
        <v>4</v>
      </c>
      <c r="D6317">
        <v>2</v>
      </c>
      <c r="E6317">
        <v>1</v>
      </c>
      <c r="F6317" s="15">
        <v>46293</v>
      </c>
      <c r="G6317" s="19" t="s">
        <v>748</v>
      </c>
      <c r="H6317">
        <v>4</v>
      </c>
      <c r="I6317">
        <v>2026</v>
      </c>
      <c r="J6317">
        <v>9</v>
      </c>
      <c r="K6317" s="19" t="s">
        <v>87</v>
      </c>
      <c r="L6317" s="19" t="s">
        <v>13</v>
      </c>
      <c r="M6317" s="19" t="s">
        <v>8</v>
      </c>
      <c r="N6317" t="b">
        <v>0</v>
      </c>
      <c r="O6317">
        <v>0</v>
      </c>
      <c r="P6317">
        <v>1</v>
      </c>
      <c r="Q6317">
        <v>0</v>
      </c>
      <c r="R6317">
        <v>1</v>
      </c>
    </row>
    <row r="6318" spans="1:18" x14ac:dyDescent="0.45">
      <c r="A6318" s="19" t="s">
        <v>352</v>
      </c>
      <c r="B6318" s="19" t="s">
        <v>6</v>
      </c>
      <c r="C6318">
        <v>4</v>
      </c>
      <c r="D6318">
        <v>2</v>
      </c>
      <c r="E6318">
        <v>1</v>
      </c>
      <c r="F6318" s="15">
        <v>46293</v>
      </c>
      <c r="G6318" s="19" t="s">
        <v>748</v>
      </c>
      <c r="H6318">
        <v>4</v>
      </c>
      <c r="I6318">
        <v>2026</v>
      </c>
      <c r="J6318">
        <v>9</v>
      </c>
      <c r="K6318" s="19" t="s">
        <v>87</v>
      </c>
      <c r="L6318" s="19" t="s">
        <v>27</v>
      </c>
      <c r="M6318" s="19" t="s">
        <v>6</v>
      </c>
      <c r="N6318" t="b">
        <v>0</v>
      </c>
      <c r="O6318">
        <v>0</v>
      </c>
      <c r="P6318">
        <v>1</v>
      </c>
      <c r="Q6318">
        <v>0</v>
      </c>
      <c r="R6318">
        <v>0</v>
      </c>
    </row>
    <row r="6319" spans="1:18" x14ac:dyDescent="0.45">
      <c r="A6319" s="19" t="s">
        <v>352</v>
      </c>
      <c r="B6319" s="19" t="s">
        <v>6</v>
      </c>
      <c r="C6319">
        <v>4</v>
      </c>
      <c r="D6319">
        <v>2</v>
      </c>
      <c r="E6319">
        <v>1</v>
      </c>
      <c r="F6319" s="15">
        <v>46293</v>
      </c>
      <c r="G6319" s="19" t="s">
        <v>748</v>
      </c>
      <c r="H6319">
        <v>4</v>
      </c>
      <c r="I6319">
        <v>2026</v>
      </c>
      <c r="J6319">
        <v>9</v>
      </c>
      <c r="K6319" s="19" t="s">
        <v>87</v>
      </c>
      <c r="L6319" s="19" t="s">
        <v>734</v>
      </c>
      <c r="M6319" s="19" t="s">
        <v>6</v>
      </c>
      <c r="N6319" t="b">
        <v>0</v>
      </c>
      <c r="O6319">
        <v>0</v>
      </c>
      <c r="P6319">
        <v>1</v>
      </c>
      <c r="Q6319">
        <v>0</v>
      </c>
      <c r="R6319">
        <v>0</v>
      </c>
    </row>
    <row r="6320" spans="1:18" x14ac:dyDescent="0.45">
      <c r="A6320" s="19" t="s">
        <v>19</v>
      </c>
      <c r="B6320" s="19" t="s">
        <v>63</v>
      </c>
      <c r="C6320">
        <v>1</v>
      </c>
      <c r="D6320">
        <v>3</v>
      </c>
      <c r="E6320">
        <v>1</v>
      </c>
      <c r="F6320" s="15">
        <v>46293</v>
      </c>
      <c r="G6320" s="19" t="s">
        <v>749</v>
      </c>
      <c r="H6320">
        <v>4</v>
      </c>
      <c r="I6320">
        <v>2026</v>
      </c>
      <c r="J6320">
        <v>9</v>
      </c>
      <c r="K6320" s="19" t="s">
        <v>87</v>
      </c>
      <c r="L6320" s="19" t="s">
        <v>7</v>
      </c>
      <c r="M6320" s="19" t="s">
        <v>63</v>
      </c>
      <c r="N6320" t="b">
        <v>0</v>
      </c>
      <c r="O6320">
        <v>0</v>
      </c>
      <c r="P6320">
        <v>0</v>
      </c>
      <c r="Q6320">
        <v>1</v>
      </c>
      <c r="R6320">
        <v>0</v>
      </c>
    </row>
    <row r="6321" spans="1:18" x14ac:dyDescent="0.45">
      <c r="A6321" s="19" t="s">
        <v>19</v>
      </c>
      <c r="B6321" s="19" t="s">
        <v>63</v>
      </c>
      <c r="C6321">
        <v>1</v>
      </c>
      <c r="D6321">
        <v>3</v>
      </c>
      <c r="E6321">
        <v>1</v>
      </c>
      <c r="F6321" s="15">
        <v>46293</v>
      </c>
      <c r="G6321" s="19" t="s">
        <v>749</v>
      </c>
      <c r="H6321">
        <v>4</v>
      </c>
      <c r="I6321">
        <v>2026</v>
      </c>
      <c r="J6321">
        <v>9</v>
      </c>
      <c r="K6321" s="19" t="s">
        <v>87</v>
      </c>
      <c r="L6321" s="19" t="s">
        <v>405</v>
      </c>
      <c r="M6321" s="19" t="s">
        <v>63</v>
      </c>
      <c r="N6321" t="b">
        <v>0</v>
      </c>
      <c r="O6321">
        <v>0</v>
      </c>
      <c r="P6321">
        <v>0</v>
      </c>
      <c r="Q6321">
        <v>1</v>
      </c>
      <c r="R6321">
        <v>0</v>
      </c>
    </row>
    <row r="6322" spans="1:18" x14ac:dyDescent="0.45">
      <c r="A6322" s="19" t="s">
        <v>19</v>
      </c>
      <c r="B6322" s="19" t="s">
        <v>63</v>
      </c>
      <c r="C6322">
        <v>1</v>
      </c>
      <c r="D6322">
        <v>3</v>
      </c>
      <c r="E6322">
        <v>1</v>
      </c>
      <c r="F6322" s="15">
        <v>46293</v>
      </c>
      <c r="G6322" s="19" t="s">
        <v>749</v>
      </c>
      <c r="H6322">
        <v>4</v>
      </c>
      <c r="I6322">
        <v>2026</v>
      </c>
      <c r="J6322">
        <v>9</v>
      </c>
      <c r="K6322" s="19" t="s">
        <v>87</v>
      </c>
      <c r="L6322" s="19" t="s">
        <v>14</v>
      </c>
      <c r="M6322" s="19" t="s">
        <v>63</v>
      </c>
      <c r="N6322" t="b">
        <v>0</v>
      </c>
      <c r="O6322">
        <v>0</v>
      </c>
      <c r="P6322">
        <v>0</v>
      </c>
      <c r="Q6322">
        <v>1</v>
      </c>
      <c r="R6322">
        <v>0</v>
      </c>
    </row>
    <row r="6323" spans="1:18" x14ac:dyDescent="0.45">
      <c r="A6323" s="19" t="s">
        <v>7</v>
      </c>
      <c r="B6323" s="19" t="s">
        <v>63</v>
      </c>
      <c r="C6323">
        <v>2</v>
      </c>
      <c r="D6323">
        <v>3</v>
      </c>
      <c r="E6323">
        <v>1</v>
      </c>
      <c r="F6323" s="15">
        <v>46293</v>
      </c>
      <c r="G6323" s="19" t="s">
        <v>749</v>
      </c>
      <c r="H6323">
        <v>4</v>
      </c>
      <c r="I6323">
        <v>2026</v>
      </c>
      <c r="J6323">
        <v>9</v>
      </c>
      <c r="K6323" s="19" t="s">
        <v>87</v>
      </c>
      <c r="L6323" s="19" t="s">
        <v>19</v>
      </c>
      <c r="M6323" s="19" t="s">
        <v>63</v>
      </c>
      <c r="N6323" t="b">
        <v>0</v>
      </c>
      <c r="O6323">
        <v>0</v>
      </c>
      <c r="P6323">
        <v>0</v>
      </c>
      <c r="Q6323">
        <v>1</v>
      </c>
      <c r="R6323">
        <v>0</v>
      </c>
    </row>
    <row r="6324" spans="1:18" x14ac:dyDescent="0.45">
      <c r="A6324" s="19" t="s">
        <v>7</v>
      </c>
      <c r="B6324" s="19" t="s">
        <v>63</v>
      </c>
      <c r="C6324">
        <v>2</v>
      </c>
      <c r="D6324">
        <v>3</v>
      </c>
      <c r="E6324">
        <v>1</v>
      </c>
      <c r="F6324" s="15">
        <v>46293</v>
      </c>
      <c r="G6324" s="19" t="s">
        <v>749</v>
      </c>
      <c r="H6324">
        <v>4</v>
      </c>
      <c r="I6324">
        <v>2026</v>
      </c>
      <c r="J6324">
        <v>9</v>
      </c>
      <c r="K6324" s="19" t="s">
        <v>87</v>
      </c>
      <c r="L6324" s="19" t="s">
        <v>405</v>
      </c>
      <c r="M6324" s="19" t="s">
        <v>63</v>
      </c>
      <c r="N6324" t="b">
        <v>0</v>
      </c>
      <c r="O6324">
        <v>0</v>
      </c>
      <c r="P6324">
        <v>0</v>
      </c>
      <c r="Q6324">
        <v>1</v>
      </c>
      <c r="R6324">
        <v>0</v>
      </c>
    </row>
    <row r="6325" spans="1:18" x14ac:dyDescent="0.45">
      <c r="A6325" s="19" t="s">
        <v>7</v>
      </c>
      <c r="B6325" s="19" t="s">
        <v>63</v>
      </c>
      <c r="C6325">
        <v>2</v>
      </c>
      <c r="D6325">
        <v>3</v>
      </c>
      <c r="E6325">
        <v>1</v>
      </c>
      <c r="F6325" s="15">
        <v>46293</v>
      </c>
      <c r="G6325" s="19" t="s">
        <v>749</v>
      </c>
      <c r="H6325">
        <v>4</v>
      </c>
      <c r="I6325">
        <v>2026</v>
      </c>
      <c r="J6325">
        <v>9</v>
      </c>
      <c r="K6325" s="19" t="s">
        <v>87</v>
      </c>
      <c r="L6325" s="19" t="s">
        <v>14</v>
      </c>
      <c r="M6325" s="19" t="s">
        <v>63</v>
      </c>
      <c r="N6325" t="b">
        <v>0</v>
      </c>
      <c r="O6325">
        <v>0</v>
      </c>
      <c r="P6325">
        <v>0</v>
      </c>
      <c r="Q6325">
        <v>1</v>
      </c>
      <c r="R6325">
        <v>0</v>
      </c>
    </row>
    <row r="6326" spans="1:18" x14ac:dyDescent="0.45">
      <c r="A6326" s="19" t="s">
        <v>405</v>
      </c>
      <c r="B6326" s="19" t="s">
        <v>63</v>
      </c>
      <c r="C6326">
        <v>3</v>
      </c>
      <c r="D6326">
        <v>3</v>
      </c>
      <c r="E6326">
        <v>1</v>
      </c>
      <c r="F6326" s="15">
        <v>46293</v>
      </c>
      <c r="G6326" s="19" t="s">
        <v>749</v>
      </c>
      <c r="H6326">
        <v>4</v>
      </c>
      <c r="I6326">
        <v>2026</v>
      </c>
      <c r="J6326">
        <v>9</v>
      </c>
      <c r="K6326" s="19" t="s">
        <v>87</v>
      </c>
      <c r="L6326" s="19" t="s">
        <v>19</v>
      </c>
      <c r="M6326" s="19" t="s">
        <v>63</v>
      </c>
      <c r="N6326" t="b">
        <v>0</v>
      </c>
      <c r="O6326">
        <v>0</v>
      </c>
      <c r="P6326">
        <v>0</v>
      </c>
      <c r="Q6326">
        <v>1</v>
      </c>
      <c r="R6326">
        <v>0</v>
      </c>
    </row>
    <row r="6327" spans="1:18" x14ac:dyDescent="0.45">
      <c r="A6327" s="19" t="s">
        <v>405</v>
      </c>
      <c r="B6327" s="19" t="s">
        <v>63</v>
      </c>
      <c r="C6327">
        <v>3</v>
      </c>
      <c r="D6327">
        <v>3</v>
      </c>
      <c r="E6327">
        <v>1</v>
      </c>
      <c r="F6327" s="15">
        <v>46293</v>
      </c>
      <c r="G6327" s="19" t="s">
        <v>749</v>
      </c>
      <c r="H6327">
        <v>4</v>
      </c>
      <c r="I6327">
        <v>2026</v>
      </c>
      <c r="J6327">
        <v>9</v>
      </c>
      <c r="K6327" s="19" t="s">
        <v>87</v>
      </c>
      <c r="L6327" s="19" t="s">
        <v>7</v>
      </c>
      <c r="M6327" s="19" t="s">
        <v>63</v>
      </c>
      <c r="N6327" t="b">
        <v>0</v>
      </c>
      <c r="O6327">
        <v>0</v>
      </c>
      <c r="P6327">
        <v>0</v>
      </c>
      <c r="Q6327">
        <v>1</v>
      </c>
      <c r="R6327">
        <v>0</v>
      </c>
    </row>
    <row r="6328" spans="1:18" x14ac:dyDescent="0.45">
      <c r="A6328" s="19" t="s">
        <v>405</v>
      </c>
      <c r="B6328" s="19" t="s">
        <v>63</v>
      </c>
      <c r="C6328">
        <v>3</v>
      </c>
      <c r="D6328">
        <v>3</v>
      </c>
      <c r="E6328">
        <v>1</v>
      </c>
      <c r="F6328" s="15">
        <v>46293</v>
      </c>
      <c r="G6328" s="19" t="s">
        <v>749</v>
      </c>
      <c r="H6328">
        <v>4</v>
      </c>
      <c r="I6328">
        <v>2026</v>
      </c>
      <c r="J6328">
        <v>9</v>
      </c>
      <c r="K6328" s="19" t="s">
        <v>87</v>
      </c>
      <c r="L6328" s="19" t="s">
        <v>14</v>
      </c>
      <c r="M6328" s="19" t="s">
        <v>63</v>
      </c>
      <c r="N6328" t="b">
        <v>0</v>
      </c>
      <c r="O6328">
        <v>0</v>
      </c>
      <c r="P6328">
        <v>0</v>
      </c>
      <c r="Q6328">
        <v>1</v>
      </c>
      <c r="R6328">
        <v>0</v>
      </c>
    </row>
    <row r="6329" spans="1:18" x14ac:dyDescent="0.45">
      <c r="A6329" s="19" t="s">
        <v>14</v>
      </c>
      <c r="B6329" s="19" t="s">
        <v>63</v>
      </c>
      <c r="C6329">
        <v>4</v>
      </c>
      <c r="D6329">
        <v>3</v>
      </c>
      <c r="E6329">
        <v>1</v>
      </c>
      <c r="F6329" s="15">
        <v>46293</v>
      </c>
      <c r="G6329" s="19" t="s">
        <v>749</v>
      </c>
      <c r="H6329">
        <v>4</v>
      </c>
      <c r="I6329">
        <v>2026</v>
      </c>
      <c r="J6329">
        <v>9</v>
      </c>
      <c r="K6329" s="19" t="s">
        <v>87</v>
      </c>
      <c r="L6329" s="19" t="s">
        <v>19</v>
      </c>
      <c r="M6329" s="19" t="s">
        <v>63</v>
      </c>
      <c r="N6329" t="b">
        <v>0</v>
      </c>
      <c r="O6329">
        <v>0</v>
      </c>
      <c r="P6329">
        <v>0</v>
      </c>
      <c r="Q6329">
        <v>1</v>
      </c>
      <c r="R6329">
        <v>0</v>
      </c>
    </row>
    <row r="6330" spans="1:18" x14ac:dyDescent="0.45">
      <c r="A6330" s="19" t="s">
        <v>14</v>
      </c>
      <c r="B6330" s="19" t="s">
        <v>63</v>
      </c>
      <c r="C6330">
        <v>4</v>
      </c>
      <c r="D6330">
        <v>3</v>
      </c>
      <c r="E6330">
        <v>1</v>
      </c>
      <c r="F6330" s="15">
        <v>46293</v>
      </c>
      <c r="G6330" s="19" t="s">
        <v>749</v>
      </c>
      <c r="H6330">
        <v>4</v>
      </c>
      <c r="I6330">
        <v>2026</v>
      </c>
      <c r="J6330">
        <v>9</v>
      </c>
      <c r="K6330" s="19" t="s">
        <v>87</v>
      </c>
      <c r="L6330" s="19" t="s">
        <v>7</v>
      </c>
      <c r="M6330" s="19" t="s">
        <v>63</v>
      </c>
      <c r="N6330" t="b">
        <v>0</v>
      </c>
      <c r="O6330">
        <v>0</v>
      </c>
      <c r="P6330">
        <v>0</v>
      </c>
      <c r="Q6330">
        <v>1</v>
      </c>
      <c r="R6330">
        <v>0</v>
      </c>
    </row>
    <row r="6331" spans="1:18" x14ac:dyDescent="0.45">
      <c r="A6331" s="19" t="s">
        <v>14</v>
      </c>
      <c r="B6331" s="19" t="s">
        <v>63</v>
      </c>
      <c r="C6331">
        <v>4</v>
      </c>
      <c r="D6331">
        <v>3</v>
      </c>
      <c r="E6331">
        <v>1</v>
      </c>
      <c r="F6331" s="15">
        <v>46293</v>
      </c>
      <c r="G6331" s="19" t="s">
        <v>749</v>
      </c>
      <c r="H6331">
        <v>4</v>
      </c>
      <c r="I6331">
        <v>2026</v>
      </c>
      <c r="J6331">
        <v>9</v>
      </c>
      <c r="K6331" s="19" t="s">
        <v>87</v>
      </c>
      <c r="L6331" s="19" t="s">
        <v>405</v>
      </c>
      <c r="M6331" s="19" t="s">
        <v>63</v>
      </c>
      <c r="N6331" t="b">
        <v>0</v>
      </c>
      <c r="O6331">
        <v>0</v>
      </c>
      <c r="P6331">
        <v>0</v>
      </c>
      <c r="Q6331">
        <v>1</v>
      </c>
      <c r="R6331">
        <v>0</v>
      </c>
    </row>
    <row r="6332" spans="1:18" x14ac:dyDescent="0.45">
      <c r="A6332" s="19" t="s">
        <v>351</v>
      </c>
      <c r="B6332" s="19" t="s">
        <v>8</v>
      </c>
      <c r="C6332">
        <v>1</v>
      </c>
      <c r="D6332">
        <v>4</v>
      </c>
      <c r="E6332">
        <v>1</v>
      </c>
      <c r="F6332" s="15">
        <v>46293</v>
      </c>
      <c r="G6332" s="19" t="s">
        <v>750</v>
      </c>
      <c r="H6332">
        <v>3</v>
      </c>
      <c r="I6332">
        <v>2026</v>
      </c>
      <c r="J6332">
        <v>9</v>
      </c>
      <c r="K6332" s="19" t="s">
        <v>87</v>
      </c>
      <c r="L6332" s="19" t="s">
        <v>9</v>
      </c>
      <c r="M6332" s="19" t="s">
        <v>6</v>
      </c>
      <c r="N6332" t="b">
        <v>0</v>
      </c>
      <c r="O6332">
        <v>1</v>
      </c>
      <c r="P6332">
        <v>0</v>
      </c>
      <c r="Q6332">
        <v>0</v>
      </c>
      <c r="R6332">
        <v>0</v>
      </c>
    </row>
    <row r="6333" spans="1:18" x14ac:dyDescent="0.45">
      <c r="A6333" s="19" t="s">
        <v>351</v>
      </c>
      <c r="B6333" s="19" t="s">
        <v>8</v>
      </c>
      <c r="C6333">
        <v>1</v>
      </c>
      <c r="D6333">
        <v>4</v>
      </c>
      <c r="E6333">
        <v>1</v>
      </c>
      <c r="F6333" s="15">
        <v>46293</v>
      </c>
      <c r="G6333" s="19" t="s">
        <v>750</v>
      </c>
      <c r="H6333">
        <v>3</v>
      </c>
      <c r="I6333">
        <v>2026</v>
      </c>
      <c r="J6333">
        <v>9</v>
      </c>
      <c r="K6333" s="19" t="s">
        <v>87</v>
      </c>
      <c r="L6333" s="19" t="s">
        <v>723</v>
      </c>
      <c r="M6333" s="19" t="s">
        <v>6</v>
      </c>
      <c r="N6333" t="b">
        <v>0</v>
      </c>
      <c r="O6333">
        <v>1</v>
      </c>
      <c r="P6333">
        <v>0</v>
      </c>
      <c r="Q6333">
        <v>0</v>
      </c>
      <c r="R6333">
        <v>0</v>
      </c>
    </row>
    <row r="6334" spans="1:18" x14ac:dyDescent="0.45">
      <c r="A6334" s="19" t="s">
        <v>9</v>
      </c>
      <c r="B6334" s="19" t="s">
        <v>6</v>
      </c>
      <c r="C6334">
        <v>2</v>
      </c>
      <c r="D6334">
        <v>4</v>
      </c>
      <c r="E6334">
        <v>1</v>
      </c>
      <c r="F6334" s="15">
        <v>46293</v>
      </c>
      <c r="G6334" s="19" t="s">
        <v>750</v>
      </c>
      <c r="H6334">
        <v>3</v>
      </c>
      <c r="I6334">
        <v>2026</v>
      </c>
      <c r="J6334">
        <v>9</v>
      </c>
      <c r="K6334" s="19" t="s">
        <v>87</v>
      </c>
      <c r="L6334" s="19" t="s">
        <v>351</v>
      </c>
      <c r="M6334" s="19" t="s">
        <v>8</v>
      </c>
      <c r="N6334" t="b">
        <v>0</v>
      </c>
      <c r="O6334">
        <v>0</v>
      </c>
      <c r="P6334">
        <v>1</v>
      </c>
      <c r="Q6334">
        <v>0</v>
      </c>
      <c r="R6334">
        <v>1</v>
      </c>
    </row>
    <row r="6335" spans="1:18" x14ac:dyDescent="0.45">
      <c r="A6335" s="19" t="s">
        <v>9</v>
      </c>
      <c r="B6335" s="19" t="s">
        <v>6</v>
      </c>
      <c r="C6335">
        <v>2</v>
      </c>
      <c r="D6335">
        <v>4</v>
      </c>
      <c r="E6335">
        <v>1</v>
      </c>
      <c r="F6335" s="15">
        <v>46293</v>
      </c>
      <c r="G6335" s="19" t="s">
        <v>750</v>
      </c>
      <c r="H6335">
        <v>3</v>
      </c>
      <c r="I6335">
        <v>2026</v>
      </c>
      <c r="J6335">
        <v>9</v>
      </c>
      <c r="K6335" s="19" t="s">
        <v>87</v>
      </c>
      <c r="L6335" s="19" t="s">
        <v>723</v>
      </c>
      <c r="M6335" s="19" t="s">
        <v>6</v>
      </c>
      <c r="N6335" t="b">
        <v>0</v>
      </c>
      <c r="O6335">
        <v>0</v>
      </c>
      <c r="P6335">
        <v>1</v>
      </c>
      <c r="Q6335">
        <v>0</v>
      </c>
      <c r="R6335">
        <v>0</v>
      </c>
    </row>
    <row r="6336" spans="1:18" x14ac:dyDescent="0.45">
      <c r="A6336" s="19" t="s">
        <v>723</v>
      </c>
      <c r="B6336" s="19" t="s">
        <v>6</v>
      </c>
      <c r="C6336">
        <v>3</v>
      </c>
      <c r="D6336">
        <v>4</v>
      </c>
      <c r="E6336">
        <v>1</v>
      </c>
      <c r="F6336" s="15">
        <v>46293</v>
      </c>
      <c r="G6336" s="19" t="s">
        <v>750</v>
      </c>
      <c r="H6336">
        <v>3</v>
      </c>
      <c r="I6336">
        <v>2026</v>
      </c>
      <c r="J6336">
        <v>9</v>
      </c>
      <c r="K6336" s="19" t="s">
        <v>87</v>
      </c>
      <c r="L6336" s="19" t="s">
        <v>351</v>
      </c>
      <c r="M6336" s="19" t="s">
        <v>8</v>
      </c>
      <c r="N6336" t="b">
        <v>0</v>
      </c>
      <c r="O6336">
        <v>0</v>
      </c>
      <c r="P6336">
        <v>1</v>
      </c>
      <c r="Q6336">
        <v>0</v>
      </c>
      <c r="R6336">
        <v>1</v>
      </c>
    </row>
    <row r="6337" spans="1:18" x14ac:dyDescent="0.45">
      <c r="A6337" s="19" t="s">
        <v>723</v>
      </c>
      <c r="B6337" s="19" t="s">
        <v>6</v>
      </c>
      <c r="C6337">
        <v>3</v>
      </c>
      <c r="D6337">
        <v>4</v>
      </c>
      <c r="E6337">
        <v>1</v>
      </c>
      <c r="F6337" s="15">
        <v>46293</v>
      </c>
      <c r="G6337" s="19" t="s">
        <v>750</v>
      </c>
      <c r="H6337">
        <v>3</v>
      </c>
      <c r="I6337">
        <v>2026</v>
      </c>
      <c r="J6337">
        <v>9</v>
      </c>
      <c r="K6337" s="19" t="s">
        <v>87</v>
      </c>
      <c r="L6337" s="19" t="s">
        <v>9</v>
      </c>
      <c r="M6337" s="19" t="s">
        <v>6</v>
      </c>
      <c r="N6337" t="b">
        <v>0</v>
      </c>
      <c r="O6337">
        <v>0</v>
      </c>
      <c r="P6337">
        <v>1</v>
      </c>
      <c r="Q6337">
        <v>0</v>
      </c>
      <c r="R6337">
        <v>0</v>
      </c>
    </row>
    <row r="6338" spans="1:18" x14ac:dyDescent="0.45">
      <c r="A6338" s="19" t="s">
        <v>14</v>
      </c>
      <c r="B6338" s="19" t="s">
        <v>8</v>
      </c>
      <c r="C6338">
        <v>1</v>
      </c>
      <c r="D6338">
        <v>1</v>
      </c>
      <c r="E6338">
        <v>2</v>
      </c>
      <c r="F6338" s="15">
        <v>46293</v>
      </c>
      <c r="G6338" s="19" t="s">
        <v>751</v>
      </c>
      <c r="H6338">
        <v>4</v>
      </c>
      <c r="I6338">
        <v>2026</v>
      </c>
      <c r="J6338">
        <v>9</v>
      </c>
      <c r="K6338" s="19" t="s">
        <v>87</v>
      </c>
      <c r="L6338" s="19" t="s">
        <v>13</v>
      </c>
      <c r="M6338" s="19" t="s">
        <v>6</v>
      </c>
      <c r="N6338" t="b">
        <v>0</v>
      </c>
      <c r="O6338">
        <v>1</v>
      </c>
      <c r="P6338">
        <v>0</v>
      </c>
      <c r="Q6338">
        <v>0</v>
      </c>
      <c r="R6338">
        <v>0</v>
      </c>
    </row>
    <row r="6339" spans="1:18" x14ac:dyDescent="0.45">
      <c r="A6339" s="19" t="s">
        <v>14</v>
      </c>
      <c r="B6339" s="19" t="s">
        <v>8</v>
      </c>
      <c r="C6339">
        <v>1</v>
      </c>
      <c r="D6339">
        <v>1</v>
      </c>
      <c r="E6339">
        <v>2</v>
      </c>
      <c r="F6339" s="15">
        <v>46293</v>
      </c>
      <c r="G6339" s="19" t="s">
        <v>751</v>
      </c>
      <c r="H6339">
        <v>4</v>
      </c>
      <c r="I6339">
        <v>2026</v>
      </c>
      <c r="J6339">
        <v>9</v>
      </c>
      <c r="K6339" s="19" t="s">
        <v>87</v>
      </c>
      <c r="L6339" s="19" t="s">
        <v>351</v>
      </c>
      <c r="M6339" s="19" t="s">
        <v>6</v>
      </c>
      <c r="N6339" t="b">
        <v>0</v>
      </c>
      <c r="O6339">
        <v>1</v>
      </c>
      <c r="P6339">
        <v>0</v>
      </c>
      <c r="Q6339">
        <v>0</v>
      </c>
      <c r="R6339">
        <v>0</v>
      </c>
    </row>
    <row r="6340" spans="1:18" x14ac:dyDescent="0.45">
      <c r="A6340" s="19" t="s">
        <v>14</v>
      </c>
      <c r="B6340" s="19" t="s">
        <v>8</v>
      </c>
      <c r="C6340">
        <v>1</v>
      </c>
      <c r="D6340">
        <v>1</v>
      </c>
      <c r="E6340">
        <v>2</v>
      </c>
      <c r="F6340" s="15">
        <v>46293</v>
      </c>
      <c r="G6340" s="19" t="s">
        <v>751</v>
      </c>
      <c r="H6340">
        <v>4</v>
      </c>
      <c r="I6340">
        <v>2026</v>
      </c>
      <c r="J6340">
        <v>9</v>
      </c>
      <c r="K6340" s="19" t="s">
        <v>87</v>
      </c>
      <c r="L6340" s="19" t="s">
        <v>433</v>
      </c>
      <c r="M6340" s="19" t="s">
        <v>6</v>
      </c>
      <c r="N6340" t="b">
        <v>0</v>
      </c>
      <c r="O6340">
        <v>1</v>
      </c>
      <c r="P6340">
        <v>0</v>
      </c>
      <c r="Q6340">
        <v>0</v>
      </c>
      <c r="R6340">
        <v>0</v>
      </c>
    </row>
    <row r="6341" spans="1:18" x14ac:dyDescent="0.45">
      <c r="A6341" s="19" t="s">
        <v>13</v>
      </c>
      <c r="B6341" s="19" t="s">
        <v>6</v>
      </c>
      <c r="C6341">
        <v>2</v>
      </c>
      <c r="D6341">
        <v>1</v>
      </c>
      <c r="E6341">
        <v>2</v>
      </c>
      <c r="F6341" s="15">
        <v>46293</v>
      </c>
      <c r="G6341" s="19" t="s">
        <v>751</v>
      </c>
      <c r="H6341">
        <v>4</v>
      </c>
      <c r="I6341">
        <v>2026</v>
      </c>
      <c r="J6341">
        <v>9</v>
      </c>
      <c r="K6341" s="19" t="s">
        <v>87</v>
      </c>
      <c r="L6341" s="19" t="s">
        <v>14</v>
      </c>
      <c r="M6341" s="19" t="s">
        <v>8</v>
      </c>
      <c r="N6341" t="b">
        <v>0</v>
      </c>
      <c r="O6341">
        <v>0</v>
      </c>
      <c r="P6341">
        <v>1</v>
      </c>
      <c r="Q6341">
        <v>0</v>
      </c>
      <c r="R6341">
        <v>1</v>
      </c>
    </row>
    <row r="6342" spans="1:18" x14ac:dyDescent="0.45">
      <c r="A6342" s="19" t="s">
        <v>13</v>
      </c>
      <c r="B6342" s="19" t="s">
        <v>6</v>
      </c>
      <c r="C6342">
        <v>2</v>
      </c>
      <c r="D6342">
        <v>1</v>
      </c>
      <c r="E6342">
        <v>2</v>
      </c>
      <c r="F6342" s="15">
        <v>46293</v>
      </c>
      <c r="G6342" s="19" t="s">
        <v>751</v>
      </c>
      <c r="H6342">
        <v>4</v>
      </c>
      <c r="I6342">
        <v>2026</v>
      </c>
      <c r="J6342">
        <v>9</v>
      </c>
      <c r="K6342" s="19" t="s">
        <v>87</v>
      </c>
      <c r="L6342" s="19" t="s">
        <v>351</v>
      </c>
      <c r="M6342" s="19" t="s">
        <v>6</v>
      </c>
      <c r="N6342" t="b">
        <v>0</v>
      </c>
      <c r="O6342">
        <v>0</v>
      </c>
      <c r="P6342">
        <v>1</v>
      </c>
      <c r="Q6342">
        <v>0</v>
      </c>
      <c r="R6342">
        <v>0</v>
      </c>
    </row>
    <row r="6343" spans="1:18" x14ac:dyDescent="0.45">
      <c r="A6343" s="19" t="s">
        <v>13</v>
      </c>
      <c r="B6343" s="19" t="s">
        <v>6</v>
      </c>
      <c r="C6343">
        <v>2</v>
      </c>
      <c r="D6343">
        <v>1</v>
      </c>
      <c r="E6343">
        <v>2</v>
      </c>
      <c r="F6343" s="15">
        <v>46293</v>
      </c>
      <c r="G6343" s="19" t="s">
        <v>751</v>
      </c>
      <c r="H6343">
        <v>4</v>
      </c>
      <c r="I6343">
        <v>2026</v>
      </c>
      <c r="J6343">
        <v>9</v>
      </c>
      <c r="K6343" s="19" t="s">
        <v>87</v>
      </c>
      <c r="L6343" s="19" t="s">
        <v>433</v>
      </c>
      <c r="M6343" s="19" t="s">
        <v>6</v>
      </c>
      <c r="N6343" t="b">
        <v>0</v>
      </c>
      <c r="O6343">
        <v>0</v>
      </c>
      <c r="P6343">
        <v>1</v>
      </c>
      <c r="Q6343">
        <v>0</v>
      </c>
      <c r="R6343">
        <v>0</v>
      </c>
    </row>
    <row r="6344" spans="1:18" x14ac:dyDescent="0.45">
      <c r="A6344" s="19" t="s">
        <v>351</v>
      </c>
      <c r="B6344" s="19" t="s">
        <v>6</v>
      </c>
      <c r="C6344">
        <v>3</v>
      </c>
      <c r="D6344">
        <v>1</v>
      </c>
      <c r="E6344">
        <v>2</v>
      </c>
      <c r="F6344" s="15">
        <v>46293</v>
      </c>
      <c r="G6344" s="19" t="s">
        <v>751</v>
      </c>
      <c r="H6344">
        <v>4</v>
      </c>
      <c r="I6344">
        <v>2026</v>
      </c>
      <c r="J6344">
        <v>9</v>
      </c>
      <c r="K6344" s="19" t="s">
        <v>87</v>
      </c>
      <c r="L6344" s="19" t="s">
        <v>14</v>
      </c>
      <c r="M6344" s="19" t="s">
        <v>8</v>
      </c>
      <c r="N6344" t="b">
        <v>0</v>
      </c>
      <c r="O6344">
        <v>0</v>
      </c>
      <c r="P6344">
        <v>1</v>
      </c>
      <c r="Q6344">
        <v>0</v>
      </c>
      <c r="R6344">
        <v>1</v>
      </c>
    </row>
    <row r="6345" spans="1:18" x14ac:dyDescent="0.45">
      <c r="A6345" s="19" t="s">
        <v>351</v>
      </c>
      <c r="B6345" s="19" t="s">
        <v>6</v>
      </c>
      <c r="C6345">
        <v>3</v>
      </c>
      <c r="D6345">
        <v>1</v>
      </c>
      <c r="E6345">
        <v>2</v>
      </c>
      <c r="F6345" s="15">
        <v>46293</v>
      </c>
      <c r="G6345" s="19" t="s">
        <v>751</v>
      </c>
      <c r="H6345">
        <v>4</v>
      </c>
      <c r="I6345">
        <v>2026</v>
      </c>
      <c r="J6345">
        <v>9</v>
      </c>
      <c r="K6345" s="19" t="s">
        <v>87</v>
      </c>
      <c r="L6345" s="19" t="s">
        <v>13</v>
      </c>
      <c r="M6345" s="19" t="s">
        <v>6</v>
      </c>
      <c r="N6345" t="b">
        <v>0</v>
      </c>
      <c r="O6345">
        <v>0</v>
      </c>
      <c r="P6345">
        <v>1</v>
      </c>
      <c r="Q6345">
        <v>0</v>
      </c>
      <c r="R6345">
        <v>0</v>
      </c>
    </row>
    <row r="6346" spans="1:18" x14ac:dyDescent="0.45">
      <c r="A6346" s="19" t="s">
        <v>351</v>
      </c>
      <c r="B6346" s="19" t="s">
        <v>6</v>
      </c>
      <c r="C6346">
        <v>3</v>
      </c>
      <c r="D6346">
        <v>1</v>
      </c>
      <c r="E6346">
        <v>2</v>
      </c>
      <c r="F6346" s="15">
        <v>46293</v>
      </c>
      <c r="G6346" s="19" t="s">
        <v>751</v>
      </c>
      <c r="H6346">
        <v>4</v>
      </c>
      <c r="I6346">
        <v>2026</v>
      </c>
      <c r="J6346">
        <v>9</v>
      </c>
      <c r="K6346" s="19" t="s">
        <v>87</v>
      </c>
      <c r="L6346" s="19" t="s">
        <v>433</v>
      </c>
      <c r="M6346" s="19" t="s">
        <v>6</v>
      </c>
      <c r="N6346" t="b">
        <v>0</v>
      </c>
      <c r="O6346">
        <v>0</v>
      </c>
      <c r="P6346">
        <v>1</v>
      </c>
      <c r="Q6346">
        <v>0</v>
      </c>
      <c r="R6346">
        <v>0</v>
      </c>
    </row>
    <row r="6347" spans="1:18" x14ac:dyDescent="0.45">
      <c r="A6347" s="19" t="s">
        <v>433</v>
      </c>
      <c r="B6347" s="19" t="s">
        <v>6</v>
      </c>
      <c r="C6347">
        <v>4</v>
      </c>
      <c r="D6347">
        <v>1</v>
      </c>
      <c r="E6347">
        <v>2</v>
      </c>
      <c r="F6347" s="15">
        <v>46293</v>
      </c>
      <c r="G6347" s="19" t="s">
        <v>751</v>
      </c>
      <c r="H6347">
        <v>4</v>
      </c>
      <c r="I6347">
        <v>2026</v>
      </c>
      <c r="J6347">
        <v>9</v>
      </c>
      <c r="K6347" s="19" t="s">
        <v>87</v>
      </c>
      <c r="L6347" s="19" t="s">
        <v>14</v>
      </c>
      <c r="M6347" s="19" t="s">
        <v>8</v>
      </c>
      <c r="N6347" t="b">
        <v>0</v>
      </c>
      <c r="O6347">
        <v>0</v>
      </c>
      <c r="P6347">
        <v>1</v>
      </c>
      <c r="Q6347">
        <v>0</v>
      </c>
      <c r="R6347">
        <v>1</v>
      </c>
    </row>
    <row r="6348" spans="1:18" x14ac:dyDescent="0.45">
      <c r="A6348" s="19" t="s">
        <v>433</v>
      </c>
      <c r="B6348" s="19" t="s">
        <v>6</v>
      </c>
      <c r="C6348">
        <v>4</v>
      </c>
      <c r="D6348">
        <v>1</v>
      </c>
      <c r="E6348">
        <v>2</v>
      </c>
      <c r="F6348" s="15">
        <v>46293</v>
      </c>
      <c r="G6348" s="19" t="s">
        <v>751</v>
      </c>
      <c r="H6348">
        <v>4</v>
      </c>
      <c r="I6348">
        <v>2026</v>
      </c>
      <c r="J6348">
        <v>9</v>
      </c>
      <c r="K6348" s="19" t="s">
        <v>87</v>
      </c>
      <c r="L6348" s="19" t="s">
        <v>13</v>
      </c>
      <c r="M6348" s="19" t="s">
        <v>6</v>
      </c>
      <c r="N6348" t="b">
        <v>0</v>
      </c>
      <c r="O6348">
        <v>0</v>
      </c>
      <c r="P6348">
        <v>1</v>
      </c>
      <c r="Q6348">
        <v>0</v>
      </c>
      <c r="R6348">
        <v>0</v>
      </c>
    </row>
    <row r="6349" spans="1:18" x14ac:dyDescent="0.45">
      <c r="A6349" s="19" t="s">
        <v>433</v>
      </c>
      <c r="B6349" s="19" t="s">
        <v>6</v>
      </c>
      <c r="C6349">
        <v>4</v>
      </c>
      <c r="D6349">
        <v>1</v>
      </c>
      <c r="E6349">
        <v>2</v>
      </c>
      <c r="F6349" s="15">
        <v>46293</v>
      </c>
      <c r="G6349" s="19" t="s">
        <v>751</v>
      </c>
      <c r="H6349">
        <v>4</v>
      </c>
      <c r="I6349">
        <v>2026</v>
      </c>
      <c r="J6349">
        <v>9</v>
      </c>
      <c r="K6349" s="19" t="s">
        <v>87</v>
      </c>
      <c r="L6349" s="19" t="s">
        <v>351</v>
      </c>
      <c r="M6349" s="19" t="s">
        <v>6</v>
      </c>
      <c r="N6349" t="b">
        <v>0</v>
      </c>
      <c r="O6349">
        <v>0</v>
      </c>
      <c r="P6349">
        <v>1</v>
      </c>
      <c r="Q6349">
        <v>0</v>
      </c>
      <c r="R6349">
        <v>0</v>
      </c>
    </row>
    <row r="6350" spans="1:18" x14ac:dyDescent="0.45">
      <c r="A6350" s="19" t="s">
        <v>15</v>
      </c>
      <c r="B6350" s="19" t="s">
        <v>8</v>
      </c>
      <c r="C6350">
        <v>1</v>
      </c>
      <c r="D6350">
        <v>2</v>
      </c>
      <c r="E6350">
        <v>2</v>
      </c>
      <c r="F6350" s="15">
        <v>46293</v>
      </c>
      <c r="G6350" s="19" t="s">
        <v>752</v>
      </c>
      <c r="H6350">
        <v>4</v>
      </c>
      <c r="I6350">
        <v>2026</v>
      </c>
      <c r="J6350">
        <v>9</v>
      </c>
      <c r="K6350" s="19" t="s">
        <v>87</v>
      </c>
      <c r="L6350" s="19" t="s">
        <v>723</v>
      </c>
      <c r="M6350" s="19" t="s">
        <v>6</v>
      </c>
      <c r="N6350" t="b">
        <v>0</v>
      </c>
      <c r="O6350">
        <v>1</v>
      </c>
      <c r="P6350">
        <v>0</v>
      </c>
      <c r="Q6350">
        <v>0</v>
      </c>
      <c r="R6350">
        <v>0</v>
      </c>
    </row>
    <row r="6351" spans="1:18" x14ac:dyDescent="0.45">
      <c r="A6351" s="19" t="s">
        <v>15</v>
      </c>
      <c r="B6351" s="19" t="s">
        <v>8</v>
      </c>
      <c r="C6351">
        <v>1</v>
      </c>
      <c r="D6351">
        <v>2</v>
      </c>
      <c r="E6351">
        <v>2</v>
      </c>
      <c r="F6351" s="15">
        <v>46293</v>
      </c>
      <c r="G6351" s="19" t="s">
        <v>752</v>
      </c>
      <c r="H6351">
        <v>4</v>
      </c>
      <c r="I6351">
        <v>2026</v>
      </c>
      <c r="J6351">
        <v>9</v>
      </c>
      <c r="K6351" s="19" t="s">
        <v>87</v>
      </c>
      <c r="L6351" s="19" t="s">
        <v>27</v>
      </c>
      <c r="M6351" s="19" t="s">
        <v>6</v>
      </c>
      <c r="N6351" t="b">
        <v>0</v>
      </c>
      <c r="O6351">
        <v>1</v>
      </c>
      <c r="P6351">
        <v>0</v>
      </c>
      <c r="Q6351">
        <v>0</v>
      </c>
      <c r="R6351">
        <v>0</v>
      </c>
    </row>
    <row r="6352" spans="1:18" x14ac:dyDescent="0.45">
      <c r="A6352" s="19" t="s">
        <v>15</v>
      </c>
      <c r="B6352" s="19" t="s">
        <v>8</v>
      </c>
      <c r="C6352">
        <v>1</v>
      </c>
      <c r="D6352">
        <v>2</v>
      </c>
      <c r="E6352">
        <v>2</v>
      </c>
      <c r="F6352" s="15">
        <v>46293</v>
      </c>
      <c r="G6352" s="19" t="s">
        <v>752</v>
      </c>
      <c r="H6352">
        <v>4</v>
      </c>
      <c r="I6352">
        <v>2026</v>
      </c>
      <c r="J6352">
        <v>9</v>
      </c>
      <c r="K6352" s="19" t="s">
        <v>87</v>
      </c>
      <c r="L6352" s="19" t="s">
        <v>19</v>
      </c>
      <c r="M6352" s="19" t="s">
        <v>6</v>
      </c>
      <c r="N6352" t="b">
        <v>0</v>
      </c>
      <c r="O6352">
        <v>1</v>
      </c>
      <c r="P6352">
        <v>0</v>
      </c>
      <c r="Q6352">
        <v>0</v>
      </c>
      <c r="R6352">
        <v>0</v>
      </c>
    </row>
    <row r="6353" spans="1:18" x14ac:dyDescent="0.45">
      <c r="A6353" s="19" t="s">
        <v>723</v>
      </c>
      <c r="B6353" s="19" t="s">
        <v>6</v>
      </c>
      <c r="C6353">
        <v>2</v>
      </c>
      <c r="D6353">
        <v>2</v>
      </c>
      <c r="E6353">
        <v>2</v>
      </c>
      <c r="F6353" s="15">
        <v>46293</v>
      </c>
      <c r="G6353" s="19" t="s">
        <v>752</v>
      </c>
      <c r="H6353">
        <v>4</v>
      </c>
      <c r="I6353">
        <v>2026</v>
      </c>
      <c r="J6353">
        <v>9</v>
      </c>
      <c r="K6353" s="19" t="s">
        <v>87</v>
      </c>
      <c r="L6353" s="19" t="s">
        <v>15</v>
      </c>
      <c r="M6353" s="19" t="s">
        <v>8</v>
      </c>
      <c r="N6353" t="b">
        <v>0</v>
      </c>
      <c r="O6353">
        <v>0</v>
      </c>
      <c r="P6353">
        <v>1</v>
      </c>
      <c r="Q6353">
        <v>0</v>
      </c>
      <c r="R6353">
        <v>1</v>
      </c>
    </row>
    <row r="6354" spans="1:18" x14ac:dyDescent="0.45">
      <c r="A6354" s="19" t="s">
        <v>723</v>
      </c>
      <c r="B6354" s="19" t="s">
        <v>6</v>
      </c>
      <c r="C6354">
        <v>2</v>
      </c>
      <c r="D6354">
        <v>2</v>
      </c>
      <c r="E6354">
        <v>2</v>
      </c>
      <c r="F6354" s="15">
        <v>46293</v>
      </c>
      <c r="G6354" s="19" t="s">
        <v>752</v>
      </c>
      <c r="H6354">
        <v>4</v>
      </c>
      <c r="I6354">
        <v>2026</v>
      </c>
      <c r="J6354">
        <v>9</v>
      </c>
      <c r="K6354" s="19" t="s">
        <v>87</v>
      </c>
      <c r="L6354" s="19" t="s">
        <v>27</v>
      </c>
      <c r="M6354" s="19" t="s">
        <v>6</v>
      </c>
      <c r="N6354" t="b">
        <v>0</v>
      </c>
      <c r="O6354">
        <v>0</v>
      </c>
      <c r="P6354">
        <v>1</v>
      </c>
      <c r="Q6354">
        <v>0</v>
      </c>
      <c r="R6354">
        <v>0</v>
      </c>
    </row>
    <row r="6355" spans="1:18" x14ac:dyDescent="0.45">
      <c r="A6355" s="19" t="s">
        <v>723</v>
      </c>
      <c r="B6355" s="19" t="s">
        <v>6</v>
      </c>
      <c r="C6355">
        <v>2</v>
      </c>
      <c r="D6355">
        <v>2</v>
      </c>
      <c r="E6355">
        <v>2</v>
      </c>
      <c r="F6355" s="15">
        <v>46293</v>
      </c>
      <c r="G6355" s="19" t="s">
        <v>752</v>
      </c>
      <c r="H6355">
        <v>4</v>
      </c>
      <c r="I6355">
        <v>2026</v>
      </c>
      <c r="J6355">
        <v>9</v>
      </c>
      <c r="K6355" s="19" t="s">
        <v>87</v>
      </c>
      <c r="L6355" s="19" t="s">
        <v>19</v>
      </c>
      <c r="M6355" s="19" t="s">
        <v>6</v>
      </c>
      <c r="N6355" t="b">
        <v>0</v>
      </c>
      <c r="O6355">
        <v>0</v>
      </c>
      <c r="P6355">
        <v>1</v>
      </c>
      <c r="Q6355">
        <v>0</v>
      </c>
      <c r="R6355">
        <v>0</v>
      </c>
    </row>
    <row r="6356" spans="1:18" x14ac:dyDescent="0.45">
      <c r="A6356" s="19" t="s">
        <v>27</v>
      </c>
      <c r="B6356" s="19" t="s">
        <v>6</v>
      </c>
      <c r="C6356">
        <v>3</v>
      </c>
      <c r="D6356">
        <v>2</v>
      </c>
      <c r="E6356">
        <v>2</v>
      </c>
      <c r="F6356" s="15">
        <v>46293</v>
      </c>
      <c r="G6356" s="19" t="s">
        <v>752</v>
      </c>
      <c r="H6356">
        <v>4</v>
      </c>
      <c r="I6356">
        <v>2026</v>
      </c>
      <c r="J6356">
        <v>9</v>
      </c>
      <c r="K6356" s="19" t="s">
        <v>87</v>
      </c>
      <c r="L6356" s="19" t="s">
        <v>15</v>
      </c>
      <c r="M6356" s="19" t="s">
        <v>8</v>
      </c>
      <c r="N6356" t="b">
        <v>0</v>
      </c>
      <c r="O6356">
        <v>0</v>
      </c>
      <c r="P6356">
        <v>1</v>
      </c>
      <c r="Q6356">
        <v>0</v>
      </c>
      <c r="R6356">
        <v>1</v>
      </c>
    </row>
    <row r="6357" spans="1:18" x14ac:dyDescent="0.45">
      <c r="A6357" s="19" t="s">
        <v>27</v>
      </c>
      <c r="B6357" s="19" t="s">
        <v>6</v>
      </c>
      <c r="C6357">
        <v>3</v>
      </c>
      <c r="D6357">
        <v>2</v>
      </c>
      <c r="E6357">
        <v>2</v>
      </c>
      <c r="F6357" s="15">
        <v>46293</v>
      </c>
      <c r="G6357" s="19" t="s">
        <v>752</v>
      </c>
      <c r="H6357">
        <v>4</v>
      </c>
      <c r="I6357">
        <v>2026</v>
      </c>
      <c r="J6357">
        <v>9</v>
      </c>
      <c r="K6357" s="19" t="s">
        <v>87</v>
      </c>
      <c r="L6357" s="19" t="s">
        <v>723</v>
      </c>
      <c r="M6357" s="19" t="s">
        <v>6</v>
      </c>
      <c r="N6357" t="b">
        <v>0</v>
      </c>
      <c r="O6357">
        <v>0</v>
      </c>
      <c r="P6357">
        <v>1</v>
      </c>
      <c r="Q6357">
        <v>0</v>
      </c>
      <c r="R6357">
        <v>0</v>
      </c>
    </row>
    <row r="6358" spans="1:18" x14ac:dyDescent="0.45">
      <c r="A6358" s="19" t="s">
        <v>27</v>
      </c>
      <c r="B6358" s="19" t="s">
        <v>6</v>
      </c>
      <c r="C6358">
        <v>3</v>
      </c>
      <c r="D6358">
        <v>2</v>
      </c>
      <c r="E6358">
        <v>2</v>
      </c>
      <c r="F6358" s="15">
        <v>46293</v>
      </c>
      <c r="G6358" s="19" t="s">
        <v>752</v>
      </c>
      <c r="H6358">
        <v>4</v>
      </c>
      <c r="I6358">
        <v>2026</v>
      </c>
      <c r="J6358">
        <v>9</v>
      </c>
      <c r="K6358" s="19" t="s">
        <v>87</v>
      </c>
      <c r="L6358" s="19" t="s">
        <v>19</v>
      </c>
      <c r="M6358" s="19" t="s">
        <v>6</v>
      </c>
      <c r="N6358" t="b">
        <v>0</v>
      </c>
      <c r="O6358">
        <v>0</v>
      </c>
      <c r="P6358">
        <v>1</v>
      </c>
      <c r="Q6358">
        <v>0</v>
      </c>
      <c r="R6358">
        <v>0</v>
      </c>
    </row>
    <row r="6359" spans="1:18" x14ac:dyDescent="0.45">
      <c r="A6359" s="19" t="s">
        <v>19</v>
      </c>
      <c r="B6359" s="19" t="s">
        <v>6</v>
      </c>
      <c r="C6359">
        <v>4</v>
      </c>
      <c r="D6359">
        <v>2</v>
      </c>
      <c r="E6359">
        <v>2</v>
      </c>
      <c r="F6359" s="15">
        <v>46293</v>
      </c>
      <c r="G6359" s="19" t="s">
        <v>752</v>
      </c>
      <c r="H6359">
        <v>4</v>
      </c>
      <c r="I6359">
        <v>2026</v>
      </c>
      <c r="J6359">
        <v>9</v>
      </c>
      <c r="K6359" s="19" t="s">
        <v>87</v>
      </c>
      <c r="L6359" s="19" t="s">
        <v>15</v>
      </c>
      <c r="M6359" s="19" t="s">
        <v>8</v>
      </c>
      <c r="N6359" t="b">
        <v>0</v>
      </c>
      <c r="O6359">
        <v>0</v>
      </c>
      <c r="P6359">
        <v>1</v>
      </c>
      <c r="Q6359">
        <v>0</v>
      </c>
      <c r="R6359">
        <v>1</v>
      </c>
    </row>
    <row r="6360" spans="1:18" x14ac:dyDescent="0.45">
      <c r="A6360" s="19" t="s">
        <v>19</v>
      </c>
      <c r="B6360" s="19" t="s">
        <v>6</v>
      </c>
      <c r="C6360">
        <v>4</v>
      </c>
      <c r="D6360">
        <v>2</v>
      </c>
      <c r="E6360">
        <v>2</v>
      </c>
      <c r="F6360" s="15">
        <v>46293</v>
      </c>
      <c r="G6360" s="19" t="s">
        <v>752</v>
      </c>
      <c r="H6360">
        <v>4</v>
      </c>
      <c r="I6360">
        <v>2026</v>
      </c>
      <c r="J6360">
        <v>9</v>
      </c>
      <c r="K6360" s="19" t="s">
        <v>87</v>
      </c>
      <c r="L6360" s="19" t="s">
        <v>723</v>
      </c>
      <c r="M6360" s="19" t="s">
        <v>6</v>
      </c>
      <c r="N6360" t="b">
        <v>0</v>
      </c>
      <c r="O6360">
        <v>0</v>
      </c>
      <c r="P6360">
        <v>1</v>
      </c>
      <c r="Q6360">
        <v>0</v>
      </c>
      <c r="R6360">
        <v>0</v>
      </c>
    </row>
    <row r="6361" spans="1:18" x14ac:dyDescent="0.45">
      <c r="A6361" s="19" t="s">
        <v>19</v>
      </c>
      <c r="B6361" s="19" t="s">
        <v>6</v>
      </c>
      <c r="C6361">
        <v>4</v>
      </c>
      <c r="D6361">
        <v>2</v>
      </c>
      <c r="E6361">
        <v>2</v>
      </c>
      <c r="F6361" s="15">
        <v>46293</v>
      </c>
      <c r="G6361" s="19" t="s">
        <v>752</v>
      </c>
      <c r="H6361">
        <v>4</v>
      </c>
      <c r="I6361">
        <v>2026</v>
      </c>
      <c r="J6361">
        <v>9</v>
      </c>
      <c r="K6361" s="19" t="s">
        <v>87</v>
      </c>
      <c r="L6361" s="19" t="s">
        <v>27</v>
      </c>
      <c r="M6361" s="19" t="s">
        <v>6</v>
      </c>
      <c r="N6361" t="b">
        <v>0</v>
      </c>
      <c r="O6361">
        <v>0</v>
      </c>
      <c r="P6361">
        <v>1</v>
      </c>
      <c r="Q6361">
        <v>0</v>
      </c>
      <c r="R6361">
        <v>0</v>
      </c>
    </row>
    <row r="6362" spans="1:18" x14ac:dyDescent="0.45">
      <c r="A6362" s="19" t="s">
        <v>28</v>
      </c>
      <c r="B6362" s="19" t="s">
        <v>63</v>
      </c>
      <c r="C6362">
        <v>1</v>
      </c>
      <c r="D6362">
        <v>3</v>
      </c>
      <c r="E6362">
        <v>2</v>
      </c>
      <c r="F6362" s="15">
        <v>46293</v>
      </c>
      <c r="G6362" s="19" t="s">
        <v>753</v>
      </c>
      <c r="H6362">
        <v>4</v>
      </c>
      <c r="I6362">
        <v>2026</v>
      </c>
      <c r="J6362">
        <v>9</v>
      </c>
      <c r="K6362" s="19" t="s">
        <v>87</v>
      </c>
      <c r="L6362" s="19" t="s">
        <v>405</v>
      </c>
      <c r="M6362" s="19" t="s">
        <v>63</v>
      </c>
      <c r="N6362" t="b">
        <v>0</v>
      </c>
      <c r="O6362">
        <v>0</v>
      </c>
      <c r="P6362">
        <v>0</v>
      </c>
      <c r="Q6362">
        <v>1</v>
      </c>
      <c r="R6362">
        <v>0</v>
      </c>
    </row>
    <row r="6363" spans="1:18" x14ac:dyDescent="0.45">
      <c r="A6363" s="19" t="s">
        <v>28</v>
      </c>
      <c r="B6363" s="19" t="s">
        <v>63</v>
      </c>
      <c r="C6363">
        <v>1</v>
      </c>
      <c r="D6363">
        <v>3</v>
      </c>
      <c r="E6363">
        <v>2</v>
      </c>
      <c r="F6363" s="15">
        <v>46293</v>
      </c>
      <c r="G6363" s="19" t="s">
        <v>753</v>
      </c>
      <c r="H6363">
        <v>4</v>
      </c>
      <c r="I6363">
        <v>2026</v>
      </c>
      <c r="J6363">
        <v>9</v>
      </c>
      <c r="K6363" s="19" t="s">
        <v>87</v>
      </c>
      <c r="L6363" s="19" t="s">
        <v>9</v>
      </c>
      <c r="M6363" s="19" t="s">
        <v>63</v>
      </c>
      <c r="N6363" t="b">
        <v>0</v>
      </c>
      <c r="O6363">
        <v>0</v>
      </c>
      <c r="P6363">
        <v>0</v>
      </c>
      <c r="Q6363">
        <v>1</v>
      </c>
      <c r="R6363">
        <v>0</v>
      </c>
    </row>
    <row r="6364" spans="1:18" x14ac:dyDescent="0.45">
      <c r="A6364" s="19" t="s">
        <v>28</v>
      </c>
      <c r="B6364" s="19" t="s">
        <v>63</v>
      </c>
      <c r="C6364">
        <v>1</v>
      </c>
      <c r="D6364">
        <v>3</v>
      </c>
      <c r="E6364">
        <v>2</v>
      </c>
      <c r="F6364" s="15">
        <v>46293</v>
      </c>
      <c r="G6364" s="19" t="s">
        <v>753</v>
      </c>
      <c r="H6364">
        <v>4</v>
      </c>
      <c r="I6364">
        <v>2026</v>
      </c>
      <c r="J6364">
        <v>9</v>
      </c>
      <c r="K6364" s="19" t="s">
        <v>87</v>
      </c>
      <c r="L6364" s="19" t="s">
        <v>734</v>
      </c>
      <c r="M6364" s="19" t="s">
        <v>63</v>
      </c>
      <c r="N6364" t="b">
        <v>0</v>
      </c>
      <c r="O6364">
        <v>0</v>
      </c>
      <c r="P6364">
        <v>0</v>
      </c>
      <c r="Q6364">
        <v>1</v>
      </c>
      <c r="R6364">
        <v>0</v>
      </c>
    </row>
    <row r="6365" spans="1:18" x14ac:dyDescent="0.45">
      <c r="A6365" s="19" t="s">
        <v>405</v>
      </c>
      <c r="B6365" s="19" t="s">
        <v>63</v>
      </c>
      <c r="C6365">
        <v>2</v>
      </c>
      <c r="D6365">
        <v>3</v>
      </c>
      <c r="E6365">
        <v>2</v>
      </c>
      <c r="F6365" s="15">
        <v>46293</v>
      </c>
      <c r="G6365" s="19" t="s">
        <v>753</v>
      </c>
      <c r="H6365">
        <v>4</v>
      </c>
      <c r="I6365">
        <v>2026</v>
      </c>
      <c r="J6365">
        <v>9</v>
      </c>
      <c r="K6365" s="19" t="s">
        <v>87</v>
      </c>
      <c r="L6365" s="19" t="s">
        <v>28</v>
      </c>
      <c r="M6365" s="19" t="s">
        <v>63</v>
      </c>
      <c r="N6365" t="b">
        <v>0</v>
      </c>
      <c r="O6365">
        <v>0</v>
      </c>
      <c r="P6365">
        <v>0</v>
      </c>
      <c r="Q6365">
        <v>1</v>
      </c>
      <c r="R6365">
        <v>0</v>
      </c>
    </row>
    <row r="6366" spans="1:18" x14ac:dyDescent="0.45">
      <c r="A6366" s="19" t="s">
        <v>405</v>
      </c>
      <c r="B6366" s="19" t="s">
        <v>63</v>
      </c>
      <c r="C6366">
        <v>2</v>
      </c>
      <c r="D6366">
        <v>3</v>
      </c>
      <c r="E6366">
        <v>2</v>
      </c>
      <c r="F6366" s="15">
        <v>46293</v>
      </c>
      <c r="G6366" s="19" t="s">
        <v>753</v>
      </c>
      <c r="H6366">
        <v>4</v>
      </c>
      <c r="I6366">
        <v>2026</v>
      </c>
      <c r="J6366">
        <v>9</v>
      </c>
      <c r="K6366" s="19" t="s">
        <v>87</v>
      </c>
      <c r="L6366" s="19" t="s">
        <v>9</v>
      </c>
      <c r="M6366" s="19" t="s">
        <v>63</v>
      </c>
      <c r="N6366" t="b">
        <v>0</v>
      </c>
      <c r="O6366">
        <v>0</v>
      </c>
      <c r="P6366">
        <v>0</v>
      </c>
      <c r="Q6366">
        <v>1</v>
      </c>
      <c r="R6366">
        <v>0</v>
      </c>
    </row>
    <row r="6367" spans="1:18" x14ac:dyDescent="0.45">
      <c r="A6367" s="19" t="s">
        <v>405</v>
      </c>
      <c r="B6367" s="19" t="s">
        <v>63</v>
      </c>
      <c r="C6367">
        <v>2</v>
      </c>
      <c r="D6367">
        <v>3</v>
      </c>
      <c r="E6367">
        <v>2</v>
      </c>
      <c r="F6367" s="15">
        <v>46293</v>
      </c>
      <c r="G6367" s="19" t="s">
        <v>753</v>
      </c>
      <c r="H6367">
        <v>4</v>
      </c>
      <c r="I6367">
        <v>2026</v>
      </c>
      <c r="J6367">
        <v>9</v>
      </c>
      <c r="K6367" s="19" t="s">
        <v>87</v>
      </c>
      <c r="L6367" s="19" t="s">
        <v>734</v>
      </c>
      <c r="M6367" s="19" t="s">
        <v>63</v>
      </c>
      <c r="N6367" t="b">
        <v>0</v>
      </c>
      <c r="O6367">
        <v>0</v>
      </c>
      <c r="P6367">
        <v>0</v>
      </c>
      <c r="Q6367">
        <v>1</v>
      </c>
      <c r="R6367">
        <v>0</v>
      </c>
    </row>
    <row r="6368" spans="1:18" x14ac:dyDescent="0.45">
      <c r="A6368" s="19" t="s">
        <v>9</v>
      </c>
      <c r="B6368" s="19" t="s">
        <v>63</v>
      </c>
      <c r="C6368">
        <v>3</v>
      </c>
      <c r="D6368">
        <v>3</v>
      </c>
      <c r="E6368">
        <v>2</v>
      </c>
      <c r="F6368" s="15">
        <v>46293</v>
      </c>
      <c r="G6368" s="19" t="s">
        <v>753</v>
      </c>
      <c r="H6368">
        <v>4</v>
      </c>
      <c r="I6368">
        <v>2026</v>
      </c>
      <c r="J6368">
        <v>9</v>
      </c>
      <c r="K6368" s="19" t="s">
        <v>87</v>
      </c>
      <c r="L6368" s="19" t="s">
        <v>28</v>
      </c>
      <c r="M6368" s="19" t="s">
        <v>63</v>
      </c>
      <c r="N6368" t="b">
        <v>0</v>
      </c>
      <c r="O6368">
        <v>0</v>
      </c>
      <c r="P6368">
        <v>0</v>
      </c>
      <c r="Q6368">
        <v>1</v>
      </c>
      <c r="R6368">
        <v>0</v>
      </c>
    </row>
    <row r="6369" spans="1:18" x14ac:dyDescent="0.45">
      <c r="A6369" s="19" t="s">
        <v>9</v>
      </c>
      <c r="B6369" s="19" t="s">
        <v>63</v>
      </c>
      <c r="C6369">
        <v>3</v>
      </c>
      <c r="D6369">
        <v>3</v>
      </c>
      <c r="E6369">
        <v>2</v>
      </c>
      <c r="F6369" s="15">
        <v>46293</v>
      </c>
      <c r="G6369" s="19" t="s">
        <v>753</v>
      </c>
      <c r="H6369">
        <v>4</v>
      </c>
      <c r="I6369">
        <v>2026</v>
      </c>
      <c r="J6369">
        <v>9</v>
      </c>
      <c r="K6369" s="19" t="s">
        <v>87</v>
      </c>
      <c r="L6369" s="19" t="s">
        <v>405</v>
      </c>
      <c r="M6369" s="19" t="s">
        <v>63</v>
      </c>
      <c r="N6369" t="b">
        <v>0</v>
      </c>
      <c r="O6369">
        <v>0</v>
      </c>
      <c r="P6369">
        <v>0</v>
      </c>
      <c r="Q6369">
        <v>1</v>
      </c>
      <c r="R6369">
        <v>0</v>
      </c>
    </row>
    <row r="6370" spans="1:18" x14ac:dyDescent="0.45">
      <c r="A6370" s="19" t="s">
        <v>9</v>
      </c>
      <c r="B6370" s="19" t="s">
        <v>63</v>
      </c>
      <c r="C6370">
        <v>3</v>
      </c>
      <c r="D6370">
        <v>3</v>
      </c>
      <c r="E6370">
        <v>2</v>
      </c>
      <c r="F6370" s="15">
        <v>46293</v>
      </c>
      <c r="G6370" s="19" t="s">
        <v>753</v>
      </c>
      <c r="H6370">
        <v>4</v>
      </c>
      <c r="I6370">
        <v>2026</v>
      </c>
      <c r="J6370">
        <v>9</v>
      </c>
      <c r="K6370" s="19" t="s">
        <v>87</v>
      </c>
      <c r="L6370" s="19" t="s">
        <v>734</v>
      </c>
      <c r="M6370" s="19" t="s">
        <v>63</v>
      </c>
      <c r="N6370" t="b">
        <v>0</v>
      </c>
      <c r="O6370">
        <v>0</v>
      </c>
      <c r="P6370">
        <v>0</v>
      </c>
      <c r="Q6370">
        <v>1</v>
      </c>
      <c r="R6370">
        <v>0</v>
      </c>
    </row>
    <row r="6371" spans="1:18" x14ac:dyDescent="0.45">
      <c r="A6371" s="19" t="s">
        <v>734</v>
      </c>
      <c r="B6371" s="19" t="s">
        <v>63</v>
      </c>
      <c r="C6371">
        <v>4</v>
      </c>
      <c r="D6371">
        <v>3</v>
      </c>
      <c r="E6371">
        <v>2</v>
      </c>
      <c r="F6371" s="15">
        <v>46293</v>
      </c>
      <c r="G6371" s="19" t="s">
        <v>753</v>
      </c>
      <c r="H6371">
        <v>4</v>
      </c>
      <c r="I6371">
        <v>2026</v>
      </c>
      <c r="J6371">
        <v>9</v>
      </c>
      <c r="K6371" s="19" t="s">
        <v>87</v>
      </c>
      <c r="L6371" s="19" t="s">
        <v>28</v>
      </c>
      <c r="M6371" s="19" t="s">
        <v>63</v>
      </c>
      <c r="N6371" t="b">
        <v>0</v>
      </c>
      <c r="O6371">
        <v>0</v>
      </c>
      <c r="P6371">
        <v>0</v>
      </c>
      <c r="Q6371">
        <v>1</v>
      </c>
      <c r="R6371">
        <v>0</v>
      </c>
    </row>
    <row r="6372" spans="1:18" x14ac:dyDescent="0.45">
      <c r="A6372" s="19" t="s">
        <v>734</v>
      </c>
      <c r="B6372" s="19" t="s">
        <v>63</v>
      </c>
      <c r="C6372">
        <v>4</v>
      </c>
      <c r="D6372">
        <v>3</v>
      </c>
      <c r="E6372">
        <v>2</v>
      </c>
      <c r="F6372" s="15">
        <v>46293</v>
      </c>
      <c r="G6372" s="19" t="s">
        <v>753</v>
      </c>
      <c r="H6372">
        <v>4</v>
      </c>
      <c r="I6372">
        <v>2026</v>
      </c>
      <c r="J6372">
        <v>9</v>
      </c>
      <c r="K6372" s="19" t="s">
        <v>87</v>
      </c>
      <c r="L6372" s="19" t="s">
        <v>405</v>
      </c>
      <c r="M6372" s="19" t="s">
        <v>63</v>
      </c>
      <c r="N6372" t="b">
        <v>0</v>
      </c>
      <c r="O6372">
        <v>0</v>
      </c>
      <c r="P6372">
        <v>0</v>
      </c>
      <c r="Q6372">
        <v>1</v>
      </c>
      <c r="R6372">
        <v>0</v>
      </c>
    </row>
    <row r="6373" spans="1:18" x14ac:dyDescent="0.45">
      <c r="A6373" s="19" t="s">
        <v>734</v>
      </c>
      <c r="B6373" s="19" t="s">
        <v>63</v>
      </c>
      <c r="C6373">
        <v>4</v>
      </c>
      <c r="D6373">
        <v>3</v>
      </c>
      <c r="E6373">
        <v>2</v>
      </c>
      <c r="F6373" s="15">
        <v>46293</v>
      </c>
      <c r="G6373" s="19" t="s">
        <v>753</v>
      </c>
      <c r="H6373">
        <v>4</v>
      </c>
      <c r="I6373">
        <v>2026</v>
      </c>
      <c r="J6373">
        <v>9</v>
      </c>
      <c r="K6373" s="19" t="s">
        <v>87</v>
      </c>
      <c r="L6373" s="19" t="s">
        <v>9</v>
      </c>
      <c r="M6373" s="19" t="s">
        <v>63</v>
      </c>
      <c r="N6373" t="b">
        <v>0</v>
      </c>
      <c r="O6373">
        <v>0</v>
      </c>
      <c r="P6373">
        <v>0</v>
      </c>
      <c r="Q6373">
        <v>1</v>
      </c>
      <c r="R6373">
        <v>0</v>
      </c>
    </row>
    <row r="6374" spans="1:18" x14ac:dyDescent="0.45">
      <c r="A6374" s="19" t="s">
        <v>352</v>
      </c>
      <c r="B6374" s="19" t="s">
        <v>6</v>
      </c>
      <c r="C6374">
        <v>1</v>
      </c>
      <c r="D6374">
        <v>4</v>
      </c>
      <c r="E6374">
        <v>2</v>
      </c>
      <c r="F6374" s="15">
        <v>46293</v>
      </c>
      <c r="G6374" s="19" t="s">
        <v>754</v>
      </c>
      <c r="H6374">
        <v>3</v>
      </c>
      <c r="I6374">
        <v>2026</v>
      </c>
      <c r="J6374">
        <v>9</v>
      </c>
      <c r="K6374" s="19" t="s">
        <v>87</v>
      </c>
      <c r="L6374" s="19" t="s">
        <v>7</v>
      </c>
      <c r="M6374" s="19" t="s">
        <v>8</v>
      </c>
      <c r="N6374" t="b">
        <v>0</v>
      </c>
      <c r="O6374">
        <v>0</v>
      </c>
      <c r="P6374">
        <v>1</v>
      </c>
      <c r="Q6374">
        <v>0</v>
      </c>
      <c r="R6374">
        <v>1</v>
      </c>
    </row>
    <row r="6375" spans="1:18" x14ac:dyDescent="0.45">
      <c r="A6375" s="19" t="s">
        <v>352</v>
      </c>
      <c r="B6375" s="19" t="s">
        <v>6</v>
      </c>
      <c r="C6375">
        <v>1</v>
      </c>
      <c r="D6375">
        <v>4</v>
      </c>
      <c r="E6375">
        <v>2</v>
      </c>
      <c r="F6375" s="15">
        <v>46293</v>
      </c>
      <c r="G6375" s="19" t="s">
        <v>754</v>
      </c>
      <c r="H6375">
        <v>3</v>
      </c>
      <c r="I6375">
        <v>2026</v>
      </c>
      <c r="J6375">
        <v>9</v>
      </c>
      <c r="K6375" s="19" t="s">
        <v>87</v>
      </c>
      <c r="L6375" s="19" t="s">
        <v>51</v>
      </c>
      <c r="M6375" s="19" t="s">
        <v>6</v>
      </c>
      <c r="N6375" t="b">
        <v>0</v>
      </c>
      <c r="O6375">
        <v>0</v>
      </c>
      <c r="P6375">
        <v>1</v>
      </c>
      <c r="Q6375">
        <v>0</v>
      </c>
      <c r="R6375">
        <v>0</v>
      </c>
    </row>
    <row r="6376" spans="1:18" x14ac:dyDescent="0.45">
      <c r="A6376" s="19" t="s">
        <v>7</v>
      </c>
      <c r="B6376" s="19" t="s">
        <v>8</v>
      </c>
      <c r="C6376">
        <v>2</v>
      </c>
      <c r="D6376">
        <v>4</v>
      </c>
      <c r="E6376">
        <v>2</v>
      </c>
      <c r="F6376" s="15">
        <v>46293</v>
      </c>
      <c r="G6376" s="19" t="s">
        <v>754</v>
      </c>
      <c r="H6376">
        <v>3</v>
      </c>
      <c r="I6376">
        <v>2026</v>
      </c>
      <c r="J6376">
        <v>9</v>
      </c>
      <c r="K6376" s="19" t="s">
        <v>87</v>
      </c>
      <c r="L6376" s="19" t="s">
        <v>352</v>
      </c>
      <c r="M6376" s="19" t="s">
        <v>6</v>
      </c>
      <c r="N6376" t="b">
        <v>0</v>
      </c>
      <c r="O6376">
        <v>1</v>
      </c>
      <c r="P6376">
        <v>0</v>
      </c>
      <c r="Q6376">
        <v>0</v>
      </c>
      <c r="R6376">
        <v>0</v>
      </c>
    </row>
    <row r="6377" spans="1:18" x14ac:dyDescent="0.45">
      <c r="A6377" s="19" t="s">
        <v>7</v>
      </c>
      <c r="B6377" s="19" t="s">
        <v>8</v>
      </c>
      <c r="C6377">
        <v>2</v>
      </c>
      <c r="D6377">
        <v>4</v>
      </c>
      <c r="E6377">
        <v>2</v>
      </c>
      <c r="F6377" s="15">
        <v>46293</v>
      </c>
      <c r="G6377" s="19" t="s">
        <v>754</v>
      </c>
      <c r="H6377">
        <v>3</v>
      </c>
      <c r="I6377">
        <v>2026</v>
      </c>
      <c r="J6377">
        <v>9</v>
      </c>
      <c r="K6377" s="19" t="s">
        <v>87</v>
      </c>
      <c r="L6377" s="19" t="s">
        <v>51</v>
      </c>
      <c r="M6377" s="19" t="s">
        <v>6</v>
      </c>
      <c r="N6377" t="b">
        <v>0</v>
      </c>
      <c r="O6377">
        <v>1</v>
      </c>
      <c r="P6377">
        <v>0</v>
      </c>
      <c r="Q6377">
        <v>0</v>
      </c>
      <c r="R6377">
        <v>0</v>
      </c>
    </row>
    <row r="6378" spans="1:18" x14ac:dyDescent="0.45">
      <c r="A6378" s="19" t="s">
        <v>51</v>
      </c>
      <c r="B6378" s="19" t="s">
        <v>6</v>
      </c>
      <c r="C6378">
        <v>3</v>
      </c>
      <c r="D6378">
        <v>4</v>
      </c>
      <c r="E6378">
        <v>2</v>
      </c>
      <c r="F6378" s="15">
        <v>46293</v>
      </c>
      <c r="G6378" s="19" t="s">
        <v>754</v>
      </c>
      <c r="H6378">
        <v>3</v>
      </c>
      <c r="I6378">
        <v>2026</v>
      </c>
      <c r="J6378">
        <v>9</v>
      </c>
      <c r="K6378" s="19" t="s">
        <v>87</v>
      </c>
      <c r="L6378" s="19" t="s">
        <v>352</v>
      </c>
      <c r="M6378" s="19" t="s">
        <v>6</v>
      </c>
      <c r="N6378" t="b">
        <v>0</v>
      </c>
      <c r="O6378">
        <v>0</v>
      </c>
      <c r="P6378">
        <v>1</v>
      </c>
      <c r="Q6378">
        <v>0</v>
      </c>
      <c r="R6378">
        <v>0</v>
      </c>
    </row>
    <row r="6379" spans="1:18" x14ac:dyDescent="0.45">
      <c r="A6379" s="19" t="s">
        <v>51</v>
      </c>
      <c r="B6379" s="19" t="s">
        <v>6</v>
      </c>
      <c r="C6379">
        <v>3</v>
      </c>
      <c r="D6379">
        <v>4</v>
      </c>
      <c r="E6379">
        <v>2</v>
      </c>
      <c r="F6379" s="15">
        <v>46293</v>
      </c>
      <c r="G6379" s="19" t="s">
        <v>754</v>
      </c>
      <c r="H6379">
        <v>3</v>
      </c>
      <c r="I6379">
        <v>2026</v>
      </c>
      <c r="J6379">
        <v>9</v>
      </c>
      <c r="K6379" s="19" t="s">
        <v>87</v>
      </c>
      <c r="L6379" s="19" t="s">
        <v>7</v>
      </c>
      <c r="M6379" s="19" t="s">
        <v>8</v>
      </c>
      <c r="N6379" t="b">
        <v>0</v>
      </c>
      <c r="O6379">
        <v>0</v>
      </c>
      <c r="P6379">
        <v>1</v>
      </c>
      <c r="Q6379">
        <v>0</v>
      </c>
      <c r="R6379">
        <v>1</v>
      </c>
    </row>
    <row r="6380" spans="1:18" x14ac:dyDescent="0.45">
      <c r="A6380" s="19" t="s">
        <v>402</v>
      </c>
      <c r="B6380" s="19" t="s">
        <v>63</v>
      </c>
      <c r="C6380">
        <v>1</v>
      </c>
      <c r="D6380">
        <v>1</v>
      </c>
      <c r="E6380">
        <v>1</v>
      </c>
      <c r="F6380" s="15">
        <v>46300</v>
      </c>
      <c r="G6380" s="19" t="s">
        <v>755</v>
      </c>
      <c r="H6380">
        <v>4</v>
      </c>
      <c r="I6380">
        <v>2026</v>
      </c>
      <c r="J6380">
        <v>10</v>
      </c>
      <c r="K6380" s="19" t="s">
        <v>282</v>
      </c>
      <c r="L6380" s="19" t="s">
        <v>622</v>
      </c>
      <c r="M6380" s="19" t="s">
        <v>63</v>
      </c>
      <c r="N6380" t="b">
        <v>0</v>
      </c>
      <c r="O6380">
        <v>0</v>
      </c>
      <c r="P6380">
        <v>0</v>
      </c>
      <c r="Q6380">
        <v>1</v>
      </c>
      <c r="R6380">
        <v>0</v>
      </c>
    </row>
    <row r="6381" spans="1:18" x14ac:dyDescent="0.45">
      <c r="A6381" s="19" t="s">
        <v>402</v>
      </c>
      <c r="B6381" s="19" t="s">
        <v>63</v>
      </c>
      <c r="C6381">
        <v>1</v>
      </c>
      <c r="D6381">
        <v>1</v>
      </c>
      <c r="E6381">
        <v>1</v>
      </c>
      <c r="F6381" s="15">
        <v>46300</v>
      </c>
      <c r="G6381" s="19" t="s">
        <v>755</v>
      </c>
      <c r="H6381">
        <v>4</v>
      </c>
      <c r="I6381">
        <v>2026</v>
      </c>
      <c r="J6381">
        <v>10</v>
      </c>
      <c r="K6381" s="19" t="s">
        <v>282</v>
      </c>
      <c r="L6381" s="19" t="s">
        <v>27</v>
      </c>
      <c r="M6381" s="19" t="s">
        <v>63</v>
      </c>
      <c r="N6381" t="b">
        <v>0</v>
      </c>
      <c r="O6381">
        <v>0</v>
      </c>
      <c r="P6381">
        <v>0</v>
      </c>
      <c r="Q6381">
        <v>1</v>
      </c>
      <c r="R6381">
        <v>0</v>
      </c>
    </row>
    <row r="6382" spans="1:18" x14ac:dyDescent="0.45">
      <c r="A6382" s="19" t="s">
        <v>402</v>
      </c>
      <c r="B6382" s="19" t="s">
        <v>63</v>
      </c>
      <c r="C6382">
        <v>1</v>
      </c>
      <c r="D6382">
        <v>1</v>
      </c>
      <c r="E6382">
        <v>1</v>
      </c>
      <c r="F6382" s="15">
        <v>46300</v>
      </c>
      <c r="G6382" s="19" t="s">
        <v>755</v>
      </c>
      <c r="H6382">
        <v>4</v>
      </c>
      <c r="I6382">
        <v>2026</v>
      </c>
      <c r="J6382">
        <v>10</v>
      </c>
      <c r="K6382" s="19" t="s">
        <v>282</v>
      </c>
      <c r="L6382" s="19" t="s">
        <v>7</v>
      </c>
      <c r="M6382" s="19" t="s">
        <v>63</v>
      </c>
      <c r="N6382" t="b">
        <v>0</v>
      </c>
      <c r="O6382">
        <v>0</v>
      </c>
      <c r="P6382">
        <v>0</v>
      </c>
      <c r="Q6382">
        <v>1</v>
      </c>
      <c r="R6382">
        <v>0</v>
      </c>
    </row>
    <row r="6383" spans="1:18" x14ac:dyDescent="0.45">
      <c r="A6383" s="19" t="s">
        <v>622</v>
      </c>
      <c r="B6383" s="19" t="s">
        <v>63</v>
      </c>
      <c r="C6383">
        <v>2</v>
      </c>
      <c r="D6383">
        <v>1</v>
      </c>
      <c r="E6383">
        <v>1</v>
      </c>
      <c r="F6383" s="15">
        <v>46300</v>
      </c>
      <c r="G6383" s="19" t="s">
        <v>755</v>
      </c>
      <c r="H6383">
        <v>4</v>
      </c>
      <c r="I6383">
        <v>2026</v>
      </c>
      <c r="J6383">
        <v>10</v>
      </c>
      <c r="K6383" s="19" t="s">
        <v>282</v>
      </c>
      <c r="L6383" s="19" t="s">
        <v>402</v>
      </c>
      <c r="M6383" s="19" t="s">
        <v>63</v>
      </c>
      <c r="N6383" t="b">
        <v>0</v>
      </c>
      <c r="O6383">
        <v>0</v>
      </c>
      <c r="P6383">
        <v>0</v>
      </c>
      <c r="Q6383">
        <v>1</v>
      </c>
      <c r="R6383">
        <v>0</v>
      </c>
    </row>
    <row r="6384" spans="1:18" x14ac:dyDescent="0.45">
      <c r="A6384" s="19" t="s">
        <v>622</v>
      </c>
      <c r="B6384" s="19" t="s">
        <v>63</v>
      </c>
      <c r="C6384">
        <v>2</v>
      </c>
      <c r="D6384">
        <v>1</v>
      </c>
      <c r="E6384">
        <v>1</v>
      </c>
      <c r="F6384" s="15">
        <v>46300</v>
      </c>
      <c r="G6384" s="19" t="s">
        <v>755</v>
      </c>
      <c r="H6384">
        <v>4</v>
      </c>
      <c r="I6384">
        <v>2026</v>
      </c>
      <c r="J6384">
        <v>10</v>
      </c>
      <c r="K6384" s="19" t="s">
        <v>282</v>
      </c>
      <c r="L6384" s="19" t="s">
        <v>27</v>
      </c>
      <c r="M6384" s="19" t="s">
        <v>63</v>
      </c>
      <c r="N6384" t="b">
        <v>0</v>
      </c>
      <c r="O6384">
        <v>0</v>
      </c>
      <c r="P6384">
        <v>0</v>
      </c>
      <c r="Q6384">
        <v>1</v>
      </c>
      <c r="R6384">
        <v>0</v>
      </c>
    </row>
    <row r="6385" spans="1:18" x14ac:dyDescent="0.45">
      <c r="A6385" s="19" t="s">
        <v>622</v>
      </c>
      <c r="B6385" s="19" t="s">
        <v>63</v>
      </c>
      <c r="C6385">
        <v>2</v>
      </c>
      <c r="D6385">
        <v>1</v>
      </c>
      <c r="E6385">
        <v>1</v>
      </c>
      <c r="F6385" s="15">
        <v>46300</v>
      </c>
      <c r="G6385" s="19" t="s">
        <v>755</v>
      </c>
      <c r="H6385">
        <v>4</v>
      </c>
      <c r="I6385">
        <v>2026</v>
      </c>
      <c r="J6385">
        <v>10</v>
      </c>
      <c r="K6385" s="19" t="s">
        <v>282</v>
      </c>
      <c r="L6385" s="19" t="s">
        <v>7</v>
      </c>
      <c r="M6385" s="19" t="s">
        <v>63</v>
      </c>
      <c r="N6385" t="b">
        <v>0</v>
      </c>
      <c r="O6385">
        <v>0</v>
      </c>
      <c r="P6385">
        <v>0</v>
      </c>
      <c r="Q6385">
        <v>1</v>
      </c>
      <c r="R6385">
        <v>0</v>
      </c>
    </row>
    <row r="6386" spans="1:18" x14ac:dyDescent="0.45">
      <c r="A6386" s="19" t="s">
        <v>27</v>
      </c>
      <c r="B6386" s="19" t="s">
        <v>63</v>
      </c>
      <c r="C6386">
        <v>3</v>
      </c>
      <c r="D6386">
        <v>1</v>
      </c>
      <c r="E6386">
        <v>1</v>
      </c>
      <c r="F6386" s="15">
        <v>46300</v>
      </c>
      <c r="G6386" s="19" t="s">
        <v>755</v>
      </c>
      <c r="H6386">
        <v>4</v>
      </c>
      <c r="I6386">
        <v>2026</v>
      </c>
      <c r="J6386">
        <v>10</v>
      </c>
      <c r="K6386" s="19" t="s">
        <v>282</v>
      </c>
      <c r="L6386" s="19" t="s">
        <v>402</v>
      </c>
      <c r="M6386" s="19" t="s">
        <v>63</v>
      </c>
      <c r="N6386" t="b">
        <v>0</v>
      </c>
      <c r="O6386">
        <v>0</v>
      </c>
      <c r="P6386">
        <v>0</v>
      </c>
      <c r="Q6386">
        <v>1</v>
      </c>
      <c r="R6386">
        <v>0</v>
      </c>
    </row>
    <row r="6387" spans="1:18" x14ac:dyDescent="0.45">
      <c r="A6387" s="19" t="s">
        <v>27</v>
      </c>
      <c r="B6387" s="19" t="s">
        <v>63</v>
      </c>
      <c r="C6387">
        <v>3</v>
      </c>
      <c r="D6387">
        <v>1</v>
      </c>
      <c r="E6387">
        <v>1</v>
      </c>
      <c r="F6387" s="15">
        <v>46300</v>
      </c>
      <c r="G6387" s="19" t="s">
        <v>755</v>
      </c>
      <c r="H6387">
        <v>4</v>
      </c>
      <c r="I6387">
        <v>2026</v>
      </c>
      <c r="J6387">
        <v>10</v>
      </c>
      <c r="K6387" s="19" t="s">
        <v>282</v>
      </c>
      <c r="L6387" s="19" t="s">
        <v>622</v>
      </c>
      <c r="M6387" s="19" t="s">
        <v>63</v>
      </c>
      <c r="N6387" t="b">
        <v>0</v>
      </c>
      <c r="O6387">
        <v>0</v>
      </c>
      <c r="P6387">
        <v>0</v>
      </c>
      <c r="Q6387">
        <v>1</v>
      </c>
      <c r="R6387">
        <v>0</v>
      </c>
    </row>
    <row r="6388" spans="1:18" x14ac:dyDescent="0.45">
      <c r="A6388" s="19" t="s">
        <v>27</v>
      </c>
      <c r="B6388" s="19" t="s">
        <v>63</v>
      </c>
      <c r="C6388">
        <v>3</v>
      </c>
      <c r="D6388">
        <v>1</v>
      </c>
      <c r="E6388">
        <v>1</v>
      </c>
      <c r="F6388" s="15">
        <v>46300</v>
      </c>
      <c r="G6388" s="19" t="s">
        <v>755</v>
      </c>
      <c r="H6388">
        <v>4</v>
      </c>
      <c r="I6388">
        <v>2026</v>
      </c>
      <c r="J6388">
        <v>10</v>
      </c>
      <c r="K6388" s="19" t="s">
        <v>282</v>
      </c>
      <c r="L6388" s="19" t="s">
        <v>7</v>
      </c>
      <c r="M6388" s="19" t="s">
        <v>63</v>
      </c>
      <c r="N6388" t="b">
        <v>0</v>
      </c>
      <c r="O6388">
        <v>0</v>
      </c>
      <c r="P6388">
        <v>0</v>
      </c>
      <c r="Q6388">
        <v>1</v>
      </c>
      <c r="R6388">
        <v>0</v>
      </c>
    </row>
    <row r="6389" spans="1:18" x14ac:dyDescent="0.45">
      <c r="A6389" s="19" t="s">
        <v>7</v>
      </c>
      <c r="B6389" s="19" t="s">
        <v>63</v>
      </c>
      <c r="C6389">
        <v>4</v>
      </c>
      <c r="D6389">
        <v>1</v>
      </c>
      <c r="E6389">
        <v>1</v>
      </c>
      <c r="F6389" s="15">
        <v>46300</v>
      </c>
      <c r="G6389" s="19" t="s">
        <v>755</v>
      </c>
      <c r="H6389">
        <v>4</v>
      </c>
      <c r="I6389">
        <v>2026</v>
      </c>
      <c r="J6389">
        <v>10</v>
      </c>
      <c r="K6389" s="19" t="s">
        <v>282</v>
      </c>
      <c r="L6389" s="19" t="s">
        <v>402</v>
      </c>
      <c r="M6389" s="19" t="s">
        <v>63</v>
      </c>
      <c r="N6389" t="b">
        <v>0</v>
      </c>
      <c r="O6389">
        <v>0</v>
      </c>
      <c r="P6389">
        <v>0</v>
      </c>
      <c r="Q6389">
        <v>1</v>
      </c>
      <c r="R6389">
        <v>0</v>
      </c>
    </row>
    <row r="6390" spans="1:18" x14ac:dyDescent="0.45">
      <c r="A6390" s="19" t="s">
        <v>7</v>
      </c>
      <c r="B6390" s="19" t="s">
        <v>63</v>
      </c>
      <c r="C6390">
        <v>4</v>
      </c>
      <c r="D6390">
        <v>1</v>
      </c>
      <c r="E6390">
        <v>1</v>
      </c>
      <c r="F6390" s="15">
        <v>46300</v>
      </c>
      <c r="G6390" s="19" t="s">
        <v>755</v>
      </c>
      <c r="H6390">
        <v>4</v>
      </c>
      <c r="I6390">
        <v>2026</v>
      </c>
      <c r="J6390">
        <v>10</v>
      </c>
      <c r="K6390" s="19" t="s">
        <v>282</v>
      </c>
      <c r="L6390" s="19" t="s">
        <v>622</v>
      </c>
      <c r="M6390" s="19" t="s">
        <v>63</v>
      </c>
      <c r="N6390" t="b">
        <v>0</v>
      </c>
      <c r="O6390">
        <v>0</v>
      </c>
      <c r="P6390">
        <v>0</v>
      </c>
      <c r="Q6390">
        <v>1</v>
      </c>
      <c r="R6390">
        <v>0</v>
      </c>
    </row>
    <row r="6391" spans="1:18" x14ac:dyDescent="0.45">
      <c r="A6391" s="19" t="s">
        <v>7</v>
      </c>
      <c r="B6391" s="19" t="s">
        <v>63</v>
      </c>
      <c r="C6391">
        <v>4</v>
      </c>
      <c r="D6391">
        <v>1</v>
      </c>
      <c r="E6391">
        <v>1</v>
      </c>
      <c r="F6391" s="15">
        <v>46300</v>
      </c>
      <c r="G6391" s="19" t="s">
        <v>755</v>
      </c>
      <c r="H6391">
        <v>4</v>
      </c>
      <c r="I6391">
        <v>2026</v>
      </c>
      <c r="J6391">
        <v>10</v>
      </c>
      <c r="K6391" s="19" t="s">
        <v>282</v>
      </c>
      <c r="L6391" s="19" t="s">
        <v>27</v>
      </c>
      <c r="M6391" s="19" t="s">
        <v>63</v>
      </c>
      <c r="N6391" t="b">
        <v>0</v>
      </c>
      <c r="O6391">
        <v>0</v>
      </c>
      <c r="P6391">
        <v>0</v>
      </c>
      <c r="Q6391">
        <v>1</v>
      </c>
      <c r="R6391">
        <v>0</v>
      </c>
    </row>
    <row r="6392" spans="1:18" x14ac:dyDescent="0.45">
      <c r="A6392" s="19" t="s">
        <v>13</v>
      </c>
      <c r="B6392" s="19" t="s">
        <v>63</v>
      </c>
      <c r="C6392">
        <v>1</v>
      </c>
      <c r="D6392">
        <v>2</v>
      </c>
      <c r="E6392">
        <v>1</v>
      </c>
      <c r="F6392" s="15">
        <v>46300</v>
      </c>
      <c r="G6392" s="19" t="s">
        <v>756</v>
      </c>
      <c r="H6392">
        <v>4</v>
      </c>
      <c r="I6392">
        <v>2026</v>
      </c>
      <c r="J6392">
        <v>10</v>
      </c>
      <c r="K6392" s="19" t="s">
        <v>282</v>
      </c>
      <c r="L6392" s="19" t="s">
        <v>351</v>
      </c>
      <c r="M6392" s="19" t="s">
        <v>63</v>
      </c>
      <c r="N6392" t="b">
        <v>0</v>
      </c>
      <c r="O6392">
        <v>0</v>
      </c>
      <c r="P6392">
        <v>0</v>
      </c>
      <c r="Q6392">
        <v>1</v>
      </c>
      <c r="R6392">
        <v>0</v>
      </c>
    </row>
    <row r="6393" spans="1:18" x14ac:dyDescent="0.45">
      <c r="A6393" s="19" t="s">
        <v>13</v>
      </c>
      <c r="B6393" s="19" t="s">
        <v>63</v>
      </c>
      <c r="C6393">
        <v>1</v>
      </c>
      <c r="D6393">
        <v>2</v>
      </c>
      <c r="E6393">
        <v>1</v>
      </c>
      <c r="F6393" s="15">
        <v>46300</v>
      </c>
      <c r="G6393" s="19" t="s">
        <v>756</v>
      </c>
      <c r="H6393">
        <v>4</v>
      </c>
      <c r="I6393">
        <v>2026</v>
      </c>
      <c r="J6393">
        <v>10</v>
      </c>
      <c r="K6393" s="19" t="s">
        <v>282</v>
      </c>
      <c r="L6393" s="19" t="s">
        <v>9</v>
      </c>
      <c r="M6393" s="19" t="s">
        <v>63</v>
      </c>
      <c r="N6393" t="b">
        <v>0</v>
      </c>
      <c r="O6393">
        <v>0</v>
      </c>
      <c r="P6393">
        <v>0</v>
      </c>
      <c r="Q6393">
        <v>1</v>
      </c>
      <c r="R6393">
        <v>0</v>
      </c>
    </row>
    <row r="6394" spans="1:18" x14ac:dyDescent="0.45">
      <c r="A6394" s="19" t="s">
        <v>13</v>
      </c>
      <c r="B6394" s="19" t="s">
        <v>63</v>
      </c>
      <c r="C6394">
        <v>1</v>
      </c>
      <c r="D6394">
        <v>2</v>
      </c>
      <c r="E6394">
        <v>1</v>
      </c>
      <c r="F6394" s="15">
        <v>46300</v>
      </c>
      <c r="G6394" s="19" t="s">
        <v>756</v>
      </c>
      <c r="H6394">
        <v>4</v>
      </c>
      <c r="I6394">
        <v>2026</v>
      </c>
      <c r="J6394">
        <v>10</v>
      </c>
      <c r="K6394" s="19" t="s">
        <v>282</v>
      </c>
      <c r="L6394" s="19" t="s">
        <v>17</v>
      </c>
      <c r="M6394" s="19" t="s">
        <v>63</v>
      </c>
      <c r="N6394" t="b">
        <v>0</v>
      </c>
      <c r="O6394">
        <v>0</v>
      </c>
      <c r="P6394">
        <v>0</v>
      </c>
      <c r="Q6394">
        <v>1</v>
      </c>
      <c r="R6394">
        <v>0</v>
      </c>
    </row>
    <row r="6395" spans="1:18" x14ac:dyDescent="0.45">
      <c r="A6395" s="19" t="s">
        <v>351</v>
      </c>
      <c r="B6395" s="19" t="s">
        <v>63</v>
      </c>
      <c r="C6395">
        <v>2</v>
      </c>
      <c r="D6395">
        <v>2</v>
      </c>
      <c r="E6395">
        <v>1</v>
      </c>
      <c r="F6395" s="15">
        <v>46300</v>
      </c>
      <c r="G6395" s="19" t="s">
        <v>756</v>
      </c>
      <c r="H6395">
        <v>4</v>
      </c>
      <c r="I6395">
        <v>2026</v>
      </c>
      <c r="J6395">
        <v>10</v>
      </c>
      <c r="K6395" s="19" t="s">
        <v>282</v>
      </c>
      <c r="L6395" s="19" t="s">
        <v>13</v>
      </c>
      <c r="M6395" s="19" t="s">
        <v>63</v>
      </c>
      <c r="N6395" t="b">
        <v>0</v>
      </c>
      <c r="O6395">
        <v>0</v>
      </c>
      <c r="P6395">
        <v>0</v>
      </c>
      <c r="Q6395">
        <v>1</v>
      </c>
      <c r="R6395">
        <v>0</v>
      </c>
    </row>
    <row r="6396" spans="1:18" x14ac:dyDescent="0.45">
      <c r="A6396" s="19" t="s">
        <v>351</v>
      </c>
      <c r="B6396" s="19" t="s">
        <v>63</v>
      </c>
      <c r="C6396">
        <v>2</v>
      </c>
      <c r="D6396">
        <v>2</v>
      </c>
      <c r="E6396">
        <v>1</v>
      </c>
      <c r="F6396" s="15">
        <v>46300</v>
      </c>
      <c r="G6396" s="19" t="s">
        <v>756</v>
      </c>
      <c r="H6396">
        <v>4</v>
      </c>
      <c r="I6396">
        <v>2026</v>
      </c>
      <c r="J6396">
        <v>10</v>
      </c>
      <c r="K6396" s="19" t="s">
        <v>282</v>
      </c>
      <c r="L6396" s="19" t="s">
        <v>9</v>
      </c>
      <c r="M6396" s="19" t="s">
        <v>63</v>
      </c>
      <c r="N6396" t="b">
        <v>0</v>
      </c>
      <c r="O6396">
        <v>0</v>
      </c>
      <c r="P6396">
        <v>0</v>
      </c>
      <c r="Q6396">
        <v>1</v>
      </c>
      <c r="R6396">
        <v>0</v>
      </c>
    </row>
    <row r="6397" spans="1:18" x14ac:dyDescent="0.45">
      <c r="A6397" s="19" t="s">
        <v>351</v>
      </c>
      <c r="B6397" s="19" t="s">
        <v>63</v>
      </c>
      <c r="C6397">
        <v>2</v>
      </c>
      <c r="D6397">
        <v>2</v>
      </c>
      <c r="E6397">
        <v>1</v>
      </c>
      <c r="F6397" s="15">
        <v>46300</v>
      </c>
      <c r="G6397" s="19" t="s">
        <v>756</v>
      </c>
      <c r="H6397">
        <v>4</v>
      </c>
      <c r="I6397">
        <v>2026</v>
      </c>
      <c r="J6397">
        <v>10</v>
      </c>
      <c r="K6397" s="19" t="s">
        <v>282</v>
      </c>
      <c r="L6397" s="19" t="s">
        <v>17</v>
      </c>
      <c r="M6397" s="19" t="s">
        <v>63</v>
      </c>
      <c r="N6397" t="b">
        <v>0</v>
      </c>
      <c r="O6397">
        <v>0</v>
      </c>
      <c r="P6397">
        <v>0</v>
      </c>
      <c r="Q6397">
        <v>1</v>
      </c>
      <c r="R6397">
        <v>0</v>
      </c>
    </row>
    <row r="6398" spans="1:18" x14ac:dyDescent="0.45">
      <c r="A6398" s="19" t="s">
        <v>9</v>
      </c>
      <c r="B6398" s="19" t="s">
        <v>63</v>
      </c>
      <c r="C6398">
        <v>3</v>
      </c>
      <c r="D6398">
        <v>2</v>
      </c>
      <c r="E6398">
        <v>1</v>
      </c>
      <c r="F6398" s="15">
        <v>46300</v>
      </c>
      <c r="G6398" s="19" t="s">
        <v>756</v>
      </c>
      <c r="H6398">
        <v>4</v>
      </c>
      <c r="I6398">
        <v>2026</v>
      </c>
      <c r="J6398">
        <v>10</v>
      </c>
      <c r="K6398" s="19" t="s">
        <v>282</v>
      </c>
      <c r="L6398" s="19" t="s">
        <v>13</v>
      </c>
      <c r="M6398" s="19" t="s">
        <v>63</v>
      </c>
      <c r="N6398" t="b">
        <v>0</v>
      </c>
      <c r="O6398">
        <v>0</v>
      </c>
      <c r="P6398">
        <v>0</v>
      </c>
      <c r="Q6398">
        <v>1</v>
      </c>
      <c r="R6398">
        <v>0</v>
      </c>
    </row>
    <row r="6399" spans="1:18" x14ac:dyDescent="0.45">
      <c r="A6399" s="19" t="s">
        <v>9</v>
      </c>
      <c r="B6399" s="19" t="s">
        <v>63</v>
      </c>
      <c r="C6399">
        <v>3</v>
      </c>
      <c r="D6399">
        <v>2</v>
      </c>
      <c r="E6399">
        <v>1</v>
      </c>
      <c r="F6399" s="15">
        <v>46300</v>
      </c>
      <c r="G6399" s="19" t="s">
        <v>756</v>
      </c>
      <c r="H6399">
        <v>4</v>
      </c>
      <c r="I6399">
        <v>2026</v>
      </c>
      <c r="J6399">
        <v>10</v>
      </c>
      <c r="K6399" s="19" t="s">
        <v>282</v>
      </c>
      <c r="L6399" s="19" t="s">
        <v>351</v>
      </c>
      <c r="M6399" s="19" t="s">
        <v>63</v>
      </c>
      <c r="N6399" t="b">
        <v>0</v>
      </c>
      <c r="O6399">
        <v>0</v>
      </c>
      <c r="P6399">
        <v>0</v>
      </c>
      <c r="Q6399">
        <v>1</v>
      </c>
      <c r="R6399">
        <v>0</v>
      </c>
    </row>
    <row r="6400" spans="1:18" x14ac:dyDescent="0.45">
      <c r="A6400" s="19" t="s">
        <v>9</v>
      </c>
      <c r="B6400" s="19" t="s">
        <v>63</v>
      </c>
      <c r="C6400">
        <v>3</v>
      </c>
      <c r="D6400">
        <v>2</v>
      </c>
      <c r="E6400">
        <v>1</v>
      </c>
      <c r="F6400" s="15">
        <v>46300</v>
      </c>
      <c r="G6400" s="19" t="s">
        <v>756</v>
      </c>
      <c r="H6400">
        <v>4</v>
      </c>
      <c r="I6400">
        <v>2026</v>
      </c>
      <c r="J6400">
        <v>10</v>
      </c>
      <c r="K6400" s="19" t="s">
        <v>282</v>
      </c>
      <c r="L6400" s="19" t="s">
        <v>17</v>
      </c>
      <c r="M6400" s="19" t="s">
        <v>63</v>
      </c>
      <c r="N6400" t="b">
        <v>0</v>
      </c>
      <c r="O6400">
        <v>0</v>
      </c>
      <c r="P6400">
        <v>0</v>
      </c>
      <c r="Q6400">
        <v>1</v>
      </c>
      <c r="R6400">
        <v>0</v>
      </c>
    </row>
    <row r="6401" spans="1:18" x14ac:dyDescent="0.45">
      <c r="A6401" s="19" t="s">
        <v>17</v>
      </c>
      <c r="B6401" s="19" t="s">
        <v>63</v>
      </c>
      <c r="C6401">
        <v>4</v>
      </c>
      <c r="D6401">
        <v>2</v>
      </c>
      <c r="E6401">
        <v>1</v>
      </c>
      <c r="F6401" s="15">
        <v>46300</v>
      </c>
      <c r="G6401" s="19" t="s">
        <v>756</v>
      </c>
      <c r="H6401">
        <v>4</v>
      </c>
      <c r="I6401">
        <v>2026</v>
      </c>
      <c r="J6401">
        <v>10</v>
      </c>
      <c r="K6401" s="19" t="s">
        <v>282</v>
      </c>
      <c r="L6401" s="19" t="s">
        <v>13</v>
      </c>
      <c r="M6401" s="19" t="s">
        <v>63</v>
      </c>
      <c r="N6401" t="b">
        <v>0</v>
      </c>
      <c r="O6401">
        <v>0</v>
      </c>
      <c r="P6401">
        <v>0</v>
      </c>
      <c r="Q6401">
        <v>1</v>
      </c>
      <c r="R6401">
        <v>0</v>
      </c>
    </row>
    <row r="6402" spans="1:18" x14ac:dyDescent="0.45">
      <c r="A6402" s="19" t="s">
        <v>17</v>
      </c>
      <c r="B6402" s="19" t="s">
        <v>63</v>
      </c>
      <c r="C6402">
        <v>4</v>
      </c>
      <c r="D6402">
        <v>2</v>
      </c>
      <c r="E6402">
        <v>1</v>
      </c>
      <c r="F6402" s="15">
        <v>46300</v>
      </c>
      <c r="G6402" s="19" t="s">
        <v>756</v>
      </c>
      <c r="H6402">
        <v>4</v>
      </c>
      <c r="I6402">
        <v>2026</v>
      </c>
      <c r="J6402">
        <v>10</v>
      </c>
      <c r="K6402" s="19" t="s">
        <v>282</v>
      </c>
      <c r="L6402" s="19" t="s">
        <v>351</v>
      </c>
      <c r="M6402" s="19" t="s">
        <v>63</v>
      </c>
      <c r="N6402" t="b">
        <v>0</v>
      </c>
      <c r="O6402">
        <v>0</v>
      </c>
      <c r="P6402">
        <v>0</v>
      </c>
      <c r="Q6402">
        <v>1</v>
      </c>
      <c r="R6402">
        <v>0</v>
      </c>
    </row>
    <row r="6403" spans="1:18" x14ac:dyDescent="0.45">
      <c r="A6403" s="19" t="s">
        <v>17</v>
      </c>
      <c r="B6403" s="19" t="s">
        <v>63</v>
      </c>
      <c r="C6403">
        <v>4</v>
      </c>
      <c r="D6403">
        <v>2</v>
      </c>
      <c r="E6403">
        <v>1</v>
      </c>
      <c r="F6403" s="15">
        <v>46300</v>
      </c>
      <c r="G6403" s="19" t="s">
        <v>756</v>
      </c>
      <c r="H6403">
        <v>4</v>
      </c>
      <c r="I6403">
        <v>2026</v>
      </c>
      <c r="J6403">
        <v>10</v>
      </c>
      <c r="K6403" s="19" t="s">
        <v>282</v>
      </c>
      <c r="L6403" s="19" t="s">
        <v>9</v>
      </c>
      <c r="M6403" s="19" t="s">
        <v>63</v>
      </c>
      <c r="N6403" t="b">
        <v>0</v>
      </c>
      <c r="O6403">
        <v>0</v>
      </c>
      <c r="P6403">
        <v>0</v>
      </c>
      <c r="Q6403">
        <v>1</v>
      </c>
      <c r="R6403">
        <v>0</v>
      </c>
    </row>
    <row r="6404" spans="1:18" x14ac:dyDescent="0.45">
      <c r="A6404" s="19" t="s">
        <v>433</v>
      </c>
      <c r="B6404" s="19" t="s">
        <v>6</v>
      </c>
      <c r="C6404">
        <v>1</v>
      </c>
      <c r="D6404">
        <v>3</v>
      </c>
      <c r="E6404">
        <v>1</v>
      </c>
      <c r="F6404" s="15">
        <v>46300</v>
      </c>
      <c r="G6404" s="19" t="s">
        <v>757</v>
      </c>
      <c r="H6404">
        <v>4</v>
      </c>
      <c r="I6404">
        <v>2026</v>
      </c>
      <c r="J6404">
        <v>10</v>
      </c>
      <c r="K6404" s="19" t="s">
        <v>282</v>
      </c>
      <c r="L6404" s="19" t="s">
        <v>19</v>
      </c>
      <c r="M6404" s="19" t="s">
        <v>6</v>
      </c>
      <c r="N6404" t="b">
        <v>0</v>
      </c>
      <c r="O6404">
        <v>0</v>
      </c>
      <c r="P6404">
        <v>1</v>
      </c>
      <c r="Q6404">
        <v>0</v>
      </c>
      <c r="R6404">
        <v>0</v>
      </c>
    </row>
    <row r="6405" spans="1:18" x14ac:dyDescent="0.45">
      <c r="A6405" s="19" t="s">
        <v>433</v>
      </c>
      <c r="B6405" s="19" t="s">
        <v>6</v>
      </c>
      <c r="C6405">
        <v>1</v>
      </c>
      <c r="D6405">
        <v>3</v>
      </c>
      <c r="E6405">
        <v>1</v>
      </c>
      <c r="F6405" s="15">
        <v>46300</v>
      </c>
      <c r="G6405" s="19" t="s">
        <v>757</v>
      </c>
      <c r="H6405">
        <v>4</v>
      </c>
      <c r="I6405">
        <v>2026</v>
      </c>
      <c r="J6405">
        <v>10</v>
      </c>
      <c r="K6405" s="19" t="s">
        <v>282</v>
      </c>
      <c r="L6405" s="19" t="s">
        <v>14</v>
      </c>
      <c r="M6405" s="19" t="s">
        <v>8</v>
      </c>
      <c r="N6405" t="b">
        <v>0</v>
      </c>
      <c r="O6405">
        <v>0</v>
      </c>
      <c r="P6405">
        <v>1</v>
      </c>
      <c r="Q6405">
        <v>0</v>
      </c>
      <c r="R6405">
        <v>1</v>
      </c>
    </row>
    <row r="6406" spans="1:18" x14ac:dyDescent="0.45">
      <c r="A6406" s="19" t="s">
        <v>433</v>
      </c>
      <c r="B6406" s="19" t="s">
        <v>6</v>
      </c>
      <c r="C6406">
        <v>1</v>
      </c>
      <c r="D6406">
        <v>3</v>
      </c>
      <c r="E6406">
        <v>1</v>
      </c>
      <c r="F6406" s="15">
        <v>46300</v>
      </c>
      <c r="G6406" s="19" t="s">
        <v>757</v>
      </c>
      <c r="H6406">
        <v>4</v>
      </c>
      <c r="I6406">
        <v>2026</v>
      </c>
      <c r="J6406">
        <v>10</v>
      </c>
      <c r="K6406" s="19" t="s">
        <v>282</v>
      </c>
      <c r="L6406" s="19" t="s">
        <v>609</v>
      </c>
      <c r="M6406" s="19" t="s">
        <v>6</v>
      </c>
      <c r="N6406" t="b">
        <v>0</v>
      </c>
      <c r="O6406">
        <v>0</v>
      </c>
      <c r="P6406">
        <v>1</v>
      </c>
      <c r="Q6406">
        <v>0</v>
      </c>
      <c r="R6406">
        <v>0</v>
      </c>
    </row>
    <row r="6407" spans="1:18" x14ac:dyDescent="0.45">
      <c r="A6407" s="19" t="s">
        <v>19</v>
      </c>
      <c r="B6407" s="19" t="s">
        <v>6</v>
      </c>
      <c r="C6407">
        <v>2</v>
      </c>
      <c r="D6407">
        <v>3</v>
      </c>
      <c r="E6407">
        <v>1</v>
      </c>
      <c r="F6407" s="15">
        <v>46300</v>
      </c>
      <c r="G6407" s="19" t="s">
        <v>757</v>
      </c>
      <c r="H6407">
        <v>4</v>
      </c>
      <c r="I6407">
        <v>2026</v>
      </c>
      <c r="J6407">
        <v>10</v>
      </c>
      <c r="K6407" s="19" t="s">
        <v>282</v>
      </c>
      <c r="L6407" s="19" t="s">
        <v>433</v>
      </c>
      <c r="M6407" s="19" t="s">
        <v>6</v>
      </c>
      <c r="N6407" t="b">
        <v>0</v>
      </c>
      <c r="O6407">
        <v>0</v>
      </c>
      <c r="P6407">
        <v>1</v>
      </c>
      <c r="Q6407">
        <v>0</v>
      </c>
      <c r="R6407">
        <v>0</v>
      </c>
    </row>
    <row r="6408" spans="1:18" x14ac:dyDescent="0.45">
      <c r="A6408" s="19" t="s">
        <v>19</v>
      </c>
      <c r="B6408" s="19" t="s">
        <v>6</v>
      </c>
      <c r="C6408">
        <v>2</v>
      </c>
      <c r="D6408">
        <v>3</v>
      </c>
      <c r="E6408">
        <v>1</v>
      </c>
      <c r="F6408" s="15">
        <v>46300</v>
      </c>
      <c r="G6408" s="19" t="s">
        <v>757</v>
      </c>
      <c r="H6408">
        <v>4</v>
      </c>
      <c r="I6408">
        <v>2026</v>
      </c>
      <c r="J6408">
        <v>10</v>
      </c>
      <c r="K6408" s="19" t="s">
        <v>282</v>
      </c>
      <c r="L6408" s="19" t="s">
        <v>14</v>
      </c>
      <c r="M6408" s="19" t="s">
        <v>8</v>
      </c>
      <c r="N6408" t="b">
        <v>0</v>
      </c>
      <c r="O6408">
        <v>0</v>
      </c>
      <c r="P6408">
        <v>1</v>
      </c>
      <c r="Q6408">
        <v>0</v>
      </c>
      <c r="R6408">
        <v>1</v>
      </c>
    </row>
    <row r="6409" spans="1:18" x14ac:dyDescent="0.45">
      <c r="A6409" s="19" t="s">
        <v>19</v>
      </c>
      <c r="B6409" s="19" t="s">
        <v>6</v>
      </c>
      <c r="C6409">
        <v>2</v>
      </c>
      <c r="D6409">
        <v>3</v>
      </c>
      <c r="E6409">
        <v>1</v>
      </c>
      <c r="F6409" s="15">
        <v>46300</v>
      </c>
      <c r="G6409" s="19" t="s">
        <v>757</v>
      </c>
      <c r="H6409">
        <v>4</v>
      </c>
      <c r="I6409">
        <v>2026</v>
      </c>
      <c r="J6409">
        <v>10</v>
      </c>
      <c r="K6409" s="19" t="s">
        <v>282</v>
      </c>
      <c r="L6409" s="19" t="s">
        <v>609</v>
      </c>
      <c r="M6409" s="19" t="s">
        <v>6</v>
      </c>
      <c r="N6409" t="b">
        <v>0</v>
      </c>
      <c r="O6409">
        <v>0</v>
      </c>
      <c r="P6409">
        <v>1</v>
      </c>
      <c r="Q6409">
        <v>0</v>
      </c>
      <c r="R6409">
        <v>0</v>
      </c>
    </row>
    <row r="6410" spans="1:18" x14ac:dyDescent="0.45">
      <c r="A6410" s="19" t="s">
        <v>14</v>
      </c>
      <c r="B6410" s="19" t="s">
        <v>8</v>
      </c>
      <c r="C6410">
        <v>3</v>
      </c>
      <c r="D6410">
        <v>3</v>
      </c>
      <c r="E6410">
        <v>1</v>
      </c>
      <c r="F6410" s="15">
        <v>46300</v>
      </c>
      <c r="G6410" s="19" t="s">
        <v>757</v>
      </c>
      <c r="H6410">
        <v>4</v>
      </c>
      <c r="I6410">
        <v>2026</v>
      </c>
      <c r="J6410">
        <v>10</v>
      </c>
      <c r="K6410" s="19" t="s">
        <v>282</v>
      </c>
      <c r="L6410" s="19" t="s">
        <v>433</v>
      </c>
      <c r="M6410" s="19" t="s">
        <v>6</v>
      </c>
      <c r="N6410" t="b">
        <v>0</v>
      </c>
      <c r="O6410">
        <v>1</v>
      </c>
      <c r="P6410">
        <v>0</v>
      </c>
      <c r="Q6410">
        <v>0</v>
      </c>
      <c r="R6410">
        <v>0</v>
      </c>
    </row>
    <row r="6411" spans="1:18" x14ac:dyDescent="0.45">
      <c r="A6411" s="19" t="s">
        <v>14</v>
      </c>
      <c r="B6411" s="19" t="s">
        <v>8</v>
      </c>
      <c r="C6411">
        <v>3</v>
      </c>
      <c r="D6411">
        <v>3</v>
      </c>
      <c r="E6411">
        <v>1</v>
      </c>
      <c r="F6411" s="15">
        <v>46300</v>
      </c>
      <c r="G6411" s="19" t="s">
        <v>757</v>
      </c>
      <c r="H6411">
        <v>4</v>
      </c>
      <c r="I6411">
        <v>2026</v>
      </c>
      <c r="J6411">
        <v>10</v>
      </c>
      <c r="K6411" s="19" t="s">
        <v>282</v>
      </c>
      <c r="L6411" s="19" t="s">
        <v>19</v>
      </c>
      <c r="M6411" s="19" t="s">
        <v>6</v>
      </c>
      <c r="N6411" t="b">
        <v>0</v>
      </c>
      <c r="O6411">
        <v>1</v>
      </c>
      <c r="P6411">
        <v>0</v>
      </c>
      <c r="Q6411">
        <v>0</v>
      </c>
      <c r="R6411">
        <v>0</v>
      </c>
    </row>
    <row r="6412" spans="1:18" x14ac:dyDescent="0.45">
      <c r="A6412" s="19" t="s">
        <v>14</v>
      </c>
      <c r="B6412" s="19" t="s">
        <v>8</v>
      </c>
      <c r="C6412">
        <v>3</v>
      </c>
      <c r="D6412">
        <v>3</v>
      </c>
      <c r="E6412">
        <v>1</v>
      </c>
      <c r="F6412" s="15">
        <v>46300</v>
      </c>
      <c r="G6412" s="19" t="s">
        <v>757</v>
      </c>
      <c r="H6412">
        <v>4</v>
      </c>
      <c r="I6412">
        <v>2026</v>
      </c>
      <c r="J6412">
        <v>10</v>
      </c>
      <c r="K6412" s="19" t="s">
        <v>282</v>
      </c>
      <c r="L6412" s="19" t="s">
        <v>609</v>
      </c>
      <c r="M6412" s="19" t="s">
        <v>6</v>
      </c>
      <c r="N6412" t="b">
        <v>0</v>
      </c>
      <c r="O6412">
        <v>1</v>
      </c>
      <c r="P6412">
        <v>0</v>
      </c>
      <c r="Q6412">
        <v>0</v>
      </c>
      <c r="R6412">
        <v>0</v>
      </c>
    </row>
    <row r="6413" spans="1:18" x14ac:dyDescent="0.45">
      <c r="A6413" s="19" t="s">
        <v>609</v>
      </c>
      <c r="B6413" s="19" t="s">
        <v>6</v>
      </c>
      <c r="C6413">
        <v>4</v>
      </c>
      <c r="D6413">
        <v>3</v>
      </c>
      <c r="E6413">
        <v>1</v>
      </c>
      <c r="F6413" s="15">
        <v>46300</v>
      </c>
      <c r="G6413" s="19" t="s">
        <v>757</v>
      </c>
      <c r="H6413">
        <v>4</v>
      </c>
      <c r="I6413">
        <v>2026</v>
      </c>
      <c r="J6413">
        <v>10</v>
      </c>
      <c r="K6413" s="19" t="s">
        <v>282</v>
      </c>
      <c r="L6413" s="19" t="s">
        <v>433</v>
      </c>
      <c r="M6413" s="19" t="s">
        <v>6</v>
      </c>
      <c r="N6413" t="b">
        <v>0</v>
      </c>
      <c r="O6413">
        <v>0</v>
      </c>
      <c r="P6413">
        <v>1</v>
      </c>
      <c r="Q6413">
        <v>0</v>
      </c>
      <c r="R6413">
        <v>0</v>
      </c>
    </row>
    <row r="6414" spans="1:18" x14ac:dyDescent="0.45">
      <c r="A6414" s="19" t="s">
        <v>609</v>
      </c>
      <c r="B6414" s="19" t="s">
        <v>6</v>
      </c>
      <c r="C6414">
        <v>4</v>
      </c>
      <c r="D6414">
        <v>3</v>
      </c>
      <c r="E6414">
        <v>1</v>
      </c>
      <c r="F6414" s="15">
        <v>46300</v>
      </c>
      <c r="G6414" s="19" t="s">
        <v>757</v>
      </c>
      <c r="H6414">
        <v>4</v>
      </c>
      <c r="I6414">
        <v>2026</v>
      </c>
      <c r="J6414">
        <v>10</v>
      </c>
      <c r="K6414" s="19" t="s">
        <v>282</v>
      </c>
      <c r="L6414" s="19" t="s">
        <v>19</v>
      </c>
      <c r="M6414" s="19" t="s">
        <v>6</v>
      </c>
      <c r="N6414" t="b">
        <v>0</v>
      </c>
      <c r="O6414">
        <v>0</v>
      </c>
      <c r="P6414">
        <v>1</v>
      </c>
      <c r="Q6414">
        <v>0</v>
      </c>
      <c r="R6414">
        <v>0</v>
      </c>
    </row>
    <row r="6415" spans="1:18" x14ac:dyDescent="0.45">
      <c r="A6415" s="19" t="s">
        <v>609</v>
      </c>
      <c r="B6415" s="19" t="s">
        <v>6</v>
      </c>
      <c r="C6415">
        <v>4</v>
      </c>
      <c r="D6415">
        <v>3</v>
      </c>
      <c r="E6415">
        <v>1</v>
      </c>
      <c r="F6415" s="15">
        <v>46300</v>
      </c>
      <c r="G6415" s="19" t="s">
        <v>757</v>
      </c>
      <c r="H6415">
        <v>4</v>
      </c>
      <c r="I6415">
        <v>2026</v>
      </c>
      <c r="J6415">
        <v>10</v>
      </c>
      <c r="K6415" s="19" t="s">
        <v>282</v>
      </c>
      <c r="L6415" s="19" t="s">
        <v>14</v>
      </c>
      <c r="M6415" s="19" t="s">
        <v>8</v>
      </c>
      <c r="N6415" t="b">
        <v>0</v>
      </c>
      <c r="O6415">
        <v>0</v>
      </c>
      <c r="P6415">
        <v>1</v>
      </c>
      <c r="Q6415">
        <v>0</v>
      </c>
      <c r="R6415">
        <v>1</v>
      </c>
    </row>
    <row r="6416" spans="1:18" x14ac:dyDescent="0.45">
      <c r="A6416" s="19" t="s">
        <v>578</v>
      </c>
      <c r="B6416" s="19" t="s">
        <v>8</v>
      </c>
      <c r="C6416">
        <v>1</v>
      </c>
      <c r="D6416">
        <v>4</v>
      </c>
      <c r="E6416">
        <v>1</v>
      </c>
      <c r="F6416" s="15">
        <v>46300</v>
      </c>
      <c r="G6416" s="19" t="s">
        <v>758</v>
      </c>
      <c r="H6416">
        <v>4</v>
      </c>
      <c r="I6416">
        <v>2026</v>
      </c>
      <c r="J6416">
        <v>10</v>
      </c>
      <c r="K6416" s="19" t="s">
        <v>282</v>
      </c>
      <c r="L6416" s="19" t="s">
        <v>519</v>
      </c>
      <c r="M6416" s="19" t="s">
        <v>6</v>
      </c>
      <c r="N6416" t="b">
        <v>0</v>
      </c>
      <c r="O6416">
        <v>1</v>
      </c>
      <c r="P6416">
        <v>0</v>
      </c>
      <c r="Q6416">
        <v>0</v>
      </c>
      <c r="R6416">
        <v>0</v>
      </c>
    </row>
    <row r="6417" spans="1:18" x14ac:dyDescent="0.45">
      <c r="A6417" s="19" t="s">
        <v>578</v>
      </c>
      <c r="B6417" s="19" t="s">
        <v>8</v>
      </c>
      <c r="C6417">
        <v>1</v>
      </c>
      <c r="D6417">
        <v>4</v>
      </c>
      <c r="E6417">
        <v>1</v>
      </c>
      <c r="F6417" s="15">
        <v>46300</v>
      </c>
      <c r="G6417" s="19" t="s">
        <v>758</v>
      </c>
      <c r="H6417">
        <v>4</v>
      </c>
      <c r="I6417">
        <v>2026</v>
      </c>
      <c r="J6417">
        <v>10</v>
      </c>
      <c r="K6417" s="19" t="s">
        <v>282</v>
      </c>
      <c r="L6417" s="19" t="s">
        <v>51</v>
      </c>
      <c r="M6417" s="19" t="s">
        <v>6</v>
      </c>
      <c r="N6417" t="b">
        <v>0</v>
      </c>
      <c r="O6417">
        <v>1</v>
      </c>
      <c r="P6417">
        <v>0</v>
      </c>
      <c r="Q6417">
        <v>0</v>
      </c>
      <c r="R6417">
        <v>0</v>
      </c>
    </row>
    <row r="6418" spans="1:18" x14ac:dyDescent="0.45">
      <c r="A6418" s="19" t="s">
        <v>578</v>
      </c>
      <c r="B6418" s="19" t="s">
        <v>8</v>
      </c>
      <c r="C6418">
        <v>1</v>
      </c>
      <c r="D6418">
        <v>4</v>
      </c>
      <c r="E6418">
        <v>1</v>
      </c>
      <c r="F6418" s="15">
        <v>46300</v>
      </c>
      <c r="G6418" s="19" t="s">
        <v>758</v>
      </c>
      <c r="H6418">
        <v>4</v>
      </c>
      <c r="I6418">
        <v>2026</v>
      </c>
      <c r="J6418">
        <v>10</v>
      </c>
      <c r="K6418" s="19" t="s">
        <v>282</v>
      </c>
      <c r="L6418" s="19" t="s">
        <v>41</v>
      </c>
      <c r="M6418" s="19" t="s">
        <v>6</v>
      </c>
      <c r="N6418" t="b">
        <v>0</v>
      </c>
      <c r="O6418">
        <v>1</v>
      </c>
      <c r="P6418">
        <v>0</v>
      </c>
      <c r="Q6418">
        <v>0</v>
      </c>
      <c r="R6418">
        <v>0</v>
      </c>
    </row>
    <row r="6419" spans="1:18" x14ac:dyDescent="0.45">
      <c r="A6419" s="19" t="s">
        <v>519</v>
      </c>
      <c r="B6419" s="19" t="s">
        <v>6</v>
      </c>
      <c r="C6419">
        <v>2</v>
      </c>
      <c r="D6419">
        <v>4</v>
      </c>
      <c r="E6419">
        <v>1</v>
      </c>
      <c r="F6419" s="15">
        <v>46300</v>
      </c>
      <c r="G6419" s="19" t="s">
        <v>758</v>
      </c>
      <c r="H6419">
        <v>4</v>
      </c>
      <c r="I6419">
        <v>2026</v>
      </c>
      <c r="J6419">
        <v>10</v>
      </c>
      <c r="K6419" s="19" t="s">
        <v>282</v>
      </c>
      <c r="L6419" s="19" t="s">
        <v>578</v>
      </c>
      <c r="M6419" s="19" t="s">
        <v>8</v>
      </c>
      <c r="N6419" t="b">
        <v>0</v>
      </c>
      <c r="O6419">
        <v>0</v>
      </c>
      <c r="P6419">
        <v>1</v>
      </c>
      <c r="Q6419">
        <v>0</v>
      </c>
      <c r="R6419">
        <v>1</v>
      </c>
    </row>
    <row r="6420" spans="1:18" x14ac:dyDescent="0.45">
      <c r="A6420" s="19" t="s">
        <v>519</v>
      </c>
      <c r="B6420" s="19" t="s">
        <v>6</v>
      </c>
      <c r="C6420">
        <v>2</v>
      </c>
      <c r="D6420">
        <v>4</v>
      </c>
      <c r="E6420">
        <v>1</v>
      </c>
      <c r="F6420" s="15">
        <v>46300</v>
      </c>
      <c r="G6420" s="19" t="s">
        <v>758</v>
      </c>
      <c r="H6420">
        <v>4</v>
      </c>
      <c r="I6420">
        <v>2026</v>
      </c>
      <c r="J6420">
        <v>10</v>
      </c>
      <c r="K6420" s="19" t="s">
        <v>282</v>
      </c>
      <c r="L6420" s="19" t="s">
        <v>51</v>
      </c>
      <c r="M6420" s="19" t="s">
        <v>6</v>
      </c>
      <c r="N6420" t="b">
        <v>0</v>
      </c>
      <c r="O6420">
        <v>0</v>
      </c>
      <c r="P6420">
        <v>1</v>
      </c>
      <c r="Q6420">
        <v>0</v>
      </c>
      <c r="R6420">
        <v>0</v>
      </c>
    </row>
    <row r="6421" spans="1:18" x14ac:dyDescent="0.45">
      <c r="A6421" s="19" t="s">
        <v>519</v>
      </c>
      <c r="B6421" s="19" t="s">
        <v>6</v>
      </c>
      <c r="C6421">
        <v>2</v>
      </c>
      <c r="D6421">
        <v>4</v>
      </c>
      <c r="E6421">
        <v>1</v>
      </c>
      <c r="F6421" s="15">
        <v>46300</v>
      </c>
      <c r="G6421" s="19" t="s">
        <v>758</v>
      </c>
      <c r="H6421">
        <v>4</v>
      </c>
      <c r="I6421">
        <v>2026</v>
      </c>
      <c r="J6421">
        <v>10</v>
      </c>
      <c r="K6421" s="19" t="s">
        <v>282</v>
      </c>
      <c r="L6421" s="19" t="s">
        <v>41</v>
      </c>
      <c r="M6421" s="19" t="s">
        <v>6</v>
      </c>
      <c r="N6421" t="b">
        <v>0</v>
      </c>
      <c r="O6421">
        <v>0</v>
      </c>
      <c r="P6421">
        <v>1</v>
      </c>
      <c r="Q6421">
        <v>0</v>
      </c>
      <c r="R6421">
        <v>0</v>
      </c>
    </row>
    <row r="6422" spans="1:18" x14ac:dyDescent="0.45">
      <c r="A6422" s="19" t="s">
        <v>51</v>
      </c>
      <c r="B6422" s="19" t="s">
        <v>6</v>
      </c>
      <c r="C6422">
        <v>3</v>
      </c>
      <c r="D6422">
        <v>4</v>
      </c>
      <c r="E6422">
        <v>1</v>
      </c>
      <c r="F6422" s="15">
        <v>46300</v>
      </c>
      <c r="G6422" s="19" t="s">
        <v>758</v>
      </c>
      <c r="H6422">
        <v>4</v>
      </c>
      <c r="I6422">
        <v>2026</v>
      </c>
      <c r="J6422">
        <v>10</v>
      </c>
      <c r="K6422" s="19" t="s">
        <v>282</v>
      </c>
      <c r="L6422" s="19" t="s">
        <v>578</v>
      </c>
      <c r="M6422" s="19" t="s">
        <v>8</v>
      </c>
      <c r="N6422" t="b">
        <v>0</v>
      </c>
      <c r="O6422">
        <v>0</v>
      </c>
      <c r="P6422">
        <v>1</v>
      </c>
      <c r="Q6422">
        <v>0</v>
      </c>
      <c r="R6422">
        <v>1</v>
      </c>
    </row>
    <row r="6423" spans="1:18" x14ac:dyDescent="0.45">
      <c r="A6423" s="19" t="s">
        <v>51</v>
      </c>
      <c r="B6423" s="19" t="s">
        <v>6</v>
      </c>
      <c r="C6423">
        <v>3</v>
      </c>
      <c r="D6423">
        <v>4</v>
      </c>
      <c r="E6423">
        <v>1</v>
      </c>
      <c r="F6423" s="15">
        <v>46300</v>
      </c>
      <c r="G6423" s="19" t="s">
        <v>758</v>
      </c>
      <c r="H6423">
        <v>4</v>
      </c>
      <c r="I6423">
        <v>2026</v>
      </c>
      <c r="J6423">
        <v>10</v>
      </c>
      <c r="K6423" s="19" t="s">
        <v>282</v>
      </c>
      <c r="L6423" s="19" t="s">
        <v>519</v>
      </c>
      <c r="M6423" s="19" t="s">
        <v>6</v>
      </c>
      <c r="N6423" t="b">
        <v>0</v>
      </c>
      <c r="O6423">
        <v>0</v>
      </c>
      <c r="P6423">
        <v>1</v>
      </c>
      <c r="Q6423">
        <v>0</v>
      </c>
      <c r="R6423">
        <v>0</v>
      </c>
    </row>
    <row r="6424" spans="1:18" x14ac:dyDescent="0.45">
      <c r="A6424" s="19" t="s">
        <v>51</v>
      </c>
      <c r="B6424" s="19" t="s">
        <v>6</v>
      </c>
      <c r="C6424">
        <v>3</v>
      </c>
      <c r="D6424">
        <v>4</v>
      </c>
      <c r="E6424">
        <v>1</v>
      </c>
      <c r="F6424" s="15">
        <v>46300</v>
      </c>
      <c r="G6424" s="19" t="s">
        <v>758</v>
      </c>
      <c r="H6424">
        <v>4</v>
      </c>
      <c r="I6424">
        <v>2026</v>
      </c>
      <c r="J6424">
        <v>10</v>
      </c>
      <c r="K6424" s="19" t="s">
        <v>282</v>
      </c>
      <c r="L6424" s="19" t="s">
        <v>41</v>
      </c>
      <c r="M6424" s="19" t="s">
        <v>6</v>
      </c>
      <c r="N6424" t="b">
        <v>0</v>
      </c>
      <c r="O6424">
        <v>0</v>
      </c>
      <c r="P6424">
        <v>1</v>
      </c>
      <c r="Q6424">
        <v>0</v>
      </c>
      <c r="R6424">
        <v>0</v>
      </c>
    </row>
    <row r="6425" spans="1:18" x14ac:dyDescent="0.45">
      <c r="A6425" s="19" t="s">
        <v>41</v>
      </c>
      <c r="B6425" s="19" t="s">
        <v>6</v>
      </c>
      <c r="C6425">
        <v>4</v>
      </c>
      <c r="D6425">
        <v>4</v>
      </c>
      <c r="E6425">
        <v>1</v>
      </c>
      <c r="F6425" s="15">
        <v>46300</v>
      </c>
      <c r="G6425" s="19" t="s">
        <v>758</v>
      </c>
      <c r="H6425">
        <v>4</v>
      </c>
      <c r="I6425">
        <v>2026</v>
      </c>
      <c r="J6425">
        <v>10</v>
      </c>
      <c r="K6425" s="19" t="s">
        <v>282</v>
      </c>
      <c r="L6425" s="19" t="s">
        <v>578</v>
      </c>
      <c r="M6425" s="19" t="s">
        <v>8</v>
      </c>
      <c r="N6425" t="b">
        <v>0</v>
      </c>
      <c r="O6425">
        <v>0</v>
      </c>
      <c r="P6425">
        <v>1</v>
      </c>
      <c r="Q6425">
        <v>0</v>
      </c>
      <c r="R6425">
        <v>1</v>
      </c>
    </row>
    <row r="6426" spans="1:18" x14ac:dyDescent="0.45">
      <c r="A6426" s="19" t="s">
        <v>41</v>
      </c>
      <c r="B6426" s="19" t="s">
        <v>6</v>
      </c>
      <c r="C6426">
        <v>4</v>
      </c>
      <c r="D6426">
        <v>4</v>
      </c>
      <c r="E6426">
        <v>1</v>
      </c>
      <c r="F6426" s="15">
        <v>46300</v>
      </c>
      <c r="G6426" s="19" t="s">
        <v>758</v>
      </c>
      <c r="H6426">
        <v>4</v>
      </c>
      <c r="I6426">
        <v>2026</v>
      </c>
      <c r="J6426">
        <v>10</v>
      </c>
      <c r="K6426" s="19" t="s">
        <v>282</v>
      </c>
      <c r="L6426" s="19" t="s">
        <v>519</v>
      </c>
      <c r="M6426" s="19" t="s">
        <v>6</v>
      </c>
      <c r="N6426" t="b">
        <v>0</v>
      </c>
      <c r="O6426">
        <v>0</v>
      </c>
      <c r="P6426">
        <v>1</v>
      </c>
      <c r="Q6426">
        <v>0</v>
      </c>
      <c r="R6426">
        <v>0</v>
      </c>
    </row>
    <row r="6427" spans="1:18" x14ac:dyDescent="0.45">
      <c r="A6427" s="19" t="s">
        <v>41</v>
      </c>
      <c r="B6427" s="19" t="s">
        <v>6</v>
      </c>
      <c r="C6427">
        <v>4</v>
      </c>
      <c r="D6427">
        <v>4</v>
      </c>
      <c r="E6427">
        <v>1</v>
      </c>
      <c r="F6427" s="15">
        <v>46300</v>
      </c>
      <c r="G6427" s="19" t="s">
        <v>758</v>
      </c>
      <c r="H6427">
        <v>4</v>
      </c>
      <c r="I6427">
        <v>2026</v>
      </c>
      <c r="J6427">
        <v>10</v>
      </c>
      <c r="K6427" s="19" t="s">
        <v>282</v>
      </c>
      <c r="L6427" s="19" t="s">
        <v>51</v>
      </c>
      <c r="M6427" s="19" t="s">
        <v>6</v>
      </c>
      <c r="N6427" t="b">
        <v>0</v>
      </c>
      <c r="O6427">
        <v>0</v>
      </c>
      <c r="P6427">
        <v>1</v>
      </c>
      <c r="Q6427">
        <v>0</v>
      </c>
      <c r="R6427">
        <v>0</v>
      </c>
    </row>
    <row r="6428" spans="1:18" x14ac:dyDescent="0.45">
      <c r="A6428" s="19" t="s">
        <v>28</v>
      </c>
      <c r="B6428" s="19" t="s">
        <v>63</v>
      </c>
      <c r="C6428">
        <v>1</v>
      </c>
      <c r="D6428">
        <v>5</v>
      </c>
      <c r="E6428">
        <v>1</v>
      </c>
      <c r="F6428" s="15">
        <v>46300</v>
      </c>
      <c r="G6428" s="19" t="s">
        <v>759</v>
      </c>
      <c r="H6428">
        <v>4</v>
      </c>
      <c r="I6428">
        <v>2026</v>
      </c>
      <c r="J6428">
        <v>10</v>
      </c>
      <c r="K6428" s="19" t="s">
        <v>282</v>
      </c>
      <c r="L6428" s="19" t="s">
        <v>20</v>
      </c>
      <c r="M6428" s="19" t="s">
        <v>63</v>
      </c>
      <c r="N6428" t="b">
        <v>0</v>
      </c>
      <c r="O6428">
        <v>0</v>
      </c>
      <c r="P6428">
        <v>0</v>
      </c>
      <c r="Q6428">
        <v>1</v>
      </c>
      <c r="R6428">
        <v>0</v>
      </c>
    </row>
    <row r="6429" spans="1:18" x14ac:dyDescent="0.45">
      <c r="A6429" s="19" t="s">
        <v>28</v>
      </c>
      <c r="B6429" s="19" t="s">
        <v>63</v>
      </c>
      <c r="C6429">
        <v>1</v>
      </c>
      <c r="D6429">
        <v>5</v>
      </c>
      <c r="E6429">
        <v>1</v>
      </c>
      <c r="F6429" s="15">
        <v>46300</v>
      </c>
      <c r="G6429" s="19" t="s">
        <v>759</v>
      </c>
      <c r="H6429">
        <v>4</v>
      </c>
      <c r="I6429">
        <v>2026</v>
      </c>
      <c r="J6429">
        <v>10</v>
      </c>
      <c r="K6429" s="19" t="s">
        <v>282</v>
      </c>
      <c r="L6429" s="19" t="s">
        <v>15</v>
      </c>
      <c r="M6429" s="19" t="s">
        <v>63</v>
      </c>
      <c r="N6429" t="b">
        <v>0</v>
      </c>
      <c r="O6429">
        <v>0</v>
      </c>
      <c r="P6429">
        <v>0</v>
      </c>
      <c r="Q6429">
        <v>1</v>
      </c>
      <c r="R6429">
        <v>0</v>
      </c>
    </row>
    <row r="6430" spans="1:18" x14ac:dyDescent="0.45">
      <c r="A6430" s="19" t="s">
        <v>28</v>
      </c>
      <c r="B6430" s="19" t="s">
        <v>63</v>
      </c>
      <c r="C6430">
        <v>1</v>
      </c>
      <c r="D6430">
        <v>5</v>
      </c>
      <c r="E6430">
        <v>1</v>
      </c>
      <c r="F6430" s="15">
        <v>46300</v>
      </c>
      <c r="G6430" s="19" t="s">
        <v>759</v>
      </c>
      <c r="H6430">
        <v>4</v>
      </c>
      <c r="I6430">
        <v>2026</v>
      </c>
      <c r="J6430">
        <v>10</v>
      </c>
      <c r="K6430" s="19" t="s">
        <v>282</v>
      </c>
      <c r="L6430" s="19" t="s">
        <v>11</v>
      </c>
      <c r="M6430" s="19" t="s">
        <v>63</v>
      </c>
      <c r="N6430" t="b">
        <v>0</v>
      </c>
      <c r="O6430">
        <v>0</v>
      </c>
      <c r="P6430">
        <v>0</v>
      </c>
      <c r="Q6430">
        <v>1</v>
      </c>
      <c r="R6430">
        <v>0</v>
      </c>
    </row>
    <row r="6431" spans="1:18" x14ac:dyDescent="0.45">
      <c r="A6431" s="19" t="s">
        <v>20</v>
      </c>
      <c r="B6431" s="19" t="s">
        <v>63</v>
      </c>
      <c r="C6431">
        <v>2</v>
      </c>
      <c r="D6431">
        <v>5</v>
      </c>
      <c r="E6431">
        <v>1</v>
      </c>
      <c r="F6431" s="15">
        <v>46300</v>
      </c>
      <c r="G6431" s="19" t="s">
        <v>759</v>
      </c>
      <c r="H6431">
        <v>4</v>
      </c>
      <c r="I6431">
        <v>2026</v>
      </c>
      <c r="J6431">
        <v>10</v>
      </c>
      <c r="K6431" s="19" t="s">
        <v>282</v>
      </c>
      <c r="L6431" s="19" t="s">
        <v>28</v>
      </c>
      <c r="M6431" s="19" t="s">
        <v>63</v>
      </c>
      <c r="N6431" t="b">
        <v>0</v>
      </c>
      <c r="O6431">
        <v>0</v>
      </c>
      <c r="P6431">
        <v>0</v>
      </c>
      <c r="Q6431">
        <v>1</v>
      </c>
      <c r="R6431">
        <v>0</v>
      </c>
    </row>
    <row r="6432" spans="1:18" x14ac:dyDescent="0.45">
      <c r="A6432" s="19" t="s">
        <v>20</v>
      </c>
      <c r="B6432" s="19" t="s">
        <v>63</v>
      </c>
      <c r="C6432">
        <v>2</v>
      </c>
      <c r="D6432">
        <v>5</v>
      </c>
      <c r="E6432">
        <v>1</v>
      </c>
      <c r="F6432" s="15">
        <v>46300</v>
      </c>
      <c r="G6432" s="19" t="s">
        <v>759</v>
      </c>
      <c r="H6432">
        <v>4</v>
      </c>
      <c r="I6432">
        <v>2026</v>
      </c>
      <c r="J6432">
        <v>10</v>
      </c>
      <c r="K6432" s="19" t="s">
        <v>282</v>
      </c>
      <c r="L6432" s="19" t="s">
        <v>15</v>
      </c>
      <c r="M6432" s="19" t="s">
        <v>63</v>
      </c>
      <c r="N6432" t="b">
        <v>0</v>
      </c>
      <c r="O6432">
        <v>0</v>
      </c>
      <c r="P6432">
        <v>0</v>
      </c>
      <c r="Q6432">
        <v>1</v>
      </c>
      <c r="R6432">
        <v>0</v>
      </c>
    </row>
    <row r="6433" spans="1:18" x14ac:dyDescent="0.45">
      <c r="A6433" s="19" t="s">
        <v>20</v>
      </c>
      <c r="B6433" s="19" t="s">
        <v>63</v>
      </c>
      <c r="C6433">
        <v>2</v>
      </c>
      <c r="D6433">
        <v>5</v>
      </c>
      <c r="E6433">
        <v>1</v>
      </c>
      <c r="F6433" s="15">
        <v>46300</v>
      </c>
      <c r="G6433" s="19" t="s">
        <v>759</v>
      </c>
      <c r="H6433">
        <v>4</v>
      </c>
      <c r="I6433">
        <v>2026</v>
      </c>
      <c r="J6433">
        <v>10</v>
      </c>
      <c r="K6433" s="19" t="s">
        <v>282</v>
      </c>
      <c r="L6433" s="19" t="s">
        <v>11</v>
      </c>
      <c r="M6433" s="19" t="s">
        <v>63</v>
      </c>
      <c r="N6433" t="b">
        <v>0</v>
      </c>
      <c r="O6433">
        <v>0</v>
      </c>
      <c r="P6433">
        <v>0</v>
      </c>
      <c r="Q6433">
        <v>1</v>
      </c>
      <c r="R6433">
        <v>0</v>
      </c>
    </row>
    <row r="6434" spans="1:18" x14ac:dyDescent="0.45">
      <c r="A6434" s="19" t="s">
        <v>15</v>
      </c>
      <c r="B6434" s="19" t="s">
        <v>63</v>
      </c>
      <c r="C6434">
        <v>3</v>
      </c>
      <c r="D6434">
        <v>5</v>
      </c>
      <c r="E6434">
        <v>1</v>
      </c>
      <c r="F6434" s="15">
        <v>46300</v>
      </c>
      <c r="G6434" s="19" t="s">
        <v>759</v>
      </c>
      <c r="H6434">
        <v>4</v>
      </c>
      <c r="I6434">
        <v>2026</v>
      </c>
      <c r="J6434">
        <v>10</v>
      </c>
      <c r="K6434" s="19" t="s">
        <v>282</v>
      </c>
      <c r="L6434" s="19" t="s">
        <v>28</v>
      </c>
      <c r="M6434" s="19" t="s">
        <v>63</v>
      </c>
      <c r="N6434" t="b">
        <v>0</v>
      </c>
      <c r="O6434">
        <v>0</v>
      </c>
      <c r="P6434">
        <v>0</v>
      </c>
      <c r="Q6434">
        <v>1</v>
      </c>
      <c r="R6434">
        <v>0</v>
      </c>
    </row>
    <row r="6435" spans="1:18" x14ac:dyDescent="0.45">
      <c r="A6435" s="19" t="s">
        <v>15</v>
      </c>
      <c r="B6435" s="19" t="s">
        <v>63</v>
      </c>
      <c r="C6435">
        <v>3</v>
      </c>
      <c r="D6435">
        <v>5</v>
      </c>
      <c r="E6435">
        <v>1</v>
      </c>
      <c r="F6435" s="15">
        <v>46300</v>
      </c>
      <c r="G6435" s="19" t="s">
        <v>759</v>
      </c>
      <c r="H6435">
        <v>4</v>
      </c>
      <c r="I6435">
        <v>2026</v>
      </c>
      <c r="J6435">
        <v>10</v>
      </c>
      <c r="K6435" s="19" t="s">
        <v>282</v>
      </c>
      <c r="L6435" s="19" t="s">
        <v>20</v>
      </c>
      <c r="M6435" s="19" t="s">
        <v>63</v>
      </c>
      <c r="N6435" t="b">
        <v>0</v>
      </c>
      <c r="O6435">
        <v>0</v>
      </c>
      <c r="P6435">
        <v>0</v>
      </c>
      <c r="Q6435">
        <v>1</v>
      </c>
      <c r="R6435">
        <v>0</v>
      </c>
    </row>
    <row r="6436" spans="1:18" x14ac:dyDescent="0.45">
      <c r="A6436" s="19" t="s">
        <v>15</v>
      </c>
      <c r="B6436" s="19" t="s">
        <v>63</v>
      </c>
      <c r="C6436">
        <v>3</v>
      </c>
      <c r="D6436">
        <v>5</v>
      </c>
      <c r="E6436">
        <v>1</v>
      </c>
      <c r="F6436" s="15">
        <v>46300</v>
      </c>
      <c r="G6436" s="19" t="s">
        <v>759</v>
      </c>
      <c r="H6436">
        <v>4</v>
      </c>
      <c r="I6436">
        <v>2026</v>
      </c>
      <c r="J6436">
        <v>10</v>
      </c>
      <c r="K6436" s="19" t="s">
        <v>282</v>
      </c>
      <c r="L6436" s="19" t="s">
        <v>11</v>
      </c>
      <c r="M6436" s="19" t="s">
        <v>63</v>
      </c>
      <c r="N6436" t="b">
        <v>0</v>
      </c>
      <c r="O6436">
        <v>0</v>
      </c>
      <c r="P6436">
        <v>0</v>
      </c>
      <c r="Q6436">
        <v>1</v>
      </c>
      <c r="R6436">
        <v>0</v>
      </c>
    </row>
    <row r="6437" spans="1:18" x14ac:dyDescent="0.45">
      <c r="A6437" s="19" t="s">
        <v>11</v>
      </c>
      <c r="B6437" s="19" t="s">
        <v>63</v>
      </c>
      <c r="C6437">
        <v>4</v>
      </c>
      <c r="D6437">
        <v>5</v>
      </c>
      <c r="E6437">
        <v>1</v>
      </c>
      <c r="F6437" s="15">
        <v>46300</v>
      </c>
      <c r="G6437" s="19" t="s">
        <v>759</v>
      </c>
      <c r="H6437">
        <v>4</v>
      </c>
      <c r="I6437">
        <v>2026</v>
      </c>
      <c r="J6437">
        <v>10</v>
      </c>
      <c r="K6437" s="19" t="s">
        <v>282</v>
      </c>
      <c r="L6437" s="19" t="s">
        <v>28</v>
      </c>
      <c r="M6437" s="19" t="s">
        <v>63</v>
      </c>
      <c r="N6437" t="b">
        <v>0</v>
      </c>
      <c r="O6437">
        <v>0</v>
      </c>
      <c r="P6437">
        <v>0</v>
      </c>
      <c r="Q6437">
        <v>1</v>
      </c>
      <c r="R6437">
        <v>0</v>
      </c>
    </row>
    <row r="6438" spans="1:18" x14ac:dyDescent="0.45">
      <c r="A6438" s="19" t="s">
        <v>11</v>
      </c>
      <c r="B6438" s="19" t="s">
        <v>63</v>
      </c>
      <c r="C6438">
        <v>4</v>
      </c>
      <c r="D6438">
        <v>5</v>
      </c>
      <c r="E6438">
        <v>1</v>
      </c>
      <c r="F6438" s="15">
        <v>46300</v>
      </c>
      <c r="G6438" s="19" t="s">
        <v>759</v>
      </c>
      <c r="H6438">
        <v>4</v>
      </c>
      <c r="I6438">
        <v>2026</v>
      </c>
      <c r="J6438">
        <v>10</v>
      </c>
      <c r="K6438" s="19" t="s">
        <v>282</v>
      </c>
      <c r="L6438" s="19" t="s">
        <v>20</v>
      </c>
      <c r="M6438" s="19" t="s">
        <v>63</v>
      </c>
      <c r="N6438" t="b">
        <v>0</v>
      </c>
      <c r="O6438">
        <v>0</v>
      </c>
      <c r="P6438">
        <v>0</v>
      </c>
      <c r="Q6438">
        <v>1</v>
      </c>
      <c r="R6438">
        <v>0</v>
      </c>
    </row>
    <row r="6439" spans="1:18" x14ac:dyDescent="0.45">
      <c r="A6439" s="19" t="s">
        <v>11</v>
      </c>
      <c r="B6439" s="19" t="s">
        <v>63</v>
      </c>
      <c r="C6439">
        <v>4</v>
      </c>
      <c r="D6439">
        <v>5</v>
      </c>
      <c r="E6439">
        <v>1</v>
      </c>
      <c r="F6439" s="15">
        <v>46300</v>
      </c>
      <c r="G6439" s="19" t="s">
        <v>759</v>
      </c>
      <c r="H6439">
        <v>4</v>
      </c>
      <c r="I6439">
        <v>2026</v>
      </c>
      <c r="J6439">
        <v>10</v>
      </c>
      <c r="K6439" s="19" t="s">
        <v>282</v>
      </c>
      <c r="L6439" s="19" t="s">
        <v>15</v>
      </c>
      <c r="M6439" s="19" t="s">
        <v>63</v>
      </c>
      <c r="N6439" t="b">
        <v>0</v>
      </c>
      <c r="O6439">
        <v>0</v>
      </c>
      <c r="P6439">
        <v>0</v>
      </c>
      <c r="Q6439">
        <v>1</v>
      </c>
      <c r="R6439">
        <v>0</v>
      </c>
    </row>
    <row r="6440" spans="1:18" x14ac:dyDescent="0.45">
      <c r="A6440" s="19" t="s">
        <v>405</v>
      </c>
      <c r="B6440" s="19" t="s">
        <v>8</v>
      </c>
      <c r="C6440">
        <v>1</v>
      </c>
      <c r="D6440">
        <v>6</v>
      </c>
      <c r="E6440">
        <v>1</v>
      </c>
      <c r="F6440" s="15">
        <v>46300</v>
      </c>
      <c r="G6440" s="19" t="s">
        <v>760</v>
      </c>
      <c r="H6440">
        <v>4</v>
      </c>
      <c r="I6440">
        <v>2026</v>
      </c>
      <c r="J6440">
        <v>10</v>
      </c>
      <c r="K6440" s="19" t="s">
        <v>282</v>
      </c>
      <c r="L6440" s="19" t="s">
        <v>567</v>
      </c>
      <c r="M6440" s="19" t="s">
        <v>6</v>
      </c>
      <c r="N6440" t="b">
        <v>0</v>
      </c>
      <c r="O6440">
        <v>1</v>
      </c>
      <c r="P6440">
        <v>0</v>
      </c>
      <c r="Q6440">
        <v>0</v>
      </c>
      <c r="R6440">
        <v>0</v>
      </c>
    </row>
    <row r="6441" spans="1:18" x14ac:dyDescent="0.45">
      <c r="A6441" s="19" t="s">
        <v>405</v>
      </c>
      <c r="B6441" s="19" t="s">
        <v>8</v>
      </c>
      <c r="C6441">
        <v>1</v>
      </c>
      <c r="D6441">
        <v>6</v>
      </c>
      <c r="E6441">
        <v>1</v>
      </c>
      <c r="F6441" s="15">
        <v>46300</v>
      </c>
      <c r="G6441" s="19" t="s">
        <v>760</v>
      </c>
      <c r="H6441">
        <v>4</v>
      </c>
      <c r="I6441">
        <v>2026</v>
      </c>
      <c r="J6441">
        <v>10</v>
      </c>
      <c r="K6441" s="19" t="s">
        <v>282</v>
      </c>
      <c r="L6441" s="19" t="s">
        <v>10</v>
      </c>
      <c r="M6441" s="19" t="s">
        <v>6</v>
      </c>
      <c r="N6441" t="b">
        <v>0</v>
      </c>
      <c r="O6441">
        <v>1</v>
      </c>
      <c r="P6441">
        <v>0</v>
      </c>
      <c r="Q6441">
        <v>0</v>
      </c>
      <c r="R6441">
        <v>0</v>
      </c>
    </row>
    <row r="6442" spans="1:18" x14ac:dyDescent="0.45">
      <c r="A6442" s="19" t="s">
        <v>405</v>
      </c>
      <c r="B6442" s="19" t="s">
        <v>8</v>
      </c>
      <c r="C6442">
        <v>1</v>
      </c>
      <c r="D6442">
        <v>6</v>
      </c>
      <c r="E6442">
        <v>1</v>
      </c>
      <c r="F6442" s="15">
        <v>46300</v>
      </c>
      <c r="G6442" s="19" t="s">
        <v>760</v>
      </c>
      <c r="H6442">
        <v>4</v>
      </c>
      <c r="I6442">
        <v>2026</v>
      </c>
      <c r="J6442">
        <v>10</v>
      </c>
      <c r="K6442" s="19" t="s">
        <v>282</v>
      </c>
      <c r="L6442" s="19" t="s">
        <v>734</v>
      </c>
      <c r="M6442" s="19" t="s">
        <v>6</v>
      </c>
      <c r="N6442" t="b">
        <v>0</v>
      </c>
      <c r="O6442">
        <v>1</v>
      </c>
      <c r="P6442">
        <v>0</v>
      </c>
      <c r="Q6442">
        <v>0</v>
      </c>
      <c r="R6442">
        <v>0</v>
      </c>
    </row>
    <row r="6443" spans="1:18" x14ac:dyDescent="0.45">
      <c r="A6443" s="19" t="s">
        <v>567</v>
      </c>
      <c r="B6443" s="19" t="s">
        <v>6</v>
      </c>
      <c r="C6443">
        <v>2</v>
      </c>
      <c r="D6443">
        <v>6</v>
      </c>
      <c r="E6443">
        <v>1</v>
      </c>
      <c r="F6443" s="15">
        <v>46300</v>
      </c>
      <c r="G6443" s="19" t="s">
        <v>760</v>
      </c>
      <c r="H6443">
        <v>4</v>
      </c>
      <c r="I6443">
        <v>2026</v>
      </c>
      <c r="J6443">
        <v>10</v>
      </c>
      <c r="K6443" s="19" t="s">
        <v>282</v>
      </c>
      <c r="L6443" s="19" t="s">
        <v>405</v>
      </c>
      <c r="M6443" s="19" t="s">
        <v>8</v>
      </c>
      <c r="N6443" t="b">
        <v>0</v>
      </c>
      <c r="O6443">
        <v>0</v>
      </c>
      <c r="P6443">
        <v>1</v>
      </c>
      <c r="Q6443">
        <v>0</v>
      </c>
      <c r="R6443">
        <v>1</v>
      </c>
    </row>
    <row r="6444" spans="1:18" x14ac:dyDescent="0.45">
      <c r="A6444" s="19" t="s">
        <v>567</v>
      </c>
      <c r="B6444" s="19" t="s">
        <v>6</v>
      </c>
      <c r="C6444">
        <v>2</v>
      </c>
      <c r="D6444">
        <v>6</v>
      </c>
      <c r="E6444">
        <v>1</v>
      </c>
      <c r="F6444" s="15">
        <v>46300</v>
      </c>
      <c r="G6444" s="19" t="s">
        <v>760</v>
      </c>
      <c r="H6444">
        <v>4</v>
      </c>
      <c r="I6444">
        <v>2026</v>
      </c>
      <c r="J6444">
        <v>10</v>
      </c>
      <c r="K6444" s="19" t="s">
        <v>282</v>
      </c>
      <c r="L6444" s="19" t="s">
        <v>10</v>
      </c>
      <c r="M6444" s="19" t="s">
        <v>6</v>
      </c>
      <c r="N6444" t="b">
        <v>0</v>
      </c>
      <c r="O6444">
        <v>0</v>
      </c>
      <c r="P6444">
        <v>1</v>
      </c>
      <c r="Q6444">
        <v>0</v>
      </c>
      <c r="R6444">
        <v>0</v>
      </c>
    </row>
    <row r="6445" spans="1:18" x14ac:dyDescent="0.45">
      <c r="A6445" s="19" t="s">
        <v>567</v>
      </c>
      <c r="B6445" s="19" t="s">
        <v>6</v>
      </c>
      <c r="C6445">
        <v>2</v>
      </c>
      <c r="D6445">
        <v>6</v>
      </c>
      <c r="E6445">
        <v>1</v>
      </c>
      <c r="F6445" s="15">
        <v>46300</v>
      </c>
      <c r="G6445" s="19" t="s">
        <v>760</v>
      </c>
      <c r="H6445">
        <v>4</v>
      </c>
      <c r="I6445">
        <v>2026</v>
      </c>
      <c r="J6445">
        <v>10</v>
      </c>
      <c r="K6445" s="19" t="s">
        <v>282</v>
      </c>
      <c r="L6445" s="19" t="s">
        <v>734</v>
      </c>
      <c r="M6445" s="19" t="s">
        <v>6</v>
      </c>
      <c r="N6445" t="b">
        <v>0</v>
      </c>
      <c r="O6445">
        <v>0</v>
      </c>
      <c r="P6445">
        <v>1</v>
      </c>
      <c r="Q6445">
        <v>0</v>
      </c>
      <c r="R6445">
        <v>0</v>
      </c>
    </row>
    <row r="6446" spans="1:18" x14ac:dyDescent="0.45">
      <c r="A6446" s="19" t="s">
        <v>10</v>
      </c>
      <c r="B6446" s="19" t="s">
        <v>6</v>
      </c>
      <c r="C6446">
        <v>3</v>
      </c>
      <c r="D6446">
        <v>6</v>
      </c>
      <c r="E6446">
        <v>1</v>
      </c>
      <c r="F6446" s="15">
        <v>46300</v>
      </c>
      <c r="G6446" s="19" t="s">
        <v>760</v>
      </c>
      <c r="H6446">
        <v>4</v>
      </c>
      <c r="I6446">
        <v>2026</v>
      </c>
      <c r="J6446">
        <v>10</v>
      </c>
      <c r="K6446" s="19" t="s">
        <v>282</v>
      </c>
      <c r="L6446" s="19" t="s">
        <v>405</v>
      </c>
      <c r="M6446" s="19" t="s">
        <v>8</v>
      </c>
      <c r="N6446" t="b">
        <v>0</v>
      </c>
      <c r="O6446">
        <v>0</v>
      </c>
      <c r="P6446">
        <v>1</v>
      </c>
      <c r="Q6446">
        <v>0</v>
      </c>
      <c r="R6446">
        <v>1</v>
      </c>
    </row>
    <row r="6447" spans="1:18" x14ac:dyDescent="0.45">
      <c r="A6447" s="19" t="s">
        <v>10</v>
      </c>
      <c r="B6447" s="19" t="s">
        <v>6</v>
      </c>
      <c r="C6447">
        <v>3</v>
      </c>
      <c r="D6447">
        <v>6</v>
      </c>
      <c r="E6447">
        <v>1</v>
      </c>
      <c r="F6447" s="15">
        <v>46300</v>
      </c>
      <c r="G6447" s="19" t="s">
        <v>760</v>
      </c>
      <c r="H6447">
        <v>4</v>
      </c>
      <c r="I6447">
        <v>2026</v>
      </c>
      <c r="J6447">
        <v>10</v>
      </c>
      <c r="K6447" s="19" t="s">
        <v>282</v>
      </c>
      <c r="L6447" s="19" t="s">
        <v>567</v>
      </c>
      <c r="M6447" s="19" t="s">
        <v>6</v>
      </c>
      <c r="N6447" t="b">
        <v>0</v>
      </c>
      <c r="O6447">
        <v>0</v>
      </c>
      <c r="P6447">
        <v>1</v>
      </c>
      <c r="Q6447">
        <v>0</v>
      </c>
      <c r="R6447">
        <v>0</v>
      </c>
    </row>
    <row r="6448" spans="1:18" x14ac:dyDescent="0.45">
      <c r="A6448" s="19" t="s">
        <v>10</v>
      </c>
      <c r="B6448" s="19" t="s">
        <v>6</v>
      </c>
      <c r="C6448">
        <v>3</v>
      </c>
      <c r="D6448">
        <v>6</v>
      </c>
      <c r="E6448">
        <v>1</v>
      </c>
      <c r="F6448" s="15">
        <v>46300</v>
      </c>
      <c r="G6448" s="19" t="s">
        <v>760</v>
      </c>
      <c r="H6448">
        <v>4</v>
      </c>
      <c r="I6448">
        <v>2026</v>
      </c>
      <c r="J6448">
        <v>10</v>
      </c>
      <c r="K6448" s="19" t="s">
        <v>282</v>
      </c>
      <c r="L6448" s="19" t="s">
        <v>734</v>
      </c>
      <c r="M6448" s="19" t="s">
        <v>6</v>
      </c>
      <c r="N6448" t="b">
        <v>0</v>
      </c>
      <c r="O6448">
        <v>0</v>
      </c>
      <c r="P6448">
        <v>1</v>
      </c>
      <c r="Q6448">
        <v>0</v>
      </c>
      <c r="R6448">
        <v>0</v>
      </c>
    </row>
    <row r="6449" spans="1:18" x14ac:dyDescent="0.45">
      <c r="A6449" s="19" t="s">
        <v>734</v>
      </c>
      <c r="B6449" s="19" t="s">
        <v>6</v>
      </c>
      <c r="C6449">
        <v>4</v>
      </c>
      <c r="D6449">
        <v>6</v>
      </c>
      <c r="E6449">
        <v>1</v>
      </c>
      <c r="F6449" s="15">
        <v>46300</v>
      </c>
      <c r="G6449" s="19" t="s">
        <v>760</v>
      </c>
      <c r="H6449">
        <v>4</v>
      </c>
      <c r="I6449">
        <v>2026</v>
      </c>
      <c r="J6449">
        <v>10</v>
      </c>
      <c r="K6449" s="19" t="s">
        <v>282</v>
      </c>
      <c r="L6449" s="19" t="s">
        <v>405</v>
      </c>
      <c r="M6449" s="19" t="s">
        <v>8</v>
      </c>
      <c r="N6449" t="b">
        <v>0</v>
      </c>
      <c r="O6449">
        <v>0</v>
      </c>
      <c r="P6449">
        <v>1</v>
      </c>
      <c r="Q6449">
        <v>0</v>
      </c>
      <c r="R6449">
        <v>1</v>
      </c>
    </row>
    <row r="6450" spans="1:18" x14ac:dyDescent="0.45">
      <c r="A6450" s="19" t="s">
        <v>734</v>
      </c>
      <c r="B6450" s="19" t="s">
        <v>6</v>
      </c>
      <c r="C6450">
        <v>4</v>
      </c>
      <c r="D6450">
        <v>6</v>
      </c>
      <c r="E6450">
        <v>1</v>
      </c>
      <c r="F6450" s="15">
        <v>46300</v>
      </c>
      <c r="G6450" s="19" t="s">
        <v>760</v>
      </c>
      <c r="H6450">
        <v>4</v>
      </c>
      <c r="I6450">
        <v>2026</v>
      </c>
      <c r="J6450">
        <v>10</v>
      </c>
      <c r="K6450" s="19" t="s">
        <v>282</v>
      </c>
      <c r="L6450" s="19" t="s">
        <v>567</v>
      </c>
      <c r="M6450" s="19" t="s">
        <v>6</v>
      </c>
      <c r="N6450" t="b">
        <v>0</v>
      </c>
      <c r="O6450">
        <v>0</v>
      </c>
      <c r="P6450">
        <v>1</v>
      </c>
      <c r="Q6450">
        <v>0</v>
      </c>
      <c r="R6450">
        <v>0</v>
      </c>
    </row>
    <row r="6451" spans="1:18" x14ac:dyDescent="0.45">
      <c r="A6451" s="19" t="s">
        <v>734</v>
      </c>
      <c r="B6451" s="19" t="s">
        <v>6</v>
      </c>
      <c r="C6451">
        <v>4</v>
      </c>
      <c r="D6451">
        <v>6</v>
      </c>
      <c r="E6451">
        <v>1</v>
      </c>
      <c r="F6451" s="15">
        <v>46300</v>
      </c>
      <c r="G6451" s="19" t="s">
        <v>760</v>
      </c>
      <c r="H6451">
        <v>4</v>
      </c>
      <c r="I6451">
        <v>2026</v>
      </c>
      <c r="J6451">
        <v>10</v>
      </c>
      <c r="K6451" s="19" t="s">
        <v>282</v>
      </c>
      <c r="L6451" s="19" t="s">
        <v>10</v>
      </c>
      <c r="M6451" s="19" t="s">
        <v>6</v>
      </c>
      <c r="N6451" t="b">
        <v>0</v>
      </c>
      <c r="O6451">
        <v>0</v>
      </c>
      <c r="P6451">
        <v>1</v>
      </c>
      <c r="Q6451">
        <v>0</v>
      </c>
      <c r="R6451">
        <v>0</v>
      </c>
    </row>
    <row r="6452" spans="1:18" x14ac:dyDescent="0.45">
      <c r="A6452" s="19" t="s">
        <v>27</v>
      </c>
      <c r="B6452" s="19" t="s">
        <v>8</v>
      </c>
      <c r="C6452">
        <v>1</v>
      </c>
      <c r="D6452">
        <v>1</v>
      </c>
      <c r="E6452">
        <v>2</v>
      </c>
      <c r="F6452" s="15">
        <v>46300</v>
      </c>
      <c r="G6452" s="19" t="s">
        <v>761</v>
      </c>
      <c r="H6452">
        <v>4</v>
      </c>
      <c r="I6452">
        <v>2026</v>
      </c>
      <c r="J6452">
        <v>10</v>
      </c>
      <c r="K6452" s="19" t="s">
        <v>282</v>
      </c>
      <c r="L6452" s="19" t="s">
        <v>405</v>
      </c>
      <c r="M6452" s="19" t="s">
        <v>6</v>
      </c>
      <c r="N6452" t="b">
        <v>0</v>
      </c>
      <c r="O6452">
        <v>1</v>
      </c>
      <c r="P6452">
        <v>0</v>
      </c>
      <c r="Q6452">
        <v>0</v>
      </c>
      <c r="R6452">
        <v>0</v>
      </c>
    </row>
    <row r="6453" spans="1:18" x14ac:dyDescent="0.45">
      <c r="A6453" s="19" t="s">
        <v>27</v>
      </c>
      <c r="B6453" s="19" t="s">
        <v>8</v>
      </c>
      <c r="C6453">
        <v>1</v>
      </c>
      <c r="D6453">
        <v>1</v>
      </c>
      <c r="E6453">
        <v>2</v>
      </c>
      <c r="F6453" s="15">
        <v>46300</v>
      </c>
      <c r="G6453" s="19" t="s">
        <v>761</v>
      </c>
      <c r="H6453">
        <v>4</v>
      </c>
      <c r="I6453">
        <v>2026</v>
      </c>
      <c r="J6453">
        <v>10</v>
      </c>
      <c r="K6453" s="19" t="s">
        <v>282</v>
      </c>
      <c r="L6453" s="19" t="s">
        <v>9</v>
      </c>
      <c r="M6453" s="19" t="s">
        <v>6</v>
      </c>
      <c r="N6453" t="b">
        <v>0</v>
      </c>
      <c r="O6453">
        <v>1</v>
      </c>
      <c r="P6453">
        <v>0</v>
      </c>
      <c r="Q6453">
        <v>0</v>
      </c>
      <c r="R6453">
        <v>0</v>
      </c>
    </row>
    <row r="6454" spans="1:18" x14ac:dyDescent="0.45">
      <c r="A6454" s="19" t="s">
        <v>27</v>
      </c>
      <c r="B6454" s="19" t="s">
        <v>8</v>
      </c>
      <c r="C6454">
        <v>1</v>
      </c>
      <c r="D6454">
        <v>1</v>
      </c>
      <c r="E6454">
        <v>2</v>
      </c>
      <c r="F6454" s="15">
        <v>46300</v>
      </c>
      <c r="G6454" s="19" t="s">
        <v>761</v>
      </c>
      <c r="H6454">
        <v>4</v>
      </c>
      <c r="I6454">
        <v>2026</v>
      </c>
      <c r="J6454">
        <v>10</v>
      </c>
      <c r="K6454" s="19" t="s">
        <v>282</v>
      </c>
      <c r="L6454" s="19" t="s">
        <v>20</v>
      </c>
      <c r="M6454" s="19" t="s">
        <v>6</v>
      </c>
      <c r="N6454" t="b">
        <v>0</v>
      </c>
      <c r="O6454">
        <v>1</v>
      </c>
      <c r="P6454">
        <v>0</v>
      </c>
      <c r="Q6454">
        <v>0</v>
      </c>
      <c r="R6454">
        <v>0</v>
      </c>
    </row>
    <row r="6455" spans="1:18" x14ac:dyDescent="0.45">
      <c r="A6455" s="19" t="s">
        <v>405</v>
      </c>
      <c r="B6455" s="19" t="s">
        <v>6</v>
      </c>
      <c r="C6455">
        <v>2</v>
      </c>
      <c r="D6455">
        <v>1</v>
      </c>
      <c r="E6455">
        <v>2</v>
      </c>
      <c r="F6455" s="15">
        <v>46300</v>
      </c>
      <c r="G6455" s="19" t="s">
        <v>761</v>
      </c>
      <c r="H6455">
        <v>4</v>
      </c>
      <c r="I6455">
        <v>2026</v>
      </c>
      <c r="J6455">
        <v>10</v>
      </c>
      <c r="K6455" s="19" t="s">
        <v>282</v>
      </c>
      <c r="L6455" s="19" t="s">
        <v>27</v>
      </c>
      <c r="M6455" s="19" t="s">
        <v>8</v>
      </c>
      <c r="N6455" t="b">
        <v>0</v>
      </c>
      <c r="O6455">
        <v>0</v>
      </c>
      <c r="P6455">
        <v>1</v>
      </c>
      <c r="Q6455">
        <v>0</v>
      </c>
      <c r="R6455">
        <v>1</v>
      </c>
    </row>
    <row r="6456" spans="1:18" x14ac:dyDescent="0.45">
      <c r="A6456" s="19" t="s">
        <v>405</v>
      </c>
      <c r="B6456" s="19" t="s">
        <v>6</v>
      </c>
      <c r="C6456">
        <v>2</v>
      </c>
      <c r="D6456">
        <v>1</v>
      </c>
      <c r="E6456">
        <v>2</v>
      </c>
      <c r="F6456" s="15">
        <v>46300</v>
      </c>
      <c r="G6456" s="19" t="s">
        <v>761</v>
      </c>
      <c r="H6456">
        <v>4</v>
      </c>
      <c r="I6456">
        <v>2026</v>
      </c>
      <c r="J6456">
        <v>10</v>
      </c>
      <c r="K6456" s="19" t="s">
        <v>282</v>
      </c>
      <c r="L6456" s="19" t="s">
        <v>9</v>
      </c>
      <c r="M6456" s="19" t="s">
        <v>6</v>
      </c>
      <c r="N6456" t="b">
        <v>0</v>
      </c>
      <c r="O6456">
        <v>0</v>
      </c>
      <c r="P6456">
        <v>1</v>
      </c>
      <c r="Q6456">
        <v>0</v>
      </c>
      <c r="R6456">
        <v>0</v>
      </c>
    </row>
    <row r="6457" spans="1:18" x14ac:dyDescent="0.45">
      <c r="A6457" s="19" t="s">
        <v>405</v>
      </c>
      <c r="B6457" s="19" t="s">
        <v>6</v>
      </c>
      <c r="C6457">
        <v>2</v>
      </c>
      <c r="D6457">
        <v>1</v>
      </c>
      <c r="E6457">
        <v>2</v>
      </c>
      <c r="F6457" s="15">
        <v>46300</v>
      </c>
      <c r="G6457" s="19" t="s">
        <v>761</v>
      </c>
      <c r="H6457">
        <v>4</v>
      </c>
      <c r="I6457">
        <v>2026</v>
      </c>
      <c r="J6457">
        <v>10</v>
      </c>
      <c r="K6457" s="19" t="s">
        <v>282</v>
      </c>
      <c r="L6457" s="19" t="s">
        <v>20</v>
      </c>
      <c r="M6457" s="19" t="s">
        <v>6</v>
      </c>
      <c r="N6457" t="b">
        <v>0</v>
      </c>
      <c r="O6457">
        <v>0</v>
      </c>
      <c r="P6457">
        <v>1</v>
      </c>
      <c r="Q6457">
        <v>0</v>
      </c>
      <c r="R6457">
        <v>0</v>
      </c>
    </row>
    <row r="6458" spans="1:18" x14ac:dyDescent="0.45">
      <c r="A6458" s="19" t="s">
        <v>9</v>
      </c>
      <c r="B6458" s="19" t="s">
        <v>6</v>
      </c>
      <c r="C6458">
        <v>3</v>
      </c>
      <c r="D6458">
        <v>1</v>
      </c>
      <c r="E6458">
        <v>2</v>
      </c>
      <c r="F6458" s="15">
        <v>46300</v>
      </c>
      <c r="G6458" s="19" t="s">
        <v>761</v>
      </c>
      <c r="H6458">
        <v>4</v>
      </c>
      <c r="I6458">
        <v>2026</v>
      </c>
      <c r="J6458">
        <v>10</v>
      </c>
      <c r="K6458" s="19" t="s">
        <v>282</v>
      </c>
      <c r="L6458" s="19" t="s">
        <v>27</v>
      </c>
      <c r="M6458" s="19" t="s">
        <v>8</v>
      </c>
      <c r="N6458" t="b">
        <v>0</v>
      </c>
      <c r="O6458">
        <v>0</v>
      </c>
      <c r="P6458">
        <v>1</v>
      </c>
      <c r="Q6458">
        <v>0</v>
      </c>
      <c r="R6458">
        <v>1</v>
      </c>
    </row>
    <row r="6459" spans="1:18" x14ac:dyDescent="0.45">
      <c r="A6459" s="19" t="s">
        <v>9</v>
      </c>
      <c r="B6459" s="19" t="s">
        <v>6</v>
      </c>
      <c r="C6459">
        <v>3</v>
      </c>
      <c r="D6459">
        <v>1</v>
      </c>
      <c r="E6459">
        <v>2</v>
      </c>
      <c r="F6459" s="15">
        <v>46300</v>
      </c>
      <c r="G6459" s="19" t="s">
        <v>761</v>
      </c>
      <c r="H6459">
        <v>4</v>
      </c>
      <c r="I6459">
        <v>2026</v>
      </c>
      <c r="J6459">
        <v>10</v>
      </c>
      <c r="K6459" s="19" t="s">
        <v>282</v>
      </c>
      <c r="L6459" s="19" t="s">
        <v>405</v>
      </c>
      <c r="M6459" s="19" t="s">
        <v>6</v>
      </c>
      <c r="N6459" t="b">
        <v>0</v>
      </c>
      <c r="O6459">
        <v>0</v>
      </c>
      <c r="P6459">
        <v>1</v>
      </c>
      <c r="Q6459">
        <v>0</v>
      </c>
      <c r="R6459">
        <v>0</v>
      </c>
    </row>
    <row r="6460" spans="1:18" x14ac:dyDescent="0.45">
      <c r="A6460" s="19" t="s">
        <v>9</v>
      </c>
      <c r="B6460" s="19" t="s">
        <v>6</v>
      </c>
      <c r="C6460">
        <v>3</v>
      </c>
      <c r="D6460">
        <v>1</v>
      </c>
      <c r="E6460">
        <v>2</v>
      </c>
      <c r="F6460" s="15">
        <v>46300</v>
      </c>
      <c r="G6460" s="19" t="s">
        <v>761</v>
      </c>
      <c r="H6460">
        <v>4</v>
      </c>
      <c r="I6460">
        <v>2026</v>
      </c>
      <c r="J6460">
        <v>10</v>
      </c>
      <c r="K6460" s="19" t="s">
        <v>282</v>
      </c>
      <c r="L6460" s="19" t="s">
        <v>20</v>
      </c>
      <c r="M6460" s="19" t="s">
        <v>6</v>
      </c>
      <c r="N6460" t="b">
        <v>0</v>
      </c>
      <c r="O6460">
        <v>0</v>
      </c>
      <c r="P6460">
        <v>1</v>
      </c>
      <c r="Q6460">
        <v>0</v>
      </c>
      <c r="R6460">
        <v>0</v>
      </c>
    </row>
    <row r="6461" spans="1:18" x14ac:dyDescent="0.45">
      <c r="A6461" s="19" t="s">
        <v>20</v>
      </c>
      <c r="B6461" s="19" t="s">
        <v>6</v>
      </c>
      <c r="C6461">
        <v>4</v>
      </c>
      <c r="D6461">
        <v>1</v>
      </c>
      <c r="E6461">
        <v>2</v>
      </c>
      <c r="F6461" s="15">
        <v>46300</v>
      </c>
      <c r="G6461" s="19" t="s">
        <v>761</v>
      </c>
      <c r="H6461">
        <v>4</v>
      </c>
      <c r="I6461">
        <v>2026</v>
      </c>
      <c r="J6461">
        <v>10</v>
      </c>
      <c r="K6461" s="19" t="s">
        <v>282</v>
      </c>
      <c r="L6461" s="19" t="s">
        <v>27</v>
      </c>
      <c r="M6461" s="19" t="s">
        <v>8</v>
      </c>
      <c r="N6461" t="b">
        <v>0</v>
      </c>
      <c r="O6461">
        <v>0</v>
      </c>
      <c r="P6461">
        <v>1</v>
      </c>
      <c r="Q6461">
        <v>0</v>
      </c>
      <c r="R6461">
        <v>1</v>
      </c>
    </row>
    <row r="6462" spans="1:18" x14ac:dyDescent="0.45">
      <c r="A6462" s="19" t="s">
        <v>20</v>
      </c>
      <c r="B6462" s="19" t="s">
        <v>6</v>
      </c>
      <c r="C6462">
        <v>4</v>
      </c>
      <c r="D6462">
        <v>1</v>
      </c>
      <c r="E6462">
        <v>2</v>
      </c>
      <c r="F6462" s="15">
        <v>46300</v>
      </c>
      <c r="G6462" s="19" t="s">
        <v>761</v>
      </c>
      <c r="H6462">
        <v>4</v>
      </c>
      <c r="I6462">
        <v>2026</v>
      </c>
      <c r="J6462">
        <v>10</v>
      </c>
      <c r="K6462" s="19" t="s">
        <v>282</v>
      </c>
      <c r="L6462" s="19" t="s">
        <v>405</v>
      </c>
      <c r="M6462" s="19" t="s">
        <v>6</v>
      </c>
      <c r="N6462" t="b">
        <v>0</v>
      </c>
      <c r="O6462">
        <v>0</v>
      </c>
      <c r="P6462">
        <v>1</v>
      </c>
      <c r="Q6462">
        <v>0</v>
      </c>
      <c r="R6462">
        <v>0</v>
      </c>
    </row>
    <row r="6463" spans="1:18" x14ac:dyDescent="0.45">
      <c r="A6463" s="19" t="s">
        <v>20</v>
      </c>
      <c r="B6463" s="19" t="s">
        <v>6</v>
      </c>
      <c r="C6463">
        <v>4</v>
      </c>
      <c r="D6463">
        <v>1</v>
      </c>
      <c r="E6463">
        <v>2</v>
      </c>
      <c r="F6463" s="15">
        <v>46300</v>
      </c>
      <c r="G6463" s="19" t="s">
        <v>761</v>
      </c>
      <c r="H6463">
        <v>4</v>
      </c>
      <c r="I6463">
        <v>2026</v>
      </c>
      <c r="J6463">
        <v>10</v>
      </c>
      <c r="K6463" s="19" t="s">
        <v>282</v>
      </c>
      <c r="L6463" s="19" t="s">
        <v>9</v>
      </c>
      <c r="M6463" s="19" t="s">
        <v>6</v>
      </c>
      <c r="N6463" t="b">
        <v>0</v>
      </c>
      <c r="O6463">
        <v>0</v>
      </c>
      <c r="P6463">
        <v>1</v>
      </c>
      <c r="Q6463">
        <v>0</v>
      </c>
      <c r="R6463">
        <v>0</v>
      </c>
    </row>
    <row r="6464" spans="1:18" x14ac:dyDescent="0.45">
      <c r="A6464" s="19" t="s">
        <v>28</v>
      </c>
      <c r="B6464" s="19" t="s">
        <v>8</v>
      </c>
      <c r="C6464">
        <v>1</v>
      </c>
      <c r="D6464">
        <v>2</v>
      </c>
      <c r="E6464">
        <v>2</v>
      </c>
      <c r="F6464" s="15">
        <v>46300</v>
      </c>
      <c r="G6464" s="19" t="s">
        <v>762</v>
      </c>
      <c r="H6464">
        <v>4</v>
      </c>
      <c r="I6464">
        <v>2026</v>
      </c>
      <c r="J6464">
        <v>10</v>
      </c>
      <c r="K6464" s="19" t="s">
        <v>282</v>
      </c>
      <c r="L6464" s="19" t="s">
        <v>578</v>
      </c>
      <c r="M6464" s="19" t="s">
        <v>6</v>
      </c>
      <c r="N6464" t="b">
        <v>0</v>
      </c>
      <c r="O6464">
        <v>1</v>
      </c>
      <c r="P6464">
        <v>0</v>
      </c>
      <c r="Q6464">
        <v>0</v>
      </c>
      <c r="R6464">
        <v>0</v>
      </c>
    </row>
    <row r="6465" spans="1:18" x14ac:dyDescent="0.45">
      <c r="A6465" s="19" t="s">
        <v>28</v>
      </c>
      <c r="B6465" s="19" t="s">
        <v>8</v>
      </c>
      <c r="C6465">
        <v>1</v>
      </c>
      <c r="D6465">
        <v>2</v>
      </c>
      <c r="E6465">
        <v>2</v>
      </c>
      <c r="F6465" s="15">
        <v>46300</v>
      </c>
      <c r="G6465" s="19" t="s">
        <v>762</v>
      </c>
      <c r="H6465">
        <v>4</v>
      </c>
      <c r="I6465">
        <v>2026</v>
      </c>
      <c r="J6465">
        <v>10</v>
      </c>
      <c r="K6465" s="19" t="s">
        <v>282</v>
      </c>
      <c r="L6465" s="19" t="s">
        <v>17</v>
      </c>
      <c r="M6465" s="19" t="s">
        <v>6</v>
      </c>
      <c r="N6465" t="b">
        <v>0</v>
      </c>
      <c r="O6465">
        <v>1</v>
      </c>
      <c r="P6465">
        <v>0</v>
      </c>
      <c r="Q6465">
        <v>0</v>
      </c>
      <c r="R6465">
        <v>0</v>
      </c>
    </row>
    <row r="6466" spans="1:18" x14ac:dyDescent="0.45">
      <c r="A6466" s="19" t="s">
        <v>28</v>
      </c>
      <c r="B6466" s="19" t="s">
        <v>8</v>
      </c>
      <c r="C6466">
        <v>1</v>
      </c>
      <c r="D6466">
        <v>2</v>
      </c>
      <c r="E6466">
        <v>2</v>
      </c>
      <c r="F6466" s="15">
        <v>46300</v>
      </c>
      <c r="G6466" s="19" t="s">
        <v>762</v>
      </c>
      <c r="H6466">
        <v>4</v>
      </c>
      <c r="I6466">
        <v>2026</v>
      </c>
      <c r="J6466">
        <v>10</v>
      </c>
      <c r="K6466" s="19" t="s">
        <v>282</v>
      </c>
      <c r="L6466" s="19" t="s">
        <v>7</v>
      </c>
      <c r="M6466" s="19" t="s">
        <v>6</v>
      </c>
      <c r="N6466" t="b">
        <v>0</v>
      </c>
      <c r="O6466">
        <v>1</v>
      </c>
      <c r="P6466">
        <v>0</v>
      </c>
      <c r="Q6466">
        <v>0</v>
      </c>
      <c r="R6466">
        <v>0</v>
      </c>
    </row>
    <row r="6467" spans="1:18" x14ac:dyDescent="0.45">
      <c r="A6467" s="19" t="s">
        <v>578</v>
      </c>
      <c r="B6467" s="19" t="s">
        <v>6</v>
      </c>
      <c r="C6467">
        <v>2</v>
      </c>
      <c r="D6467">
        <v>2</v>
      </c>
      <c r="E6467">
        <v>2</v>
      </c>
      <c r="F6467" s="15">
        <v>46300</v>
      </c>
      <c r="G6467" s="19" t="s">
        <v>762</v>
      </c>
      <c r="H6467">
        <v>4</v>
      </c>
      <c r="I6467">
        <v>2026</v>
      </c>
      <c r="J6467">
        <v>10</v>
      </c>
      <c r="K6467" s="19" t="s">
        <v>282</v>
      </c>
      <c r="L6467" s="19" t="s">
        <v>28</v>
      </c>
      <c r="M6467" s="19" t="s">
        <v>8</v>
      </c>
      <c r="N6467" t="b">
        <v>0</v>
      </c>
      <c r="O6467">
        <v>0</v>
      </c>
      <c r="P6467">
        <v>1</v>
      </c>
      <c r="Q6467">
        <v>0</v>
      </c>
      <c r="R6467">
        <v>1</v>
      </c>
    </row>
    <row r="6468" spans="1:18" x14ac:dyDescent="0.45">
      <c r="A6468" s="19" t="s">
        <v>578</v>
      </c>
      <c r="B6468" s="19" t="s">
        <v>6</v>
      </c>
      <c r="C6468">
        <v>2</v>
      </c>
      <c r="D6468">
        <v>2</v>
      </c>
      <c r="E6468">
        <v>2</v>
      </c>
      <c r="F6468" s="15">
        <v>46300</v>
      </c>
      <c r="G6468" s="19" t="s">
        <v>762</v>
      </c>
      <c r="H6468">
        <v>4</v>
      </c>
      <c r="I6468">
        <v>2026</v>
      </c>
      <c r="J6468">
        <v>10</v>
      </c>
      <c r="K6468" s="19" t="s">
        <v>282</v>
      </c>
      <c r="L6468" s="19" t="s">
        <v>17</v>
      </c>
      <c r="M6468" s="19" t="s">
        <v>6</v>
      </c>
      <c r="N6468" t="b">
        <v>0</v>
      </c>
      <c r="O6468">
        <v>0</v>
      </c>
      <c r="P6468">
        <v>1</v>
      </c>
      <c r="Q6468">
        <v>0</v>
      </c>
      <c r="R6468">
        <v>0</v>
      </c>
    </row>
    <row r="6469" spans="1:18" x14ac:dyDescent="0.45">
      <c r="A6469" s="19" t="s">
        <v>578</v>
      </c>
      <c r="B6469" s="19" t="s">
        <v>6</v>
      </c>
      <c r="C6469">
        <v>2</v>
      </c>
      <c r="D6469">
        <v>2</v>
      </c>
      <c r="E6469">
        <v>2</v>
      </c>
      <c r="F6469" s="15">
        <v>46300</v>
      </c>
      <c r="G6469" s="19" t="s">
        <v>762</v>
      </c>
      <c r="H6469">
        <v>4</v>
      </c>
      <c r="I6469">
        <v>2026</v>
      </c>
      <c r="J6469">
        <v>10</v>
      </c>
      <c r="K6469" s="19" t="s">
        <v>282</v>
      </c>
      <c r="L6469" s="19" t="s">
        <v>7</v>
      </c>
      <c r="M6469" s="19" t="s">
        <v>6</v>
      </c>
      <c r="N6469" t="b">
        <v>0</v>
      </c>
      <c r="O6469">
        <v>0</v>
      </c>
      <c r="P6469">
        <v>1</v>
      </c>
      <c r="Q6469">
        <v>0</v>
      </c>
      <c r="R6469">
        <v>0</v>
      </c>
    </row>
    <row r="6470" spans="1:18" x14ac:dyDescent="0.45">
      <c r="A6470" s="19" t="s">
        <v>17</v>
      </c>
      <c r="B6470" s="19" t="s">
        <v>6</v>
      </c>
      <c r="C6470">
        <v>3</v>
      </c>
      <c r="D6470">
        <v>2</v>
      </c>
      <c r="E6470">
        <v>2</v>
      </c>
      <c r="F6470" s="15">
        <v>46300</v>
      </c>
      <c r="G6470" s="19" t="s">
        <v>762</v>
      </c>
      <c r="H6470">
        <v>4</v>
      </c>
      <c r="I6470">
        <v>2026</v>
      </c>
      <c r="J6470">
        <v>10</v>
      </c>
      <c r="K6470" s="19" t="s">
        <v>282</v>
      </c>
      <c r="L6470" s="19" t="s">
        <v>28</v>
      </c>
      <c r="M6470" s="19" t="s">
        <v>8</v>
      </c>
      <c r="N6470" t="b">
        <v>0</v>
      </c>
      <c r="O6470">
        <v>0</v>
      </c>
      <c r="P6470">
        <v>1</v>
      </c>
      <c r="Q6470">
        <v>0</v>
      </c>
      <c r="R6470">
        <v>1</v>
      </c>
    </row>
    <row r="6471" spans="1:18" x14ac:dyDescent="0.45">
      <c r="A6471" s="19" t="s">
        <v>17</v>
      </c>
      <c r="B6471" s="19" t="s">
        <v>6</v>
      </c>
      <c r="C6471">
        <v>3</v>
      </c>
      <c r="D6471">
        <v>2</v>
      </c>
      <c r="E6471">
        <v>2</v>
      </c>
      <c r="F6471" s="15">
        <v>46300</v>
      </c>
      <c r="G6471" s="19" t="s">
        <v>762</v>
      </c>
      <c r="H6471">
        <v>4</v>
      </c>
      <c r="I6471">
        <v>2026</v>
      </c>
      <c r="J6471">
        <v>10</v>
      </c>
      <c r="K6471" s="19" t="s">
        <v>282</v>
      </c>
      <c r="L6471" s="19" t="s">
        <v>578</v>
      </c>
      <c r="M6471" s="19" t="s">
        <v>6</v>
      </c>
      <c r="N6471" t="b">
        <v>0</v>
      </c>
      <c r="O6471">
        <v>0</v>
      </c>
      <c r="P6471">
        <v>1</v>
      </c>
      <c r="Q6471">
        <v>0</v>
      </c>
      <c r="R6471">
        <v>0</v>
      </c>
    </row>
    <row r="6472" spans="1:18" x14ac:dyDescent="0.45">
      <c r="A6472" s="19" t="s">
        <v>17</v>
      </c>
      <c r="B6472" s="19" t="s">
        <v>6</v>
      </c>
      <c r="C6472">
        <v>3</v>
      </c>
      <c r="D6472">
        <v>2</v>
      </c>
      <c r="E6472">
        <v>2</v>
      </c>
      <c r="F6472" s="15">
        <v>46300</v>
      </c>
      <c r="G6472" s="19" t="s">
        <v>762</v>
      </c>
      <c r="H6472">
        <v>4</v>
      </c>
      <c r="I6472">
        <v>2026</v>
      </c>
      <c r="J6472">
        <v>10</v>
      </c>
      <c r="K6472" s="19" t="s">
        <v>282</v>
      </c>
      <c r="L6472" s="19" t="s">
        <v>7</v>
      </c>
      <c r="M6472" s="19" t="s">
        <v>6</v>
      </c>
      <c r="N6472" t="b">
        <v>0</v>
      </c>
      <c r="O6472">
        <v>0</v>
      </c>
      <c r="P6472">
        <v>1</v>
      </c>
      <c r="Q6472">
        <v>0</v>
      </c>
      <c r="R6472">
        <v>0</v>
      </c>
    </row>
    <row r="6473" spans="1:18" x14ac:dyDescent="0.45">
      <c r="A6473" s="19" t="s">
        <v>7</v>
      </c>
      <c r="B6473" s="19" t="s">
        <v>6</v>
      </c>
      <c r="C6473">
        <v>4</v>
      </c>
      <c r="D6473">
        <v>2</v>
      </c>
      <c r="E6473">
        <v>2</v>
      </c>
      <c r="F6473" s="15">
        <v>46300</v>
      </c>
      <c r="G6473" s="19" t="s">
        <v>762</v>
      </c>
      <c r="H6473">
        <v>4</v>
      </c>
      <c r="I6473">
        <v>2026</v>
      </c>
      <c r="J6473">
        <v>10</v>
      </c>
      <c r="K6473" s="19" t="s">
        <v>282</v>
      </c>
      <c r="L6473" s="19" t="s">
        <v>28</v>
      </c>
      <c r="M6473" s="19" t="s">
        <v>8</v>
      </c>
      <c r="N6473" t="b">
        <v>0</v>
      </c>
      <c r="O6473">
        <v>0</v>
      </c>
      <c r="P6473">
        <v>1</v>
      </c>
      <c r="Q6473">
        <v>0</v>
      </c>
      <c r="R6473">
        <v>1</v>
      </c>
    </row>
    <row r="6474" spans="1:18" x14ac:dyDescent="0.45">
      <c r="A6474" s="19" t="s">
        <v>7</v>
      </c>
      <c r="B6474" s="19" t="s">
        <v>6</v>
      </c>
      <c r="C6474">
        <v>4</v>
      </c>
      <c r="D6474">
        <v>2</v>
      </c>
      <c r="E6474">
        <v>2</v>
      </c>
      <c r="F6474" s="15">
        <v>46300</v>
      </c>
      <c r="G6474" s="19" t="s">
        <v>762</v>
      </c>
      <c r="H6474">
        <v>4</v>
      </c>
      <c r="I6474">
        <v>2026</v>
      </c>
      <c r="J6474">
        <v>10</v>
      </c>
      <c r="K6474" s="19" t="s">
        <v>282</v>
      </c>
      <c r="L6474" s="19" t="s">
        <v>578</v>
      </c>
      <c r="M6474" s="19" t="s">
        <v>6</v>
      </c>
      <c r="N6474" t="b">
        <v>0</v>
      </c>
      <c r="O6474">
        <v>0</v>
      </c>
      <c r="P6474">
        <v>1</v>
      </c>
      <c r="Q6474">
        <v>0</v>
      </c>
      <c r="R6474">
        <v>0</v>
      </c>
    </row>
    <row r="6475" spans="1:18" x14ac:dyDescent="0.45">
      <c r="A6475" s="19" t="s">
        <v>7</v>
      </c>
      <c r="B6475" s="19" t="s">
        <v>6</v>
      </c>
      <c r="C6475">
        <v>4</v>
      </c>
      <c r="D6475">
        <v>2</v>
      </c>
      <c r="E6475">
        <v>2</v>
      </c>
      <c r="F6475" s="15">
        <v>46300</v>
      </c>
      <c r="G6475" s="19" t="s">
        <v>762</v>
      </c>
      <c r="H6475">
        <v>4</v>
      </c>
      <c r="I6475">
        <v>2026</v>
      </c>
      <c r="J6475">
        <v>10</v>
      </c>
      <c r="K6475" s="19" t="s">
        <v>282</v>
      </c>
      <c r="L6475" s="19" t="s">
        <v>17</v>
      </c>
      <c r="M6475" s="19" t="s">
        <v>6</v>
      </c>
      <c r="N6475" t="b">
        <v>0</v>
      </c>
      <c r="O6475">
        <v>0</v>
      </c>
      <c r="P6475">
        <v>1</v>
      </c>
      <c r="Q6475">
        <v>0</v>
      </c>
      <c r="R6475">
        <v>0</v>
      </c>
    </row>
    <row r="6476" spans="1:18" x14ac:dyDescent="0.45">
      <c r="A6476" s="19" t="s">
        <v>11</v>
      </c>
      <c r="B6476" s="19" t="s">
        <v>8</v>
      </c>
      <c r="C6476">
        <v>1</v>
      </c>
      <c r="D6476">
        <v>3</v>
      </c>
      <c r="E6476">
        <v>2</v>
      </c>
      <c r="F6476" s="15">
        <v>46300</v>
      </c>
      <c r="G6476" s="19" t="s">
        <v>763</v>
      </c>
      <c r="H6476">
        <v>4</v>
      </c>
      <c r="I6476">
        <v>2026</v>
      </c>
      <c r="J6476">
        <v>10</v>
      </c>
      <c r="K6476" s="19" t="s">
        <v>282</v>
      </c>
      <c r="L6476" s="19" t="s">
        <v>14</v>
      </c>
      <c r="M6476" s="19" t="s">
        <v>6</v>
      </c>
      <c r="N6476" t="b">
        <v>0</v>
      </c>
      <c r="O6476">
        <v>1</v>
      </c>
      <c r="P6476">
        <v>0</v>
      </c>
      <c r="Q6476">
        <v>0</v>
      </c>
      <c r="R6476">
        <v>0</v>
      </c>
    </row>
    <row r="6477" spans="1:18" x14ac:dyDescent="0.45">
      <c r="A6477" s="19" t="s">
        <v>11</v>
      </c>
      <c r="B6477" s="19" t="s">
        <v>8</v>
      </c>
      <c r="C6477">
        <v>1</v>
      </c>
      <c r="D6477">
        <v>3</v>
      </c>
      <c r="E6477">
        <v>2</v>
      </c>
      <c r="F6477" s="15">
        <v>46300</v>
      </c>
      <c r="G6477" s="19" t="s">
        <v>763</v>
      </c>
      <c r="H6477">
        <v>4</v>
      </c>
      <c r="I6477">
        <v>2026</v>
      </c>
      <c r="J6477">
        <v>10</v>
      </c>
      <c r="K6477" s="19" t="s">
        <v>282</v>
      </c>
      <c r="L6477" s="19" t="s">
        <v>402</v>
      </c>
      <c r="M6477" s="19" t="s">
        <v>6</v>
      </c>
      <c r="N6477" t="b">
        <v>0</v>
      </c>
      <c r="O6477">
        <v>1</v>
      </c>
      <c r="P6477">
        <v>0</v>
      </c>
      <c r="Q6477">
        <v>0</v>
      </c>
      <c r="R6477">
        <v>0</v>
      </c>
    </row>
    <row r="6478" spans="1:18" x14ac:dyDescent="0.45">
      <c r="A6478" s="19" t="s">
        <v>11</v>
      </c>
      <c r="B6478" s="19" t="s">
        <v>8</v>
      </c>
      <c r="C6478">
        <v>1</v>
      </c>
      <c r="D6478">
        <v>3</v>
      </c>
      <c r="E6478">
        <v>2</v>
      </c>
      <c r="F6478" s="15">
        <v>46300</v>
      </c>
      <c r="G6478" s="19" t="s">
        <v>763</v>
      </c>
      <c r="H6478">
        <v>4</v>
      </c>
      <c r="I6478">
        <v>2026</v>
      </c>
      <c r="J6478">
        <v>10</v>
      </c>
      <c r="K6478" s="19" t="s">
        <v>282</v>
      </c>
      <c r="L6478" s="19" t="s">
        <v>13</v>
      </c>
      <c r="M6478" s="19" t="s">
        <v>6</v>
      </c>
      <c r="N6478" t="b">
        <v>0</v>
      </c>
      <c r="O6478">
        <v>1</v>
      </c>
      <c r="P6478">
        <v>0</v>
      </c>
      <c r="Q6478">
        <v>0</v>
      </c>
      <c r="R6478">
        <v>0</v>
      </c>
    </row>
    <row r="6479" spans="1:18" x14ac:dyDescent="0.45">
      <c r="A6479" s="19" t="s">
        <v>14</v>
      </c>
      <c r="B6479" s="19" t="s">
        <v>6</v>
      </c>
      <c r="C6479">
        <v>2</v>
      </c>
      <c r="D6479">
        <v>3</v>
      </c>
      <c r="E6479">
        <v>2</v>
      </c>
      <c r="F6479" s="15">
        <v>46300</v>
      </c>
      <c r="G6479" s="19" t="s">
        <v>763</v>
      </c>
      <c r="H6479">
        <v>4</v>
      </c>
      <c r="I6479">
        <v>2026</v>
      </c>
      <c r="J6479">
        <v>10</v>
      </c>
      <c r="K6479" s="19" t="s">
        <v>282</v>
      </c>
      <c r="L6479" s="19" t="s">
        <v>11</v>
      </c>
      <c r="M6479" s="19" t="s">
        <v>8</v>
      </c>
      <c r="N6479" t="b">
        <v>0</v>
      </c>
      <c r="O6479">
        <v>0</v>
      </c>
      <c r="P6479">
        <v>1</v>
      </c>
      <c r="Q6479">
        <v>0</v>
      </c>
      <c r="R6479">
        <v>1</v>
      </c>
    </row>
    <row r="6480" spans="1:18" x14ac:dyDescent="0.45">
      <c r="A6480" s="19" t="s">
        <v>14</v>
      </c>
      <c r="B6480" s="19" t="s">
        <v>6</v>
      </c>
      <c r="C6480">
        <v>2</v>
      </c>
      <c r="D6480">
        <v>3</v>
      </c>
      <c r="E6480">
        <v>2</v>
      </c>
      <c r="F6480" s="15">
        <v>46300</v>
      </c>
      <c r="G6480" s="19" t="s">
        <v>763</v>
      </c>
      <c r="H6480">
        <v>4</v>
      </c>
      <c r="I6480">
        <v>2026</v>
      </c>
      <c r="J6480">
        <v>10</v>
      </c>
      <c r="K6480" s="19" t="s">
        <v>282</v>
      </c>
      <c r="L6480" s="19" t="s">
        <v>402</v>
      </c>
      <c r="M6480" s="19" t="s">
        <v>6</v>
      </c>
      <c r="N6480" t="b">
        <v>0</v>
      </c>
      <c r="O6480">
        <v>0</v>
      </c>
      <c r="P6480">
        <v>1</v>
      </c>
      <c r="Q6480">
        <v>0</v>
      </c>
      <c r="R6480">
        <v>0</v>
      </c>
    </row>
    <row r="6481" spans="1:18" x14ac:dyDescent="0.45">
      <c r="A6481" s="19" t="s">
        <v>14</v>
      </c>
      <c r="B6481" s="19" t="s">
        <v>6</v>
      </c>
      <c r="C6481">
        <v>2</v>
      </c>
      <c r="D6481">
        <v>3</v>
      </c>
      <c r="E6481">
        <v>2</v>
      </c>
      <c r="F6481" s="15">
        <v>46300</v>
      </c>
      <c r="G6481" s="19" t="s">
        <v>763</v>
      </c>
      <c r="H6481">
        <v>4</v>
      </c>
      <c r="I6481">
        <v>2026</v>
      </c>
      <c r="J6481">
        <v>10</v>
      </c>
      <c r="K6481" s="19" t="s">
        <v>282</v>
      </c>
      <c r="L6481" s="19" t="s">
        <v>13</v>
      </c>
      <c r="M6481" s="19" t="s">
        <v>6</v>
      </c>
      <c r="N6481" t="b">
        <v>0</v>
      </c>
      <c r="O6481">
        <v>0</v>
      </c>
      <c r="P6481">
        <v>1</v>
      </c>
      <c r="Q6481">
        <v>0</v>
      </c>
      <c r="R6481">
        <v>0</v>
      </c>
    </row>
    <row r="6482" spans="1:18" x14ac:dyDescent="0.45">
      <c r="A6482" s="19" t="s">
        <v>402</v>
      </c>
      <c r="B6482" s="19" t="s">
        <v>6</v>
      </c>
      <c r="C6482">
        <v>3</v>
      </c>
      <c r="D6482">
        <v>3</v>
      </c>
      <c r="E6482">
        <v>2</v>
      </c>
      <c r="F6482" s="15">
        <v>46300</v>
      </c>
      <c r="G6482" s="19" t="s">
        <v>763</v>
      </c>
      <c r="H6482">
        <v>4</v>
      </c>
      <c r="I6482">
        <v>2026</v>
      </c>
      <c r="J6482">
        <v>10</v>
      </c>
      <c r="K6482" s="19" t="s">
        <v>282</v>
      </c>
      <c r="L6482" s="19" t="s">
        <v>11</v>
      </c>
      <c r="M6482" s="19" t="s">
        <v>8</v>
      </c>
      <c r="N6482" t="b">
        <v>0</v>
      </c>
      <c r="O6482">
        <v>0</v>
      </c>
      <c r="P6482">
        <v>1</v>
      </c>
      <c r="Q6482">
        <v>0</v>
      </c>
      <c r="R6482">
        <v>1</v>
      </c>
    </row>
    <row r="6483" spans="1:18" x14ac:dyDescent="0.45">
      <c r="A6483" s="19" t="s">
        <v>402</v>
      </c>
      <c r="B6483" s="19" t="s">
        <v>6</v>
      </c>
      <c r="C6483">
        <v>3</v>
      </c>
      <c r="D6483">
        <v>3</v>
      </c>
      <c r="E6483">
        <v>2</v>
      </c>
      <c r="F6483" s="15">
        <v>46300</v>
      </c>
      <c r="G6483" s="19" t="s">
        <v>763</v>
      </c>
      <c r="H6483">
        <v>4</v>
      </c>
      <c r="I6483">
        <v>2026</v>
      </c>
      <c r="J6483">
        <v>10</v>
      </c>
      <c r="K6483" s="19" t="s">
        <v>282</v>
      </c>
      <c r="L6483" s="19" t="s">
        <v>14</v>
      </c>
      <c r="M6483" s="19" t="s">
        <v>6</v>
      </c>
      <c r="N6483" t="b">
        <v>0</v>
      </c>
      <c r="O6483">
        <v>0</v>
      </c>
      <c r="P6483">
        <v>1</v>
      </c>
      <c r="Q6483">
        <v>0</v>
      </c>
      <c r="R6483">
        <v>0</v>
      </c>
    </row>
    <row r="6484" spans="1:18" x14ac:dyDescent="0.45">
      <c r="A6484" s="19" t="s">
        <v>402</v>
      </c>
      <c r="B6484" s="19" t="s">
        <v>6</v>
      </c>
      <c r="C6484">
        <v>3</v>
      </c>
      <c r="D6484">
        <v>3</v>
      </c>
      <c r="E6484">
        <v>2</v>
      </c>
      <c r="F6484" s="15">
        <v>46300</v>
      </c>
      <c r="G6484" s="19" t="s">
        <v>763</v>
      </c>
      <c r="H6484">
        <v>4</v>
      </c>
      <c r="I6484">
        <v>2026</v>
      </c>
      <c r="J6484">
        <v>10</v>
      </c>
      <c r="K6484" s="19" t="s">
        <v>282</v>
      </c>
      <c r="L6484" s="19" t="s">
        <v>13</v>
      </c>
      <c r="M6484" s="19" t="s">
        <v>6</v>
      </c>
      <c r="N6484" t="b">
        <v>0</v>
      </c>
      <c r="O6484">
        <v>0</v>
      </c>
      <c r="P6484">
        <v>1</v>
      </c>
      <c r="Q6484">
        <v>0</v>
      </c>
      <c r="R6484">
        <v>0</v>
      </c>
    </row>
    <row r="6485" spans="1:18" x14ac:dyDescent="0.45">
      <c r="A6485" s="19" t="s">
        <v>13</v>
      </c>
      <c r="B6485" s="19" t="s">
        <v>6</v>
      </c>
      <c r="C6485">
        <v>4</v>
      </c>
      <c r="D6485">
        <v>3</v>
      </c>
      <c r="E6485">
        <v>2</v>
      </c>
      <c r="F6485" s="15">
        <v>46300</v>
      </c>
      <c r="G6485" s="19" t="s">
        <v>763</v>
      </c>
      <c r="H6485">
        <v>4</v>
      </c>
      <c r="I6485">
        <v>2026</v>
      </c>
      <c r="J6485">
        <v>10</v>
      </c>
      <c r="K6485" s="19" t="s">
        <v>282</v>
      </c>
      <c r="L6485" s="19" t="s">
        <v>11</v>
      </c>
      <c r="M6485" s="19" t="s">
        <v>8</v>
      </c>
      <c r="N6485" t="b">
        <v>0</v>
      </c>
      <c r="O6485">
        <v>0</v>
      </c>
      <c r="P6485">
        <v>1</v>
      </c>
      <c r="Q6485">
        <v>0</v>
      </c>
      <c r="R6485">
        <v>1</v>
      </c>
    </row>
    <row r="6486" spans="1:18" x14ac:dyDescent="0.45">
      <c r="A6486" s="19" t="s">
        <v>13</v>
      </c>
      <c r="B6486" s="19" t="s">
        <v>6</v>
      </c>
      <c r="C6486">
        <v>4</v>
      </c>
      <c r="D6486">
        <v>3</v>
      </c>
      <c r="E6486">
        <v>2</v>
      </c>
      <c r="F6486" s="15">
        <v>46300</v>
      </c>
      <c r="G6486" s="19" t="s">
        <v>763</v>
      </c>
      <c r="H6486">
        <v>4</v>
      </c>
      <c r="I6486">
        <v>2026</v>
      </c>
      <c r="J6486">
        <v>10</v>
      </c>
      <c r="K6486" s="19" t="s">
        <v>282</v>
      </c>
      <c r="L6486" s="19" t="s">
        <v>14</v>
      </c>
      <c r="M6486" s="19" t="s">
        <v>6</v>
      </c>
      <c r="N6486" t="b">
        <v>0</v>
      </c>
      <c r="O6486">
        <v>0</v>
      </c>
      <c r="P6486">
        <v>1</v>
      </c>
      <c r="Q6486">
        <v>0</v>
      </c>
      <c r="R6486">
        <v>0</v>
      </c>
    </row>
    <row r="6487" spans="1:18" x14ac:dyDescent="0.45">
      <c r="A6487" s="19" t="s">
        <v>13</v>
      </c>
      <c r="B6487" s="19" t="s">
        <v>6</v>
      </c>
      <c r="C6487">
        <v>4</v>
      </c>
      <c r="D6487">
        <v>3</v>
      </c>
      <c r="E6487">
        <v>2</v>
      </c>
      <c r="F6487" s="15">
        <v>46300</v>
      </c>
      <c r="G6487" s="19" t="s">
        <v>763</v>
      </c>
      <c r="H6487">
        <v>4</v>
      </c>
      <c r="I6487">
        <v>2026</v>
      </c>
      <c r="J6487">
        <v>10</v>
      </c>
      <c r="K6487" s="19" t="s">
        <v>282</v>
      </c>
      <c r="L6487" s="19" t="s">
        <v>402</v>
      </c>
      <c r="M6487" s="19" t="s">
        <v>6</v>
      </c>
      <c r="N6487" t="b">
        <v>0</v>
      </c>
      <c r="O6487">
        <v>0</v>
      </c>
      <c r="P6487">
        <v>1</v>
      </c>
      <c r="Q6487">
        <v>0</v>
      </c>
      <c r="R6487">
        <v>0</v>
      </c>
    </row>
    <row r="6488" spans="1:18" x14ac:dyDescent="0.45">
      <c r="A6488" s="19" t="s">
        <v>15</v>
      </c>
      <c r="B6488" s="19" t="s">
        <v>8</v>
      </c>
      <c r="C6488">
        <v>1</v>
      </c>
      <c r="D6488">
        <v>4</v>
      </c>
      <c r="E6488">
        <v>2</v>
      </c>
      <c r="F6488" s="15">
        <v>46300</v>
      </c>
      <c r="G6488" s="19" t="s">
        <v>764</v>
      </c>
      <c r="H6488">
        <v>4</v>
      </c>
      <c r="I6488">
        <v>2026</v>
      </c>
      <c r="J6488">
        <v>10</v>
      </c>
      <c r="K6488" s="19" t="s">
        <v>282</v>
      </c>
      <c r="L6488" s="19" t="s">
        <v>519</v>
      </c>
      <c r="M6488" s="19" t="s">
        <v>6</v>
      </c>
      <c r="N6488" t="b">
        <v>0</v>
      </c>
      <c r="O6488">
        <v>1</v>
      </c>
      <c r="P6488">
        <v>0</v>
      </c>
      <c r="Q6488">
        <v>0</v>
      </c>
      <c r="R6488">
        <v>0</v>
      </c>
    </row>
    <row r="6489" spans="1:18" x14ac:dyDescent="0.45">
      <c r="A6489" s="19" t="s">
        <v>15</v>
      </c>
      <c r="B6489" s="19" t="s">
        <v>8</v>
      </c>
      <c r="C6489">
        <v>1</v>
      </c>
      <c r="D6489">
        <v>4</v>
      </c>
      <c r="E6489">
        <v>2</v>
      </c>
      <c r="F6489" s="15">
        <v>46300</v>
      </c>
      <c r="G6489" s="19" t="s">
        <v>764</v>
      </c>
      <c r="H6489">
        <v>4</v>
      </c>
      <c r="I6489">
        <v>2026</v>
      </c>
      <c r="J6489">
        <v>10</v>
      </c>
      <c r="K6489" s="19" t="s">
        <v>282</v>
      </c>
      <c r="L6489" s="19" t="s">
        <v>351</v>
      </c>
      <c r="M6489" s="19" t="s">
        <v>6</v>
      </c>
      <c r="N6489" t="b">
        <v>0</v>
      </c>
      <c r="O6489">
        <v>1</v>
      </c>
      <c r="P6489">
        <v>0</v>
      </c>
      <c r="Q6489">
        <v>0</v>
      </c>
      <c r="R6489">
        <v>0</v>
      </c>
    </row>
    <row r="6490" spans="1:18" x14ac:dyDescent="0.45">
      <c r="A6490" s="19" t="s">
        <v>15</v>
      </c>
      <c r="B6490" s="19" t="s">
        <v>8</v>
      </c>
      <c r="C6490">
        <v>1</v>
      </c>
      <c r="D6490">
        <v>4</v>
      </c>
      <c r="E6490">
        <v>2</v>
      </c>
      <c r="F6490" s="15">
        <v>46300</v>
      </c>
      <c r="G6490" s="19" t="s">
        <v>764</v>
      </c>
      <c r="H6490">
        <v>4</v>
      </c>
      <c r="I6490">
        <v>2026</v>
      </c>
      <c r="J6490">
        <v>10</v>
      </c>
      <c r="K6490" s="19" t="s">
        <v>282</v>
      </c>
      <c r="L6490" s="19" t="s">
        <v>622</v>
      </c>
      <c r="M6490" s="19" t="s">
        <v>6</v>
      </c>
      <c r="N6490" t="b">
        <v>0</v>
      </c>
      <c r="O6490">
        <v>1</v>
      </c>
      <c r="P6490">
        <v>0</v>
      </c>
      <c r="Q6490">
        <v>0</v>
      </c>
      <c r="R6490">
        <v>0</v>
      </c>
    </row>
    <row r="6491" spans="1:18" x14ac:dyDescent="0.45">
      <c r="A6491" s="19" t="s">
        <v>519</v>
      </c>
      <c r="B6491" s="19" t="s">
        <v>6</v>
      </c>
      <c r="C6491">
        <v>2</v>
      </c>
      <c r="D6491">
        <v>4</v>
      </c>
      <c r="E6491">
        <v>2</v>
      </c>
      <c r="F6491" s="15">
        <v>46300</v>
      </c>
      <c r="G6491" s="19" t="s">
        <v>764</v>
      </c>
      <c r="H6491">
        <v>4</v>
      </c>
      <c r="I6491">
        <v>2026</v>
      </c>
      <c r="J6491">
        <v>10</v>
      </c>
      <c r="K6491" s="19" t="s">
        <v>282</v>
      </c>
      <c r="L6491" s="19" t="s">
        <v>15</v>
      </c>
      <c r="M6491" s="19" t="s">
        <v>8</v>
      </c>
      <c r="N6491" t="b">
        <v>0</v>
      </c>
      <c r="O6491">
        <v>0</v>
      </c>
      <c r="P6491">
        <v>1</v>
      </c>
      <c r="Q6491">
        <v>0</v>
      </c>
      <c r="R6491">
        <v>1</v>
      </c>
    </row>
    <row r="6492" spans="1:18" x14ac:dyDescent="0.45">
      <c r="A6492" s="19" t="s">
        <v>519</v>
      </c>
      <c r="B6492" s="19" t="s">
        <v>6</v>
      </c>
      <c r="C6492">
        <v>2</v>
      </c>
      <c r="D6492">
        <v>4</v>
      </c>
      <c r="E6492">
        <v>2</v>
      </c>
      <c r="F6492" s="15">
        <v>46300</v>
      </c>
      <c r="G6492" s="19" t="s">
        <v>764</v>
      </c>
      <c r="H6492">
        <v>4</v>
      </c>
      <c r="I6492">
        <v>2026</v>
      </c>
      <c r="J6492">
        <v>10</v>
      </c>
      <c r="K6492" s="19" t="s">
        <v>282</v>
      </c>
      <c r="L6492" s="19" t="s">
        <v>351</v>
      </c>
      <c r="M6492" s="19" t="s">
        <v>6</v>
      </c>
      <c r="N6492" t="b">
        <v>0</v>
      </c>
      <c r="O6492">
        <v>0</v>
      </c>
      <c r="P6492">
        <v>1</v>
      </c>
      <c r="Q6492">
        <v>0</v>
      </c>
      <c r="R6492">
        <v>0</v>
      </c>
    </row>
    <row r="6493" spans="1:18" x14ac:dyDescent="0.45">
      <c r="A6493" s="19" t="s">
        <v>519</v>
      </c>
      <c r="B6493" s="19" t="s">
        <v>6</v>
      </c>
      <c r="C6493">
        <v>2</v>
      </c>
      <c r="D6493">
        <v>4</v>
      </c>
      <c r="E6493">
        <v>2</v>
      </c>
      <c r="F6493" s="15">
        <v>46300</v>
      </c>
      <c r="G6493" s="19" t="s">
        <v>764</v>
      </c>
      <c r="H6493">
        <v>4</v>
      </c>
      <c r="I6493">
        <v>2026</v>
      </c>
      <c r="J6493">
        <v>10</v>
      </c>
      <c r="K6493" s="19" t="s">
        <v>282</v>
      </c>
      <c r="L6493" s="19" t="s">
        <v>622</v>
      </c>
      <c r="M6493" s="19" t="s">
        <v>6</v>
      </c>
      <c r="N6493" t="b">
        <v>0</v>
      </c>
      <c r="O6493">
        <v>0</v>
      </c>
      <c r="P6493">
        <v>1</v>
      </c>
      <c r="Q6493">
        <v>0</v>
      </c>
      <c r="R6493">
        <v>0</v>
      </c>
    </row>
    <row r="6494" spans="1:18" x14ac:dyDescent="0.45">
      <c r="A6494" s="19" t="s">
        <v>351</v>
      </c>
      <c r="B6494" s="19" t="s">
        <v>6</v>
      </c>
      <c r="C6494">
        <v>3</v>
      </c>
      <c r="D6494">
        <v>4</v>
      </c>
      <c r="E6494">
        <v>2</v>
      </c>
      <c r="F6494" s="15">
        <v>46300</v>
      </c>
      <c r="G6494" s="19" t="s">
        <v>764</v>
      </c>
      <c r="H6494">
        <v>4</v>
      </c>
      <c r="I6494">
        <v>2026</v>
      </c>
      <c r="J6494">
        <v>10</v>
      </c>
      <c r="K6494" s="19" t="s">
        <v>282</v>
      </c>
      <c r="L6494" s="19" t="s">
        <v>15</v>
      </c>
      <c r="M6494" s="19" t="s">
        <v>8</v>
      </c>
      <c r="N6494" t="b">
        <v>0</v>
      </c>
      <c r="O6494">
        <v>0</v>
      </c>
      <c r="P6494">
        <v>1</v>
      </c>
      <c r="Q6494">
        <v>0</v>
      </c>
      <c r="R6494">
        <v>1</v>
      </c>
    </row>
    <row r="6495" spans="1:18" x14ac:dyDescent="0.45">
      <c r="A6495" s="19" t="s">
        <v>351</v>
      </c>
      <c r="B6495" s="19" t="s">
        <v>6</v>
      </c>
      <c r="C6495">
        <v>3</v>
      </c>
      <c r="D6495">
        <v>4</v>
      </c>
      <c r="E6495">
        <v>2</v>
      </c>
      <c r="F6495" s="15">
        <v>46300</v>
      </c>
      <c r="G6495" s="19" t="s">
        <v>764</v>
      </c>
      <c r="H6495">
        <v>4</v>
      </c>
      <c r="I6495">
        <v>2026</v>
      </c>
      <c r="J6495">
        <v>10</v>
      </c>
      <c r="K6495" s="19" t="s">
        <v>282</v>
      </c>
      <c r="L6495" s="19" t="s">
        <v>519</v>
      </c>
      <c r="M6495" s="19" t="s">
        <v>6</v>
      </c>
      <c r="N6495" t="b">
        <v>0</v>
      </c>
      <c r="O6495">
        <v>0</v>
      </c>
      <c r="P6495">
        <v>1</v>
      </c>
      <c r="Q6495">
        <v>0</v>
      </c>
      <c r="R6495">
        <v>0</v>
      </c>
    </row>
    <row r="6496" spans="1:18" x14ac:dyDescent="0.45">
      <c r="A6496" s="19" t="s">
        <v>351</v>
      </c>
      <c r="B6496" s="19" t="s">
        <v>6</v>
      </c>
      <c r="C6496">
        <v>3</v>
      </c>
      <c r="D6496">
        <v>4</v>
      </c>
      <c r="E6496">
        <v>2</v>
      </c>
      <c r="F6496" s="15">
        <v>46300</v>
      </c>
      <c r="G6496" s="19" t="s">
        <v>764</v>
      </c>
      <c r="H6496">
        <v>4</v>
      </c>
      <c r="I6496">
        <v>2026</v>
      </c>
      <c r="J6496">
        <v>10</v>
      </c>
      <c r="K6496" s="19" t="s">
        <v>282</v>
      </c>
      <c r="L6496" s="19" t="s">
        <v>622</v>
      </c>
      <c r="M6496" s="19" t="s">
        <v>6</v>
      </c>
      <c r="N6496" t="b">
        <v>0</v>
      </c>
      <c r="O6496">
        <v>0</v>
      </c>
      <c r="P6496">
        <v>1</v>
      </c>
      <c r="Q6496">
        <v>0</v>
      </c>
      <c r="R6496">
        <v>0</v>
      </c>
    </row>
    <row r="6497" spans="1:18" x14ac:dyDescent="0.45">
      <c r="A6497" s="19" t="s">
        <v>622</v>
      </c>
      <c r="B6497" s="19" t="s">
        <v>6</v>
      </c>
      <c r="C6497">
        <v>4</v>
      </c>
      <c r="D6497">
        <v>4</v>
      </c>
      <c r="E6497">
        <v>2</v>
      </c>
      <c r="F6497" s="15">
        <v>46300</v>
      </c>
      <c r="G6497" s="19" t="s">
        <v>764</v>
      </c>
      <c r="H6497">
        <v>4</v>
      </c>
      <c r="I6497">
        <v>2026</v>
      </c>
      <c r="J6497">
        <v>10</v>
      </c>
      <c r="K6497" s="19" t="s">
        <v>282</v>
      </c>
      <c r="L6497" s="19" t="s">
        <v>15</v>
      </c>
      <c r="M6497" s="19" t="s">
        <v>8</v>
      </c>
      <c r="N6497" t="b">
        <v>0</v>
      </c>
      <c r="O6497">
        <v>0</v>
      </c>
      <c r="P6497">
        <v>1</v>
      </c>
      <c r="Q6497">
        <v>0</v>
      </c>
      <c r="R6497">
        <v>1</v>
      </c>
    </row>
    <row r="6498" spans="1:18" x14ac:dyDescent="0.45">
      <c r="A6498" s="19" t="s">
        <v>622</v>
      </c>
      <c r="B6498" s="19" t="s">
        <v>6</v>
      </c>
      <c r="C6498">
        <v>4</v>
      </c>
      <c r="D6498">
        <v>4</v>
      </c>
      <c r="E6498">
        <v>2</v>
      </c>
      <c r="F6498" s="15">
        <v>46300</v>
      </c>
      <c r="G6498" s="19" t="s">
        <v>764</v>
      </c>
      <c r="H6498">
        <v>4</v>
      </c>
      <c r="I6498">
        <v>2026</v>
      </c>
      <c r="J6498">
        <v>10</v>
      </c>
      <c r="K6498" s="19" t="s">
        <v>282</v>
      </c>
      <c r="L6498" s="19" t="s">
        <v>519</v>
      </c>
      <c r="M6498" s="19" t="s">
        <v>6</v>
      </c>
      <c r="N6498" t="b">
        <v>0</v>
      </c>
      <c r="O6498">
        <v>0</v>
      </c>
      <c r="P6498">
        <v>1</v>
      </c>
      <c r="Q6498">
        <v>0</v>
      </c>
      <c r="R6498">
        <v>0</v>
      </c>
    </row>
    <row r="6499" spans="1:18" x14ac:dyDescent="0.45">
      <c r="A6499" s="19" t="s">
        <v>622</v>
      </c>
      <c r="B6499" s="19" t="s">
        <v>6</v>
      </c>
      <c r="C6499">
        <v>4</v>
      </c>
      <c r="D6499">
        <v>4</v>
      </c>
      <c r="E6499">
        <v>2</v>
      </c>
      <c r="F6499" s="15">
        <v>46300</v>
      </c>
      <c r="G6499" s="19" t="s">
        <v>764</v>
      </c>
      <c r="H6499">
        <v>4</v>
      </c>
      <c r="I6499">
        <v>2026</v>
      </c>
      <c r="J6499">
        <v>10</v>
      </c>
      <c r="K6499" s="19" t="s">
        <v>282</v>
      </c>
      <c r="L6499" s="19" t="s">
        <v>351</v>
      </c>
      <c r="M6499" s="19" t="s">
        <v>6</v>
      </c>
      <c r="N6499" t="b">
        <v>0</v>
      </c>
      <c r="O6499">
        <v>0</v>
      </c>
      <c r="P6499">
        <v>1</v>
      </c>
      <c r="Q6499">
        <v>0</v>
      </c>
      <c r="R6499">
        <v>0</v>
      </c>
    </row>
    <row r="6500" spans="1:18" x14ac:dyDescent="0.45">
      <c r="A6500" s="19" t="s">
        <v>41</v>
      </c>
      <c r="B6500" s="19" t="s">
        <v>6</v>
      </c>
      <c r="C6500">
        <v>1</v>
      </c>
      <c r="D6500">
        <v>5</v>
      </c>
      <c r="E6500">
        <v>2</v>
      </c>
      <c r="F6500" s="15">
        <v>46300</v>
      </c>
      <c r="G6500" s="19" t="s">
        <v>765</v>
      </c>
      <c r="H6500">
        <v>4</v>
      </c>
      <c r="I6500">
        <v>2026</v>
      </c>
      <c r="J6500">
        <v>10</v>
      </c>
      <c r="K6500" s="19" t="s">
        <v>282</v>
      </c>
      <c r="L6500" s="19" t="s">
        <v>10</v>
      </c>
      <c r="M6500" s="19" t="s">
        <v>6</v>
      </c>
      <c r="N6500" t="b">
        <v>0</v>
      </c>
      <c r="O6500">
        <v>0</v>
      </c>
      <c r="P6500">
        <v>1</v>
      </c>
      <c r="Q6500">
        <v>0</v>
      </c>
      <c r="R6500">
        <v>0</v>
      </c>
    </row>
    <row r="6501" spans="1:18" x14ac:dyDescent="0.45">
      <c r="A6501" s="19" t="s">
        <v>41</v>
      </c>
      <c r="B6501" s="19" t="s">
        <v>6</v>
      </c>
      <c r="C6501">
        <v>1</v>
      </c>
      <c r="D6501">
        <v>5</v>
      </c>
      <c r="E6501">
        <v>2</v>
      </c>
      <c r="F6501" s="15">
        <v>46300</v>
      </c>
      <c r="G6501" s="19" t="s">
        <v>765</v>
      </c>
      <c r="H6501">
        <v>4</v>
      </c>
      <c r="I6501">
        <v>2026</v>
      </c>
      <c r="J6501">
        <v>10</v>
      </c>
      <c r="K6501" s="19" t="s">
        <v>282</v>
      </c>
      <c r="L6501" s="19" t="s">
        <v>19</v>
      </c>
      <c r="M6501" s="19" t="s">
        <v>8</v>
      </c>
      <c r="N6501" t="b">
        <v>0</v>
      </c>
      <c r="O6501">
        <v>0</v>
      </c>
      <c r="P6501">
        <v>1</v>
      </c>
      <c r="Q6501">
        <v>0</v>
      </c>
      <c r="R6501">
        <v>1</v>
      </c>
    </row>
    <row r="6502" spans="1:18" x14ac:dyDescent="0.45">
      <c r="A6502" s="19" t="s">
        <v>41</v>
      </c>
      <c r="B6502" s="19" t="s">
        <v>6</v>
      </c>
      <c r="C6502">
        <v>1</v>
      </c>
      <c r="D6502">
        <v>5</v>
      </c>
      <c r="E6502">
        <v>2</v>
      </c>
      <c r="F6502" s="15">
        <v>46300</v>
      </c>
      <c r="G6502" s="19" t="s">
        <v>765</v>
      </c>
      <c r="H6502">
        <v>4</v>
      </c>
      <c r="I6502">
        <v>2026</v>
      </c>
      <c r="J6502">
        <v>10</v>
      </c>
      <c r="K6502" s="19" t="s">
        <v>282</v>
      </c>
      <c r="L6502" s="19" t="s">
        <v>567</v>
      </c>
      <c r="M6502" s="19" t="s">
        <v>6</v>
      </c>
      <c r="N6502" t="b">
        <v>0</v>
      </c>
      <c r="O6502">
        <v>0</v>
      </c>
      <c r="P6502">
        <v>1</v>
      </c>
      <c r="Q6502">
        <v>0</v>
      </c>
      <c r="R6502">
        <v>0</v>
      </c>
    </row>
    <row r="6503" spans="1:18" x14ac:dyDescent="0.45">
      <c r="A6503" s="19" t="s">
        <v>10</v>
      </c>
      <c r="B6503" s="19" t="s">
        <v>6</v>
      </c>
      <c r="C6503">
        <v>2</v>
      </c>
      <c r="D6503">
        <v>5</v>
      </c>
      <c r="E6503">
        <v>2</v>
      </c>
      <c r="F6503" s="15">
        <v>46300</v>
      </c>
      <c r="G6503" s="19" t="s">
        <v>765</v>
      </c>
      <c r="H6503">
        <v>4</v>
      </c>
      <c r="I6503">
        <v>2026</v>
      </c>
      <c r="J6503">
        <v>10</v>
      </c>
      <c r="K6503" s="19" t="s">
        <v>282</v>
      </c>
      <c r="L6503" s="19" t="s">
        <v>41</v>
      </c>
      <c r="M6503" s="19" t="s">
        <v>6</v>
      </c>
      <c r="N6503" t="b">
        <v>0</v>
      </c>
      <c r="O6503">
        <v>0</v>
      </c>
      <c r="P6503">
        <v>1</v>
      </c>
      <c r="Q6503">
        <v>0</v>
      </c>
      <c r="R6503">
        <v>0</v>
      </c>
    </row>
    <row r="6504" spans="1:18" x14ac:dyDescent="0.45">
      <c r="A6504" s="19" t="s">
        <v>10</v>
      </c>
      <c r="B6504" s="19" t="s">
        <v>6</v>
      </c>
      <c r="C6504">
        <v>2</v>
      </c>
      <c r="D6504">
        <v>5</v>
      </c>
      <c r="E6504">
        <v>2</v>
      </c>
      <c r="F6504" s="15">
        <v>46300</v>
      </c>
      <c r="G6504" s="19" t="s">
        <v>765</v>
      </c>
      <c r="H6504">
        <v>4</v>
      </c>
      <c r="I6504">
        <v>2026</v>
      </c>
      <c r="J6504">
        <v>10</v>
      </c>
      <c r="K6504" s="19" t="s">
        <v>282</v>
      </c>
      <c r="L6504" s="19" t="s">
        <v>19</v>
      </c>
      <c r="M6504" s="19" t="s">
        <v>8</v>
      </c>
      <c r="N6504" t="b">
        <v>0</v>
      </c>
      <c r="O6504">
        <v>0</v>
      </c>
      <c r="P6504">
        <v>1</v>
      </c>
      <c r="Q6504">
        <v>0</v>
      </c>
      <c r="R6504">
        <v>1</v>
      </c>
    </row>
    <row r="6505" spans="1:18" x14ac:dyDescent="0.45">
      <c r="A6505" s="19" t="s">
        <v>10</v>
      </c>
      <c r="B6505" s="19" t="s">
        <v>6</v>
      </c>
      <c r="C6505">
        <v>2</v>
      </c>
      <c r="D6505">
        <v>5</v>
      </c>
      <c r="E6505">
        <v>2</v>
      </c>
      <c r="F6505" s="15">
        <v>46300</v>
      </c>
      <c r="G6505" s="19" t="s">
        <v>765</v>
      </c>
      <c r="H6505">
        <v>4</v>
      </c>
      <c r="I6505">
        <v>2026</v>
      </c>
      <c r="J6505">
        <v>10</v>
      </c>
      <c r="K6505" s="19" t="s">
        <v>282</v>
      </c>
      <c r="L6505" s="19" t="s">
        <v>567</v>
      </c>
      <c r="M6505" s="19" t="s">
        <v>6</v>
      </c>
      <c r="N6505" t="b">
        <v>0</v>
      </c>
      <c r="O6505">
        <v>0</v>
      </c>
      <c r="P6505">
        <v>1</v>
      </c>
      <c r="Q6505">
        <v>0</v>
      </c>
      <c r="R6505">
        <v>0</v>
      </c>
    </row>
    <row r="6506" spans="1:18" x14ac:dyDescent="0.45">
      <c r="A6506" s="19" t="s">
        <v>19</v>
      </c>
      <c r="B6506" s="19" t="s">
        <v>8</v>
      </c>
      <c r="C6506">
        <v>3</v>
      </c>
      <c r="D6506">
        <v>5</v>
      </c>
      <c r="E6506">
        <v>2</v>
      </c>
      <c r="F6506" s="15">
        <v>46300</v>
      </c>
      <c r="G6506" s="19" t="s">
        <v>765</v>
      </c>
      <c r="H6506">
        <v>4</v>
      </c>
      <c r="I6506">
        <v>2026</v>
      </c>
      <c r="J6506">
        <v>10</v>
      </c>
      <c r="K6506" s="19" t="s">
        <v>282</v>
      </c>
      <c r="L6506" s="19" t="s">
        <v>41</v>
      </c>
      <c r="M6506" s="19" t="s">
        <v>6</v>
      </c>
      <c r="N6506" t="b">
        <v>0</v>
      </c>
      <c r="O6506">
        <v>1</v>
      </c>
      <c r="P6506">
        <v>0</v>
      </c>
      <c r="Q6506">
        <v>0</v>
      </c>
      <c r="R6506">
        <v>0</v>
      </c>
    </row>
    <row r="6507" spans="1:18" x14ac:dyDescent="0.45">
      <c r="A6507" s="19" t="s">
        <v>19</v>
      </c>
      <c r="B6507" s="19" t="s">
        <v>8</v>
      </c>
      <c r="C6507">
        <v>3</v>
      </c>
      <c r="D6507">
        <v>5</v>
      </c>
      <c r="E6507">
        <v>2</v>
      </c>
      <c r="F6507" s="15">
        <v>46300</v>
      </c>
      <c r="G6507" s="19" t="s">
        <v>765</v>
      </c>
      <c r="H6507">
        <v>4</v>
      </c>
      <c r="I6507">
        <v>2026</v>
      </c>
      <c r="J6507">
        <v>10</v>
      </c>
      <c r="K6507" s="19" t="s">
        <v>282</v>
      </c>
      <c r="L6507" s="19" t="s">
        <v>10</v>
      </c>
      <c r="M6507" s="19" t="s">
        <v>6</v>
      </c>
      <c r="N6507" t="b">
        <v>0</v>
      </c>
      <c r="O6507">
        <v>1</v>
      </c>
      <c r="P6507">
        <v>0</v>
      </c>
      <c r="Q6507">
        <v>0</v>
      </c>
      <c r="R6507">
        <v>0</v>
      </c>
    </row>
    <row r="6508" spans="1:18" x14ac:dyDescent="0.45">
      <c r="A6508" s="19" t="s">
        <v>19</v>
      </c>
      <c r="B6508" s="19" t="s">
        <v>8</v>
      </c>
      <c r="C6508">
        <v>3</v>
      </c>
      <c r="D6508">
        <v>5</v>
      </c>
      <c r="E6508">
        <v>2</v>
      </c>
      <c r="F6508" s="15">
        <v>46300</v>
      </c>
      <c r="G6508" s="19" t="s">
        <v>765</v>
      </c>
      <c r="H6508">
        <v>4</v>
      </c>
      <c r="I6508">
        <v>2026</v>
      </c>
      <c r="J6508">
        <v>10</v>
      </c>
      <c r="K6508" s="19" t="s">
        <v>282</v>
      </c>
      <c r="L6508" s="19" t="s">
        <v>567</v>
      </c>
      <c r="M6508" s="19" t="s">
        <v>6</v>
      </c>
      <c r="N6508" t="b">
        <v>0</v>
      </c>
      <c r="O6508">
        <v>1</v>
      </c>
      <c r="P6508">
        <v>0</v>
      </c>
      <c r="Q6508">
        <v>0</v>
      </c>
      <c r="R6508">
        <v>0</v>
      </c>
    </row>
    <row r="6509" spans="1:18" x14ac:dyDescent="0.45">
      <c r="A6509" s="19" t="s">
        <v>567</v>
      </c>
      <c r="B6509" s="19" t="s">
        <v>6</v>
      </c>
      <c r="C6509">
        <v>4</v>
      </c>
      <c r="D6509">
        <v>5</v>
      </c>
      <c r="E6509">
        <v>2</v>
      </c>
      <c r="F6509" s="15">
        <v>46300</v>
      </c>
      <c r="G6509" s="19" t="s">
        <v>765</v>
      </c>
      <c r="H6509">
        <v>4</v>
      </c>
      <c r="I6509">
        <v>2026</v>
      </c>
      <c r="J6509">
        <v>10</v>
      </c>
      <c r="K6509" s="19" t="s">
        <v>282</v>
      </c>
      <c r="L6509" s="19" t="s">
        <v>41</v>
      </c>
      <c r="M6509" s="19" t="s">
        <v>6</v>
      </c>
      <c r="N6509" t="b">
        <v>0</v>
      </c>
      <c r="O6509">
        <v>0</v>
      </c>
      <c r="P6509">
        <v>1</v>
      </c>
      <c r="Q6509">
        <v>0</v>
      </c>
      <c r="R6509">
        <v>0</v>
      </c>
    </row>
    <row r="6510" spans="1:18" x14ac:dyDescent="0.45">
      <c r="A6510" s="19" t="s">
        <v>567</v>
      </c>
      <c r="B6510" s="19" t="s">
        <v>6</v>
      </c>
      <c r="C6510">
        <v>4</v>
      </c>
      <c r="D6510">
        <v>5</v>
      </c>
      <c r="E6510">
        <v>2</v>
      </c>
      <c r="F6510" s="15">
        <v>46300</v>
      </c>
      <c r="G6510" s="19" t="s">
        <v>765</v>
      </c>
      <c r="H6510">
        <v>4</v>
      </c>
      <c r="I6510">
        <v>2026</v>
      </c>
      <c r="J6510">
        <v>10</v>
      </c>
      <c r="K6510" s="19" t="s">
        <v>282</v>
      </c>
      <c r="L6510" s="19" t="s">
        <v>10</v>
      </c>
      <c r="M6510" s="19" t="s">
        <v>6</v>
      </c>
      <c r="N6510" t="b">
        <v>0</v>
      </c>
      <c r="O6510">
        <v>0</v>
      </c>
      <c r="P6510">
        <v>1</v>
      </c>
      <c r="Q6510">
        <v>0</v>
      </c>
      <c r="R6510">
        <v>0</v>
      </c>
    </row>
    <row r="6511" spans="1:18" x14ac:dyDescent="0.45">
      <c r="A6511" s="19" t="s">
        <v>567</v>
      </c>
      <c r="B6511" s="19" t="s">
        <v>6</v>
      </c>
      <c r="C6511">
        <v>4</v>
      </c>
      <c r="D6511">
        <v>5</v>
      </c>
      <c r="E6511">
        <v>2</v>
      </c>
      <c r="F6511" s="15">
        <v>46300</v>
      </c>
      <c r="G6511" s="19" t="s">
        <v>765</v>
      </c>
      <c r="H6511">
        <v>4</v>
      </c>
      <c r="I6511">
        <v>2026</v>
      </c>
      <c r="J6511">
        <v>10</v>
      </c>
      <c r="K6511" s="19" t="s">
        <v>282</v>
      </c>
      <c r="L6511" s="19" t="s">
        <v>19</v>
      </c>
      <c r="M6511" s="19" t="s">
        <v>8</v>
      </c>
      <c r="N6511" t="b">
        <v>0</v>
      </c>
      <c r="O6511">
        <v>0</v>
      </c>
      <c r="P6511">
        <v>1</v>
      </c>
      <c r="Q6511">
        <v>0</v>
      </c>
      <c r="R6511">
        <v>1</v>
      </c>
    </row>
    <row r="6512" spans="1:18" x14ac:dyDescent="0.45">
      <c r="A6512" s="19" t="s">
        <v>51</v>
      </c>
      <c r="B6512" s="19" t="s">
        <v>6</v>
      </c>
      <c r="C6512">
        <v>1</v>
      </c>
      <c r="D6512">
        <v>6</v>
      </c>
      <c r="E6512">
        <v>2</v>
      </c>
      <c r="F6512" s="15">
        <v>46300</v>
      </c>
      <c r="G6512" s="19" t="s">
        <v>766</v>
      </c>
      <c r="H6512">
        <v>4</v>
      </c>
      <c r="I6512">
        <v>2026</v>
      </c>
      <c r="J6512">
        <v>10</v>
      </c>
      <c r="K6512" s="19" t="s">
        <v>282</v>
      </c>
      <c r="L6512" s="19" t="s">
        <v>609</v>
      </c>
      <c r="M6512" s="19" t="s">
        <v>8</v>
      </c>
      <c r="N6512" t="b">
        <v>0</v>
      </c>
      <c r="O6512">
        <v>0</v>
      </c>
      <c r="P6512">
        <v>1</v>
      </c>
      <c r="Q6512">
        <v>0</v>
      </c>
      <c r="R6512">
        <v>1</v>
      </c>
    </row>
    <row r="6513" spans="1:18" x14ac:dyDescent="0.45">
      <c r="A6513" s="19" t="s">
        <v>51</v>
      </c>
      <c r="B6513" s="19" t="s">
        <v>6</v>
      </c>
      <c r="C6513">
        <v>1</v>
      </c>
      <c r="D6513">
        <v>6</v>
      </c>
      <c r="E6513">
        <v>2</v>
      </c>
      <c r="F6513" s="15">
        <v>46300</v>
      </c>
      <c r="G6513" s="19" t="s">
        <v>766</v>
      </c>
      <c r="H6513">
        <v>4</v>
      </c>
      <c r="I6513">
        <v>2026</v>
      </c>
      <c r="J6513">
        <v>10</v>
      </c>
      <c r="K6513" s="19" t="s">
        <v>282</v>
      </c>
      <c r="L6513" s="19" t="s">
        <v>734</v>
      </c>
      <c r="M6513" s="19" t="s">
        <v>6</v>
      </c>
      <c r="N6513" t="b">
        <v>0</v>
      </c>
      <c r="O6513">
        <v>0</v>
      </c>
      <c r="P6513">
        <v>1</v>
      </c>
      <c r="Q6513">
        <v>0</v>
      </c>
      <c r="R6513">
        <v>0</v>
      </c>
    </row>
    <row r="6514" spans="1:18" x14ac:dyDescent="0.45">
      <c r="A6514" s="19" t="s">
        <v>51</v>
      </c>
      <c r="B6514" s="19" t="s">
        <v>6</v>
      </c>
      <c r="C6514">
        <v>1</v>
      </c>
      <c r="D6514">
        <v>6</v>
      </c>
      <c r="E6514">
        <v>2</v>
      </c>
      <c r="F6514" s="15">
        <v>46300</v>
      </c>
      <c r="G6514" s="19" t="s">
        <v>766</v>
      </c>
      <c r="H6514">
        <v>4</v>
      </c>
      <c r="I6514">
        <v>2026</v>
      </c>
      <c r="J6514">
        <v>10</v>
      </c>
      <c r="K6514" s="19" t="s">
        <v>282</v>
      </c>
      <c r="L6514" s="19" t="s">
        <v>433</v>
      </c>
      <c r="M6514" s="19" t="s">
        <v>6</v>
      </c>
      <c r="N6514" t="b">
        <v>0</v>
      </c>
      <c r="O6514">
        <v>0</v>
      </c>
      <c r="P6514">
        <v>1</v>
      </c>
      <c r="Q6514">
        <v>0</v>
      </c>
      <c r="R6514">
        <v>0</v>
      </c>
    </row>
    <row r="6515" spans="1:18" x14ac:dyDescent="0.45">
      <c r="A6515" s="19" t="s">
        <v>609</v>
      </c>
      <c r="B6515" s="19" t="s">
        <v>8</v>
      </c>
      <c r="C6515">
        <v>2</v>
      </c>
      <c r="D6515">
        <v>6</v>
      </c>
      <c r="E6515">
        <v>2</v>
      </c>
      <c r="F6515" s="15">
        <v>46300</v>
      </c>
      <c r="G6515" s="19" t="s">
        <v>766</v>
      </c>
      <c r="H6515">
        <v>4</v>
      </c>
      <c r="I6515">
        <v>2026</v>
      </c>
      <c r="J6515">
        <v>10</v>
      </c>
      <c r="K6515" s="19" t="s">
        <v>282</v>
      </c>
      <c r="L6515" s="19" t="s">
        <v>51</v>
      </c>
      <c r="M6515" s="19" t="s">
        <v>6</v>
      </c>
      <c r="N6515" t="b">
        <v>0</v>
      </c>
      <c r="O6515">
        <v>1</v>
      </c>
      <c r="P6515">
        <v>0</v>
      </c>
      <c r="Q6515">
        <v>0</v>
      </c>
      <c r="R6515">
        <v>0</v>
      </c>
    </row>
    <row r="6516" spans="1:18" x14ac:dyDescent="0.45">
      <c r="A6516" s="19" t="s">
        <v>609</v>
      </c>
      <c r="B6516" s="19" t="s">
        <v>8</v>
      </c>
      <c r="C6516">
        <v>2</v>
      </c>
      <c r="D6516">
        <v>6</v>
      </c>
      <c r="E6516">
        <v>2</v>
      </c>
      <c r="F6516" s="15">
        <v>46300</v>
      </c>
      <c r="G6516" s="19" t="s">
        <v>766</v>
      </c>
      <c r="H6516">
        <v>4</v>
      </c>
      <c r="I6516">
        <v>2026</v>
      </c>
      <c r="J6516">
        <v>10</v>
      </c>
      <c r="K6516" s="19" t="s">
        <v>282</v>
      </c>
      <c r="L6516" s="19" t="s">
        <v>734</v>
      </c>
      <c r="M6516" s="19" t="s">
        <v>6</v>
      </c>
      <c r="N6516" t="b">
        <v>0</v>
      </c>
      <c r="O6516">
        <v>1</v>
      </c>
      <c r="P6516">
        <v>0</v>
      </c>
      <c r="Q6516">
        <v>0</v>
      </c>
      <c r="R6516">
        <v>0</v>
      </c>
    </row>
    <row r="6517" spans="1:18" x14ac:dyDescent="0.45">
      <c r="A6517" s="19" t="s">
        <v>609</v>
      </c>
      <c r="B6517" s="19" t="s">
        <v>8</v>
      </c>
      <c r="C6517">
        <v>2</v>
      </c>
      <c r="D6517">
        <v>6</v>
      </c>
      <c r="E6517">
        <v>2</v>
      </c>
      <c r="F6517" s="15">
        <v>46300</v>
      </c>
      <c r="G6517" s="19" t="s">
        <v>766</v>
      </c>
      <c r="H6517">
        <v>4</v>
      </c>
      <c r="I6517">
        <v>2026</v>
      </c>
      <c r="J6517">
        <v>10</v>
      </c>
      <c r="K6517" s="19" t="s">
        <v>282</v>
      </c>
      <c r="L6517" s="19" t="s">
        <v>433</v>
      </c>
      <c r="M6517" s="19" t="s">
        <v>6</v>
      </c>
      <c r="N6517" t="b">
        <v>0</v>
      </c>
      <c r="O6517">
        <v>1</v>
      </c>
      <c r="P6517">
        <v>0</v>
      </c>
      <c r="Q6517">
        <v>0</v>
      </c>
      <c r="R6517">
        <v>0</v>
      </c>
    </row>
    <row r="6518" spans="1:18" x14ac:dyDescent="0.45">
      <c r="A6518" s="19" t="s">
        <v>734</v>
      </c>
      <c r="B6518" s="19" t="s">
        <v>6</v>
      </c>
      <c r="C6518">
        <v>3</v>
      </c>
      <c r="D6518">
        <v>6</v>
      </c>
      <c r="E6518">
        <v>2</v>
      </c>
      <c r="F6518" s="15">
        <v>46300</v>
      </c>
      <c r="G6518" s="19" t="s">
        <v>766</v>
      </c>
      <c r="H6518">
        <v>4</v>
      </c>
      <c r="I6518">
        <v>2026</v>
      </c>
      <c r="J6518">
        <v>10</v>
      </c>
      <c r="K6518" s="19" t="s">
        <v>282</v>
      </c>
      <c r="L6518" s="19" t="s">
        <v>51</v>
      </c>
      <c r="M6518" s="19" t="s">
        <v>6</v>
      </c>
      <c r="N6518" t="b">
        <v>0</v>
      </c>
      <c r="O6518">
        <v>0</v>
      </c>
      <c r="P6518">
        <v>1</v>
      </c>
      <c r="Q6518">
        <v>0</v>
      </c>
      <c r="R6518">
        <v>0</v>
      </c>
    </row>
    <row r="6519" spans="1:18" x14ac:dyDescent="0.45">
      <c r="A6519" s="19" t="s">
        <v>734</v>
      </c>
      <c r="B6519" s="19" t="s">
        <v>6</v>
      </c>
      <c r="C6519">
        <v>3</v>
      </c>
      <c r="D6519">
        <v>6</v>
      </c>
      <c r="E6519">
        <v>2</v>
      </c>
      <c r="F6519" s="15">
        <v>46300</v>
      </c>
      <c r="G6519" s="19" t="s">
        <v>766</v>
      </c>
      <c r="H6519">
        <v>4</v>
      </c>
      <c r="I6519">
        <v>2026</v>
      </c>
      <c r="J6519">
        <v>10</v>
      </c>
      <c r="K6519" s="19" t="s">
        <v>282</v>
      </c>
      <c r="L6519" s="19" t="s">
        <v>609</v>
      </c>
      <c r="M6519" s="19" t="s">
        <v>8</v>
      </c>
      <c r="N6519" t="b">
        <v>0</v>
      </c>
      <c r="O6519">
        <v>0</v>
      </c>
      <c r="P6519">
        <v>1</v>
      </c>
      <c r="Q6519">
        <v>0</v>
      </c>
      <c r="R6519">
        <v>1</v>
      </c>
    </row>
    <row r="6520" spans="1:18" x14ac:dyDescent="0.45">
      <c r="A6520" s="19" t="s">
        <v>734</v>
      </c>
      <c r="B6520" s="19" t="s">
        <v>6</v>
      </c>
      <c r="C6520">
        <v>3</v>
      </c>
      <c r="D6520">
        <v>6</v>
      </c>
      <c r="E6520">
        <v>2</v>
      </c>
      <c r="F6520" s="15">
        <v>46300</v>
      </c>
      <c r="G6520" s="19" t="s">
        <v>766</v>
      </c>
      <c r="H6520">
        <v>4</v>
      </c>
      <c r="I6520">
        <v>2026</v>
      </c>
      <c r="J6520">
        <v>10</v>
      </c>
      <c r="K6520" s="19" t="s">
        <v>282</v>
      </c>
      <c r="L6520" s="19" t="s">
        <v>433</v>
      </c>
      <c r="M6520" s="19" t="s">
        <v>6</v>
      </c>
      <c r="N6520" t="b">
        <v>0</v>
      </c>
      <c r="O6520">
        <v>0</v>
      </c>
      <c r="P6520">
        <v>1</v>
      </c>
      <c r="Q6520">
        <v>0</v>
      </c>
      <c r="R6520">
        <v>0</v>
      </c>
    </row>
    <row r="6521" spans="1:18" x14ac:dyDescent="0.45">
      <c r="A6521" s="19" t="s">
        <v>433</v>
      </c>
      <c r="B6521" s="19" t="s">
        <v>6</v>
      </c>
      <c r="C6521">
        <v>4</v>
      </c>
      <c r="D6521">
        <v>6</v>
      </c>
      <c r="E6521">
        <v>2</v>
      </c>
      <c r="F6521" s="15">
        <v>46300</v>
      </c>
      <c r="G6521" s="19" t="s">
        <v>766</v>
      </c>
      <c r="H6521">
        <v>4</v>
      </c>
      <c r="I6521">
        <v>2026</v>
      </c>
      <c r="J6521">
        <v>10</v>
      </c>
      <c r="K6521" s="19" t="s">
        <v>282</v>
      </c>
      <c r="L6521" s="19" t="s">
        <v>51</v>
      </c>
      <c r="M6521" s="19" t="s">
        <v>6</v>
      </c>
      <c r="N6521" t="b">
        <v>0</v>
      </c>
      <c r="O6521">
        <v>0</v>
      </c>
      <c r="P6521">
        <v>1</v>
      </c>
      <c r="Q6521">
        <v>0</v>
      </c>
      <c r="R6521">
        <v>0</v>
      </c>
    </row>
    <row r="6522" spans="1:18" x14ac:dyDescent="0.45">
      <c r="A6522" s="19" t="s">
        <v>433</v>
      </c>
      <c r="B6522" s="19" t="s">
        <v>6</v>
      </c>
      <c r="C6522">
        <v>4</v>
      </c>
      <c r="D6522">
        <v>6</v>
      </c>
      <c r="E6522">
        <v>2</v>
      </c>
      <c r="F6522" s="15">
        <v>46300</v>
      </c>
      <c r="G6522" s="19" t="s">
        <v>766</v>
      </c>
      <c r="H6522">
        <v>4</v>
      </c>
      <c r="I6522">
        <v>2026</v>
      </c>
      <c r="J6522">
        <v>10</v>
      </c>
      <c r="K6522" s="19" t="s">
        <v>282</v>
      </c>
      <c r="L6522" s="19" t="s">
        <v>609</v>
      </c>
      <c r="M6522" s="19" t="s">
        <v>8</v>
      </c>
      <c r="N6522" t="b">
        <v>0</v>
      </c>
      <c r="O6522">
        <v>0</v>
      </c>
      <c r="P6522">
        <v>1</v>
      </c>
      <c r="Q6522">
        <v>0</v>
      </c>
      <c r="R6522">
        <v>1</v>
      </c>
    </row>
    <row r="6523" spans="1:18" x14ac:dyDescent="0.45">
      <c r="A6523" s="19" t="s">
        <v>433</v>
      </c>
      <c r="B6523" s="19" t="s">
        <v>6</v>
      </c>
      <c r="C6523">
        <v>4</v>
      </c>
      <c r="D6523">
        <v>6</v>
      </c>
      <c r="E6523">
        <v>2</v>
      </c>
      <c r="F6523" s="15">
        <v>46300</v>
      </c>
      <c r="G6523" s="19" t="s">
        <v>766</v>
      </c>
      <c r="H6523">
        <v>4</v>
      </c>
      <c r="I6523">
        <v>2026</v>
      </c>
      <c r="J6523">
        <v>10</v>
      </c>
      <c r="K6523" s="19" t="s">
        <v>282</v>
      </c>
      <c r="L6523" s="19" t="s">
        <v>734</v>
      </c>
      <c r="M6523" s="19" t="s">
        <v>6</v>
      </c>
      <c r="N6523" t="b">
        <v>0</v>
      </c>
      <c r="O6523">
        <v>0</v>
      </c>
      <c r="P6523">
        <v>1</v>
      </c>
      <c r="Q6523">
        <v>0</v>
      </c>
      <c r="R652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2026-10-06T14:14:58Z</dcterms:modified>
</cp:coreProperties>
</file>