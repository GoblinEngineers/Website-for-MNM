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D9033CF1-3615-417D-BB76-F1F473656EB8}"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Matchups!$A$1:$R$6295</definedName>
    <definedName name="Slicer_Month">#N/A</definedName>
    <definedName name="Slicer_Year">#N/A</definedName>
  </definedNames>
  <calcPr calcId="191029"/>
  <pivotCaches>
    <pivotCache cacheId="7"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2" l="1"/>
  <c r="H45" i="2"/>
  <c r="I45" i="2"/>
  <c r="K45" i="2"/>
  <c r="L45" i="2"/>
  <c r="M45" i="2"/>
  <c r="G2207" i="1"/>
  <c r="I2207" i="1"/>
  <c r="J2207" i="1"/>
  <c r="K2207" i="1"/>
  <c r="G2206" i="1"/>
  <c r="I2206" i="1"/>
  <c r="J2206" i="1"/>
  <c r="K2206" i="1"/>
  <c r="G2205" i="1"/>
  <c r="I2205" i="1"/>
  <c r="J2205" i="1"/>
  <c r="K2205" i="1"/>
  <c r="G2204" i="1"/>
  <c r="I2204" i="1"/>
  <c r="J2204" i="1"/>
  <c r="K2204" i="1"/>
  <c r="G2203" i="1"/>
  <c r="I2203" i="1"/>
  <c r="J2203" i="1"/>
  <c r="K2203" i="1"/>
  <c r="G2202" i="1"/>
  <c r="I2202" i="1"/>
  <c r="J2202" i="1"/>
  <c r="K2202" i="1"/>
  <c r="G2201" i="1"/>
  <c r="I2201" i="1"/>
  <c r="J2201" i="1"/>
  <c r="K2201" i="1"/>
  <c r="G2200" i="1"/>
  <c r="I2200" i="1"/>
  <c r="J2200" i="1"/>
  <c r="K2200" i="1"/>
  <c r="G2199" i="1"/>
  <c r="I2199" i="1"/>
  <c r="J2199" i="1"/>
  <c r="K2199" i="1"/>
  <c r="G2198" i="1"/>
  <c r="I2198" i="1"/>
  <c r="J2198" i="1"/>
  <c r="K2198" i="1"/>
  <c r="G2197" i="1"/>
  <c r="I2197" i="1"/>
  <c r="J2197" i="1"/>
  <c r="K2197" i="1"/>
  <c r="G2196" i="1"/>
  <c r="I2196" i="1"/>
  <c r="J2196" i="1"/>
  <c r="K2196" i="1"/>
  <c r="G2195" i="1"/>
  <c r="I2195" i="1"/>
  <c r="J2195" i="1"/>
  <c r="K2195" i="1"/>
  <c r="G2194" i="1"/>
  <c r="I2194" i="1"/>
  <c r="J2194" i="1"/>
  <c r="K2194" i="1"/>
  <c r="G2193" i="1"/>
  <c r="I2193" i="1"/>
  <c r="J2193" i="1"/>
  <c r="K2193" i="1"/>
  <c r="G2192" i="1"/>
  <c r="I2192" i="1"/>
  <c r="J2192" i="1"/>
  <c r="K2192" i="1"/>
  <c r="G2191" i="1"/>
  <c r="I2191" i="1"/>
  <c r="J2191" i="1"/>
  <c r="K2191" i="1"/>
  <c r="G2190" i="1"/>
  <c r="I2190" i="1"/>
  <c r="J2190" i="1"/>
  <c r="K2190" i="1"/>
  <c r="G2189" i="1"/>
  <c r="I2189" i="1"/>
  <c r="J2189" i="1"/>
  <c r="K2189" i="1"/>
  <c r="G2188" i="1"/>
  <c r="I2188" i="1"/>
  <c r="J2188" i="1"/>
  <c r="K2188" i="1"/>
  <c r="G2187" i="1"/>
  <c r="I2187" i="1"/>
  <c r="J2187" i="1"/>
  <c r="K2187" i="1"/>
  <c r="G2186" i="1"/>
  <c r="I2186" i="1"/>
  <c r="J2186" i="1"/>
  <c r="K2186" i="1"/>
  <c r="G2185" i="1"/>
  <c r="I2185" i="1"/>
  <c r="J2185" i="1"/>
  <c r="K2185" i="1"/>
  <c r="G2184" i="1"/>
  <c r="I2184" i="1"/>
  <c r="J2184" i="1"/>
  <c r="K2184" i="1"/>
  <c r="G2183" i="1"/>
  <c r="I2183" i="1"/>
  <c r="J2183" i="1"/>
  <c r="K2183" i="1"/>
  <c r="G2182" i="1"/>
  <c r="I2182" i="1"/>
  <c r="J2182" i="1"/>
  <c r="K2182" i="1"/>
  <c r="G2181" i="1"/>
  <c r="I2181" i="1"/>
  <c r="J2181" i="1"/>
  <c r="K2181" i="1"/>
  <c r="G2180" i="1"/>
  <c r="I2180" i="1"/>
  <c r="J2180" i="1"/>
  <c r="K2180" i="1"/>
  <c r="G2179" i="1"/>
  <c r="I2179" i="1"/>
  <c r="J2179" i="1"/>
  <c r="K2179" i="1"/>
  <c r="G2178" i="1"/>
  <c r="I2178" i="1"/>
  <c r="J2178" i="1"/>
  <c r="K2178" i="1"/>
  <c r="G2177" i="1"/>
  <c r="I2177" i="1"/>
  <c r="J2177" i="1"/>
  <c r="K2177" i="1"/>
  <c r="G2176" i="1"/>
  <c r="I2176" i="1"/>
  <c r="J2176" i="1"/>
  <c r="K2176" i="1"/>
  <c r="G2175" i="1"/>
  <c r="I2175" i="1"/>
  <c r="J2175" i="1"/>
  <c r="K2175" i="1"/>
  <c r="G2174" i="1"/>
  <c r="I2174" i="1"/>
  <c r="J2174" i="1"/>
  <c r="K2174" i="1"/>
  <c r="G2173" i="1"/>
  <c r="I2173" i="1"/>
  <c r="J2173" i="1"/>
  <c r="K2173" i="1"/>
  <c r="G2172" i="1"/>
  <c r="I2172" i="1"/>
  <c r="J2172" i="1"/>
  <c r="K2172" i="1"/>
  <c r="G2171" i="1"/>
  <c r="I2171" i="1"/>
  <c r="J2171" i="1"/>
  <c r="K2171" i="1"/>
  <c r="G2170" i="1"/>
  <c r="I2170" i="1"/>
  <c r="J2170" i="1"/>
  <c r="K2170" i="1"/>
  <c r="G2169" i="1"/>
  <c r="I2169" i="1"/>
  <c r="J2169" i="1"/>
  <c r="K2169" i="1"/>
  <c r="G2168" i="1"/>
  <c r="I2168" i="1"/>
  <c r="J2168" i="1"/>
  <c r="K2168" i="1"/>
  <c r="G2167" i="1"/>
  <c r="I2167" i="1"/>
  <c r="J2167" i="1"/>
  <c r="K2167" i="1"/>
  <c r="G2166" i="1"/>
  <c r="I2166" i="1"/>
  <c r="J2166" i="1"/>
  <c r="K2166" i="1"/>
  <c r="G2165" i="1"/>
  <c r="I2165" i="1"/>
  <c r="J2165" i="1"/>
  <c r="K2165" i="1"/>
  <c r="G2164" i="1"/>
  <c r="I2164" i="1"/>
  <c r="J2164" i="1"/>
  <c r="K2164" i="1"/>
  <c r="G2163" i="1"/>
  <c r="I2163" i="1"/>
  <c r="J2163" i="1"/>
  <c r="K2163" i="1"/>
  <c r="G2162" i="1"/>
  <c r="I2162" i="1"/>
  <c r="J2162" i="1"/>
  <c r="K2162" i="1"/>
  <c r="G91" i="2"/>
  <c r="H91" i="2"/>
  <c r="I91" i="2"/>
  <c r="K91" i="2"/>
  <c r="L91" i="2"/>
  <c r="M91"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4" i="2"/>
  <c r="H14" i="2"/>
  <c r="I14" i="2"/>
  <c r="K14" i="2"/>
  <c r="L14" i="2"/>
  <c r="M14" i="2"/>
  <c r="G106" i="2"/>
  <c r="H106" i="2"/>
  <c r="I106" i="2"/>
  <c r="K106" i="2"/>
  <c r="L106" i="2"/>
  <c r="M106" i="2"/>
  <c r="G102" i="2"/>
  <c r="H102" i="2"/>
  <c r="I102" i="2"/>
  <c r="K102" i="2"/>
  <c r="L102" i="2"/>
  <c r="M102" i="2"/>
  <c r="G101" i="2"/>
  <c r="H101" i="2"/>
  <c r="I101" i="2"/>
  <c r="K101" i="2"/>
  <c r="L101" i="2"/>
  <c r="M101" i="2"/>
  <c r="G100" i="2"/>
  <c r="H100" i="2"/>
  <c r="I100" i="2"/>
  <c r="K100" i="2"/>
  <c r="L100" i="2"/>
  <c r="M100" i="2"/>
  <c r="G107" i="2"/>
  <c r="H107" i="2"/>
  <c r="I107" i="2"/>
  <c r="K107" i="2"/>
  <c r="L107" i="2"/>
  <c r="M107" i="2"/>
  <c r="G82" i="2"/>
  <c r="H82" i="2"/>
  <c r="I82" i="2"/>
  <c r="K82" i="2"/>
  <c r="L82" i="2"/>
  <c r="M82"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105" i="2"/>
  <c r="H105" i="2"/>
  <c r="I105" i="2"/>
  <c r="K105" i="2"/>
  <c r="L105" i="2"/>
  <c r="M105" i="2"/>
  <c r="G56" i="2"/>
  <c r="H56" i="2"/>
  <c r="I56" i="2"/>
  <c r="K56" i="2"/>
  <c r="L56" i="2"/>
  <c r="M56" i="2"/>
  <c r="G20" i="2"/>
  <c r="H20" i="2"/>
  <c r="I20" i="2"/>
  <c r="K20" i="2"/>
  <c r="L20" i="2"/>
  <c r="M20" i="2"/>
  <c r="G94" i="2"/>
  <c r="H94" i="2"/>
  <c r="I94" i="2"/>
  <c r="K94" i="2"/>
  <c r="L94" i="2"/>
  <c r="M94" i="2"/>
  <c r="G90" i="2"/>
  <c r="H90" i="2"/>
  <c r="I90" i="2"/>
  <c r="K90" i="2"/>
  <c r="L90" i="2"/>
  <c r="M90"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0" i="2"/>
  <c r="H10" i="2"/>
  <c r="I10" i="2"/>
  <c r="K10" i="2"/>
  <c r="L10" i="2"/>
  <c r="M10"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92" i="2"/>
  <c r="H92" i="2"/>
  <c r="I92" i="2"/>
  <c r="K92" i="2"/>
  <c r="L92" i="2"/>
  <c r="M92"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6" i="2"/>
  <c r="H96" i="2"/>
  <c r="I96" i="2"/>
  <c r="K96" i="2"/>
  <c r="L96" i="2"/>
  <c r="M96"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9" i="2"/>
  <c r="L65" i="2"/>
  <c r="G62" i="2"/>
  <c r="M54" i="2"/>
  <c r="M68" i="2"/>
  <c r="M71" i="2"/>
  <c r="I67" i="2"/>
  <c r="M95" i="2"/>
  <c r="K69" i="2"/>
  <c r="M6" i="2"/>
  <c r="G95" i="2"/>
  <c r="K62" i="2"/>
  <c r="K35" i="2"/>
  <c r="M79" i="2"/>
  <c r="H70" i="2"/>
  <c r="I31" i="2"/>
  <c r="I5" i="2"/>
  <c r="H18" i="2"/>
  <c r="M77" i="2"/>
  <c r="H5" i="2"/>
  <c r="M7" i="2"/>
  <c r="M44" i="2"/>
  <c r="M5" i="2"/>
  <c r="H58" i="2"/>
  <c r="G75" i="2"/>
  <c r="L54" i="2"/>
  <c r="K65" i="2"/>
  <c r="G72" i="2"/>
  <c r="K79" i="2"/>
  <c r="G18" i="2"/>
  <c r="L83" i="2"/>
  <c r="K23" i="2"/>
  <c r="H60" i="2"/>
  <c r="I12"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8" i="2"/>
  <c r="I7" i="2"/>
  <c r="I65" i="2"/>
  <c r="L37" i="2"/>
  <c r="M37" i="2"/>
  <c r="M70" i="2"/>
  <c r="G68" i="2"/>
  <c r="G60" i="2"/>
  <c r="L7" i="2"/>
  <c r="L63" i="2"/>
  <c r="M63" i="2"/>
  <c r="H15" i="2"/>
  <c r="H31" i="2"/>
  <c r="M40" i="2"/>
  <c r="M62" i="2"/>
  <c r="G67" i="2"/>
  <c r="H64" i="2"/>
  <c r="L71" i="2"/>
  <c r="H55" i="2"/>
  <c r="L50" i="2"/>
  <c r="H74" i="2"/>
  <c r="K63" i="2"/>
  <c r="G73" i="2"/>
  <c r="K67" i="2"/>
  <c r="G74" i="2"/>
  <c r="K12" i="2"/>
  <c r="I64" i="2"/>
  <c r="L31" i="2"/>
  <c r="H103" i="2"/>
  <c r="H40" i="2"/>
  <c r="L69" i="2"/>
  <c r="M65" i="2"/>
  <c r="H35" i="2"/>
  <c r="G63" i="2"/>
  <c r="H7" i="2"/>
  <c r="G65" i="2"/>
  <c r="K77" i="2"/>
  <c r="I76" i="2"/>
  <c r="I59" i="2"/>
  <c r="M31" i="2"/>
  <c r="H62" i="2"/>
  <c r="M72" i="2"/>
  <c r="I98" i="2"/>
  <c r="I57" i="2"/>
  <c r="H79" i="2"/>
  <c r="G69" i="2"/>
  <c r="I44" i="2"/>
  <c r="H67" i="2"/>
  <c r="I60" i="2"/>
  <c r="M67" i="2"/>
  <c r="H37" i="2"/>
  <c r="L15" i="2"/>
  <c r="L53" i="2"/>
  <c r="G44" i="2"/>
  <c r="L22" i="2"/>
  <c r="I75" i="2"/>
  <c r="G53" i="2"/>
  <c r="G76" i="2"/>
  <c r="L5" i="2"/>
  <c r="L48" i="2"/>
  <c r="H6" i="2"/>
  <c r="I79" i="2"/>
  <c r="L18" i="2"/>
  <c r="G58" i="2"/>
  <c r="G98" i="2"/>
  <c r="M12" i="2"/>
  <c r="K98" i="2"/>
  <c r="I95" i="2"/>
  <c r="M74" i="2"/>
  <c r="G5" i="2"/>
  <c r="K73" i="2"/>
  <c r="I69" i="2"/>
  <c r="M50" i="2"/>
  <c r="G22" i="2"/>
  <c r="I77" i="2"/>
  <c r="K71" i="2"/>
  <c r="L78" i="2"/>
  <c r="M55" i="2"/>
  <c r="H50" i="2"/>
  <c r="H95" i="2"/>
  <c r="G71" i="2"/>
  <c r="I70" i="2"/>
  <c r="M9" i="2"/>
  <c r="I83" i="2"/>
  <c r="K5" i="2"/>
  <c r="G70" i="2"/>
  <c r="I52" i="2"/>
  <c r="G7" i="2"/>
  <c r="H53" i="2"/>
  <c r="H73" i="2"/>
  <c r="L98" i="2"/>
  <c r="M78" i="2"/>
  <c r="M23" i="2"/>
  <c r="L62" i="2"/>
  <c r="L68" i="2"/>
  <c r="K55" i="2"/>
  <c r="M83" i="2"/>
  <c r="L64" i="2"/>
  <c r="G9" i="2"/>
  <c r="M35" i="2"/>
  <c r="L72" i="2"/>
  <c r="L67" i="2"/>
  <c r="I62" i="2"/>
  <c r="K52" i="2"/>
  <c r="G103" i="2"/>
  <c r="G83" i="2"/>
  <c r="G15" i="2"/>
  <c r="M22" i="2"/>
  <c r="M61" i="2"/>
  <c r="G57" i="2"/>
  <c r="L103" i="2"/>
  <c r="K61" i="2"/>
  <c r="G54" i="2"/>
  <c r="L59" i="2"/>
  <c r="K40" i="2"/>
  <c r="L57" i="2"/>
  <c r="I9" i="2"/>
  <c r="G78" i="2"/>
  <c r="K74" i="2"/>
  <c r="K54" i="2"/>
  <c r="G40" i="2"/>
  <c r="L52" i="2"/>
  <c r="H75" i="2"/>
  <c r="M60" i="2"/>
  <c r="I55" i="2"/>
  <c r="G12" i="2"/>
  <c r="I68" i="2"/>
  <c r="L75" i="2"/>
  <c r="K9" i="2"/>
  <c r="K103" i="2"/>
  <c r="H22" i="2"/>
  <c r="M48" i="2"/>
  <c r="M69" i="2"/>
  <c r="G23" i="2"/>
  <c r="K18" i="2"/>
  <c r="K22" i="2"/>
  <c r="H54" i="2"/>
  <c r="M98" i="2"/>
  <c r="L40" i="2"/>
  <c r="I53" i="2"/>
  <c r="I48" i="2"/>
  <c r="K57" i="2"/>
  <c r="G55" i="2"/>
  <c r="M18" i="2"/>
  <c r="L44" i="2"/>
  <c r="H65" i="2"/>
  <c r="I103" i="2"/>
  <c r="G79" i="2"/>
  <c r="I74" i="2"/>
  <c r="L73" i="2"/>
  <c r="K50" i="2"/>
  <c r="H71" i="2"/>
  <c r="L61" i="2"/>
  <c r="G6" i="2"/>
  <c r="K6" i="2"/>
  <c r="M57" i="2"/>
  <c r="G31" i="2"/>
  <c r="L70" i="2"/>
  <c r="G64" i="2"/>
  <c r="G37" i="2"/>
  <c r="M64" i="2"/>
  <c r="K44" i="2"/>
  <c r="M59" i="2"/>
  <c r="K37" i="2"/>
  <c r="I40" i="2"/>
  <c r="L35" i="2"/>
  <c r="H9" i="2"/>
  <c r="H63" i="2"/>
  <c r="I23" i="2"/>
  <c r="H12" i="2"/>
  <c r="M58" i="2"/>
  <c r="I22" i="2"/>
  <c r="K75" i="2"/>
  <c r="K15" i="2"/>
  <c r="K70" i="2"/>
  <c r="L6" i="2"/>
  <c r="H44" i="2"/>
  <c r="K83" i="2"/>
  <c r="M52" i="2"/>
  <c r="G59" i="2"/>
  <c r="H61" i="2"/>
  <c r="H69" i="2"/>
  <c r="K60" i="2"/>
  <c r="H83" i="2"/>
  <c r="I18" i="2"/>
  <c r="H78" i="2"/>
  <c r="L95" i="2"/>
  <c r="I58" i="2"/>
  <c r="H23" i="2"/>
  <c r="I15" i="2"/>
  <c r="I72" i="2"/>
  <c r="G35" i="2"/>
  <c r="K95" i="2"/>
  <c r="K58" i="2"/>
  <c r="K59" i="2"/>
  <c r="M75" i="2"/>
  <c r="K72" i="2"/>
  <c r="K48" i="2"/>
  <c r="K53" i="2"/>
  <c r="K31" i="2"/>
  <c r="M53" i="2"/>
  <c r="K68" i="2"/>
  <c r="G52" i="2"/>
  <c r="K76" i="2"/>
  <c r="I35" i="2"/>
  <c r="J45" i="2" l="1"/>
  <c r="N45" i="2"/>
  <c r="O45" i="2"/>
  <c r="J91" i="2"/>
  <c r="N91" i="2"/>
  <c r="O91" i="2"/>
  <c r="H54" i="14"/>
  <c r="H56" i="14"/>
  <c r="G54" i="14"/>
  <c r="G56" i="14"/>
  <c r="J38" i="2"/>
  <c r="N38" i="2"/>
  <c r="O38" i="2" s="1"/>
  <c r="J104" i="2"/>
  <c r="N104" i="2"/>
  <c r="O104" i="2" s="1"/>
  <c r="J14" i="2"/>
  <c r="N14" i="2"/>
  <c r="O14" i="2" s="1"/>
  <c r="J106" i="2"/>
  <c r="N106" i="2"/>
  <c r="O106" i="2" s="1"/>
  <c r="J102" i="2"/>
  <c r="N102" i="2"/>
  <c r="O102" i="2" s="1"/>
  <c r="J101" i="2"/>
  <c r="N101" i="2"/>
  <c r="O101" i="2" s="1"/>
  <c r="J100" i="2"/>
  <c r="N100" i="2"/>
  <c r="O100" i="2" s="1"/>
  <c r="J107" i="2"/>
  <c r="N107" i="2"/>
  <c r="O107" i="2" s="1"/>
  <c r="J82" i="2"/>
  <c r="N82" i="2"/>
  <c r="O82" i="2" s="1"/>
  <c r="H55" i="14"/>
  <c r="J34" i="2"/>
  <c r="N34" i="2"/>
  <c r="O34" i="2" s="1"/>
  <c r="J105" i="2"/>
  <c r="N105" i="2"/>
  <c r="O105" i="2" s="1"/>
  <c r="J56" i="2"/>
  <c r="N56" i="2"/>
  <c r="O56" i="2" s="1"/>
  <c r="J20" i="2"/>
  <c r="N20" i="2"/>
  <c r="O20" i="2" s="1"/>
  <c r="J94" i="2"/>
  <c r="N94" i="2"/>
  <c r="O94" i="2" s="1"/>
  <c r="J90" i="2"/>
  <c r="N90" i="2"/>
  <c r="O90" i="2" s="1"/>
  <c r="G55" i="14"/>
  <c r="J80" i="2"/>
  <c r="F80" i="2" s="1"/>
  <c r="N80" i="2"/>
  <c r="O80" i="2" s="1"/>
  <c r="J51" i="2"/>
  <c r="F51" i="2" s="1"/>
  <c r="N51" i="2"/>
  <c r="J85" i="2"/>
  <c r="F85" i="2" s="1"/>
  <c r="N85" i="2"/>
  <c r="J84" i="2"/>
  <c r="F84" i="2" s="1"/>
  <c r="N84" i="2"/>
  <c r="O84" i="2" s="1"/>
  <c r="J10" i="2"/>
  <c r="F10" i="2" s="1"/>
  <c r="N10" i="2"/>
  <c r="H53" i="14"/>
  <c r="J92" i="2"/>
  <c r="F92" i="2" s="1"/>
  <c r="N92" i="2"/>
  <c r="J89" i="2"/>
  <c r="N89" i="2"/>
  <c r="O89" i="2" s="1"/>
  <c r="J88" i="2"/>
  <c r="N88" i="2"/>
  <c r="J87" i="2"/>
  <c r="N87" i="2"/>
  <c r="J86" i="2"/>
  <c r="N86" i="2"/>
  <c r="J49" i="2"/>
  <c r="N49" i="2"/>
  <c r="O49" i="2" s="1"/>
  <c r="J47" i="2"/>
  <c r="N47" i="2"/>
  <c r="O47" i="2" s="1"/>
  <c r="J96" i="2"/>
  <c r="N96" i="2"/>
  <c r="J81" i="2"/>
  <c r="N81" i="2"/>
  <c r="O81" i="2" s="1"/>
  <c r="N98" i="2"/>
  <c r="O98" i="2" s="1"/>
  <c r="J98" i="2"/>
  <c r="F98" i="2" s="1"/>
  <c r="H52" i="14"/>
  <c r="N31" i="2"/>
  <c r="O31" i="2" s="1"/>
  <c r="J31" i="2"/>
  <c r="F31" i="2" s="1"/>
  <c r="N9" i="2"/>
  <c r="O9" i="2" s="1"/>
  <c r="J9" i="2"/>
  <c r="F9"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44" i="2"/>
  <c r="O44" i="2" s="1"/>
  <c r="J44" i="2"/>
  <c r="F44"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5" i="2"/>
  <c r="O95" i="2" s="1"/>
  <c r="J95" i="2"/>
  <c r="F95" i="2" s="1"/>
  <c r="N48" i="2"/>
  <c r="O48" i="2" s="1"/>
  <c r="J48" i="2"/>
  <c r="F48" i="2" s="1"/>
  <c r="H51" i="14"/>
  <c r="N35" i="2"/>
  <c r="O35" i="2" s="1"/>
  <c r="J35" i="2"/>
  <c r="F35" i="2" s="1"/>
  <c r="N40" i="2"/>
  <c r="O40" i="2" s="1"/>
  <c r="J40" i="2"/>
  <c r="F40" i="2" s="1"/>
  <c r="H50" i="14"/>
  <c r="H49" i="14"/>
  <c r="H46" i="14"/>
  <c r="N18" i="2"/>
  <c r="O18" i="2" s="1"/>
  <c r="J18" i="2"/>
  <c r="F18" i="2" s="1"/>
  <c r="N37" i="2"/>
  <c r="O37" i="2" s="1"/>
  <c r="J37" i="2"/>
  <c r="F37" i="2" s="1"/>
  <c r="H48" i="14"/>
  <c r="N23" i="2"/>
  <c r="O23" i="2" s="1"/>
  <c r="J23" i="2"/>
  <c r="F23" i="2" s="1"/>
  <c r="N7" i="2"/>
  <c r="O7" i="2" s="1"/>
  <c r="J7" i="2"/>
  <c r="F7" i="2" s="1"/>
  <c r="N83" i="2"/>
  <c r="O83" i="2" s="1"/>
  <c r="J83" i="2"/>
  <c r="F8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2207"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3" i="2"/>
  <c r="L46" i="2"/>
  <c r="K93" i="2"/>
  <c r="I25" i="2"/>
  <c r="C6" i="5"/>
  <c r="H33" i="2"/>
  <c r="G42" i="2"/>
  <c r="M8" i="2"/>
  <c r="M13" i="2"/>
  <c r="M32" i="2"/>
  <c r="I11" i="2"/>
  <c r="G8" i="2"/>
  <c r="H25" i="2"/>
  <c r="K24" i="2"/>
  <c r="G99" i="2"/>
  <c r="M30" i="2"/>
  <c r="L11" i="2"/>
  <c r="M33" i="2"/>
  <c r="L93" i="2"/>
  <c r="L97" i="2"/>
  <c r="L66" i="2"/>
  <c r="H26" i="2"/>
  <c r="G93" i="2"/>
  <c r="I16" i="2"/>
  <c r="H93" i="2"/>
  <c r="I93" i="2"/>
  <c r="G30" i="2"/>
  <c r="M27" i="2"/>
  <c r="I29" i="2"/>
  <c r="L21" i="2"/>
  <c r="K21" i="2"/>
  <c r="C9" i="5"/>
  <c r="K32" i="2"/>
  <c r="H46" i="2"/>
  <c r="I24" i="2"/>
  <c r="G66" i="2"/>
  <c r="H24" i="2"/>
  <c r="H16" i="2"/>
  <c r="K26" i="2"/>
  <c r="L26" i="2"/>
  <c r="H21" i="2"/>
  <c r="K29" i="2"/>
  <c r="G36" i="2"/>
  <c r="I19" i="2"/>
  <c r="H66" i="2"/>
  <c r="M99" i="2"/>
  <c r="L24" i="2"/>
  <c r="L8" i="2"/>
  <c r="M43" i="2"/>
  <c r="M29" i="2"/>
  <c r="G25" i="2"/>
  <c r="K11" i="2"/>
  <c r="K27" i="2"/>
  <c r="I8" i="2"/>
  <c r="G46" i="2"/>
  <c r="M66" i="2"/>
  <c r="H36" i="2"/>
  <c r="K41" i="2"/>
  <c r="I36" i="2"/>
  <c r="I99" i="2"/>
  <c r="C5" i="5"/>
  <c r="I17" i="2"/>
  <c r="M39" i="2"/>
  <c r="G32" i="2"/>
  <c r="G27" i="2"/>
  <c r="G39" i="2"/>
  <c r="I21" i="2"/>
  <c r="M46" i="2"/>
  <c r="K30" i="2"/>
  <c r="I39" i="2"/>
  <c r="G11" i="2"/>
  <c r="H28" i="2"/>
  <c r="L13" i="2"/>
  <c r="G29" i="2"/>
  <c r="M16" i="2"/>
  <c r="L41" i="2"/>
  <c r="L17" i="2"/>
  <c r="G43" i="2"/>
  <c r="I27" i="2"/>
  <c r="L29" i="2"/>
  <c r="K16" i="2"/>
  <c r="I97" i="2"/>
  <c r="M24" i="2"/>
  <c r="G17" i="2"/>
  <c r="M11" i="2"/>
  <c r="H30" i="2"/>
  <c r="G13" i="2"/>
  <c r="H42" i="2"/>
  <c r="G21" i="2"/>
  <c r="M41" i="2"/>
  <c r="K25" i="2"/>
  <c r="M93" i="2"/>
  <c r="L42" i="2"/>
  <c r="H17" i="2"/>
  <c r="H32" i="2"/>
  <c r="I26" i="2"/>
  <c r="K42" i="2"/>
  <c r="M42" i="2"/>
  <c r="H43" i="2"/>
  <c r="L33" i="2"/>
  <c r="I66" i="2"/>
  <c r="C16" i="5"/>
  <c r="I33" i="2"/>
  <c r="I42" i="2"/>
  <c r="M21" i="2"/>
  <c r="K99" i="2"/>
  <c r="K36" i="2"/>
  <c r="I28" i="2"/>
  <c r="K8" i="2"/>
  <c r="H8" i="2"/>
  <c r="H29" i="2"/>
  <c r="L36" i="2"/>
  <c r="H11" i="2"/>
  <c r="M26" i="2"/>
  <c r="C7" i="5"/>
  <c r="K13" i="2"/>
  <c r="C10" i="5"/>
  <c r="G24" i="2"/>
  <c r="K39" i="2"/>
  <c r="I43" i="2"/>
  <c r="H97" i="2"/>
  <c r="G33" i="2"/>
  <c r="L32" i="2"/>
  <c r="K66" i="2"/>
  <c r="G41" i="2"/>
  <c r="L30" i="2"/>
  <c r="H27" i="2"/>
  <c r="M97" i="2"/>
  <c r="I13" i="2"/>
  <c r="M17" i="2"/>
  <c r="L16" i="2"/>
  <c r="G16" i="2"/>
  <c r="M19" i="2"/>
  <c r="L39" i="2"/>
  <c r="L25" i="2"/>
  <c r="L27" i="2"/>
  <c r="H19" i="2"/>
  <c r="H13" i="2"/>
  <c r="K28" i="2"/>
  <c r="K97" i="2"/>
  <c r="M28" i="2"/>
  <c r="H99" i="2"/>
  <c r="K43" i="2"/>
  <c r="C8" i="5"/>
  <c r="L19" i="2"/>
  <c r="G97" i="2"/>
  <c r="I32" i="2"/>
  <c r="K33" i="2"/>
  <c r="G26" i="2"/>
  <c r="G19" i="2"/>
  <c r="L99" i="2"/>
  <c r="I30" i="2"/>
  <c r="K46" i="2"/>
  <c r="I46" i="2"/>
  <c r="G28" i="2"/>
  <c r="L28" i="2"/>
  <c r="K17" i="2"/>
  <c r="M25" i="2"/>
  <c r="M36" i="2"/>
  <c r="F45" i="2" l="1"/>
  <c r="E45" i="2"/>
  <c r="H2206" i="1"/>
  <c r="H2205" i="1"/>
  <c r="H2204" i="1"/>
  <c r="H2203" i="1"/>
  <c r="H2202" i="1"/>
  <c r="H2201" i="1"/>
  <c r="H2200" i="1"/>
  <c r="H2199" i="1"/>
  <c r="H2198" i="1"/>
  <c r="H2197" i="1"/>
  <c r="H2196" i="1"/>
  <c r="H2195" i="1"/>
  <c r="H2194" i="1"/>
  <c r="H2193" i="1"/>
  <c r="H2192" i="1"/>
  <c r="H2191" i="1"/>
  <c r="H2189" i="1"/>
  <c r="H2190" i="1"/>
  <c r="H2188" i="1"/>
  <c r="H2187" i="1"/>
  <c r="H2186" i="1"/>
  <c r="H2185" i="1"/>
  <c r="H2184" i="1"/>
  <c r="H2183" i="1"/>
  <c r="H2181" i="1"/>
  <c r="H2182" i="1"/>
  <c r="H2179" i="1"/>
  <c r="H2180" i="1"/>
  <c r="H2178" i="1"/>
  <c r="H2177" i="1"/>
  <c r="H2176" i="1"/>
  <c r="H2175" i="1"/>
  <c r="H2174" i="1"/>
  <c r="H2172" i="1"/>
  <c r="H2173" i="1"/>
  <c r="H2170" i="1"/>
  <c r="H2171" i="1"/>
  <c r="H2168" i="1"/>
  <c r="H2169" i="1"/>
  <c r="H2167" i="1"/>
  <c r="H2166" i="1"/>
  <c r="H2165" i="1"/>
  <c r="H2163" i="1"/>
  <c r="H2164" i="1"/>
  <c r="H2161" i="1"/>
  <c r="H2162" i="1"/>
  <c r="F91" i="2"/>
  <c r="E91"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4" i="2"/>
  <c r="E14" i="2"/>
  <c r="F106" i="2"/>
  <c r="E106" i="2"/>
  <c r="F102" i="2"/>
  <c r="E102" i="2"/>
  <c r="F101" i="2"/>
  <c r="E101" i="2"/>
  <c r="F100" i="2"/>
  <c r="E100" i="2"/>
  <c r="F107" i="2"/>
  <c r="E107" i="2"/>
  <c r="F82" i="2"/>
  <c r="E82"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105" i="2"/>
  <c r="E105" i="2"/>
  <c r="F56" i="2"/>
  <c r="E56" i="2"/>
  <c r="F20" i="2"/>
  <c r="E20" i="2"/>
  <c r="F94" i="2"/>
  <c r="E94" i="2"/>
  <c r="F90" i="2"/>
  <c r="E90"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6"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2" i="2"/>
  <c r="O86" i="2"/>
  <c r="O87" i="2"/>
  <c r="O88" i="2"/>
  <c r="O10" i="2"/>
  <c r="E10"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2"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6" i="2"/>
  <c r="E96"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8"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9" i="2"/>
  <c r="E79" i="2"/>
  <c r="E78" i="2"/>
  <c r="E77" i="2"/>
  <c r="E76" i="2"/>
  <c r="E75" i="2"/>
  <c r="E74" i="2"/>
  <c r="E73" i="2"/>
  <c r="E72" i="2"/>
  <c r="E71" i="2"/>
  <c r="E70" i="2"/>
  <c r="E69" i="2"/>
  <c r="E68" i="2"/>
  <c r="E67" i="2"/>
  <c r="E5" i="2"/>
  <c r="E65" i="2"/>
  <c r="E64" i="2"/>
  <c r="E63" i="2"/>
  <c r="E22" i="2"/>
  <c r="E62" i="2"/>
  <c r="E61" i="2"/>
  <c r="E60" i="2"/>
  <c r="E44" i="2"/>
  <c r="E59" i="2"/>
  <c r="E58" i="2"/>
  <c r="E57" i="2"/>
  <c r="E103" i="2"/>
  <c r="E55" i="2"/>
  <c r="E54" i="2"/>
  <c r="E53" i="2"/>
  <c r="E52" i="2"/>
  <c r="E6" i="2"/>
  <c r="E50" i="2"/>
  <c r="E12" i="2"/>
  <c r="E95"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9" i="2"/>
  <c r="O99" i="2" s="1"/>
  <c r="J11" i="2"/>
  <c r="F11" i="2" s="1"/>
  <c r="J16" i="2"/>
  <c r="F16" i="2" s="1"/>
  <c r="J41" i="2"/>
  <c r="F41" i="2" s="1"/>
  <c r="J17" i="2"/>
  <c r="F17" i="2" s="1"/>
  <c r="J66" i="2"/>
  <c r="F66" i="2" s="1"/>
  <c r="N16" i="2"/>
  <c r="O16" i="2" s="1"/>
  <c r="N11" i="2"/>
  <c r="O11" i="2" s="1"/>
  <c r="N39" i="2"/>
  <c r="O39" i="2" s="1"/>
  <c r="N8" i="2"/>
  <c r="O8" i="2" s="1"/>
  <c r="P45" i="2" s="1"/>
  <c r="J32" i="2"/>
  <c r="F32" i="2" s="1"/>
  <c r="N97" i="2"/>
  <c r="O97" i="2" s="1"/>
  <c r="N28" i="2"/>
  <c r="O28" i="2" s="1"/>
  <c r="N42" i="2"/>
  <c r="O42" i="2" s="1"/>
  <c r="N41" i="2"/>
  <c r="O41" i="2" s="1"/>
  <c r="N46" i="2"/>
  <c r="O46" i="2" s="1"/>
  <c r="N29" i="2"/>
  <c r="O29" i="2" s="1"/>
  <c r="J46" i="2"/>
  <c r="F46" i="2" s="1"/>
  <c r="N26" i="2"/>
  <c r="O26" i="2" s="1"/>
  <c r="J26" i="2"/>
  <c r="F26" i="2" s="1"/>
  <c r="J39" i="2"/>
  <c r="F39" i="2" s="1"/>
  <c r="J29" i="2"/>
  <c r="F29" i="2" s="1"/>
  <c r="J42" i="2"/>
  <c r="F42" i="2" s="1"/>
  <c r="N25" i="2"/>
  <c r="O25" i="2" s="1"/>
  <c r="J25" i="2"/>
  <c r="F25" i="2" s="1"/>
  <c r="N33" i="2"/>
  <c r="O33" i="2" s="1"/>
  <c r="J33" i="2"/>
  <c r="F33" i="2" s="1"/>
  <c r="N43" i="2"/>
  <c r="O43" i="2" s="1"/>
  <c r="J43" i="2"/>
  <c r="F43" i="2" s="1"/>
  <c r="N24" i="2"/>
  <c r="O24" i="2" s="1"/>
  <c r="N66" i="2"/>
  <c r="O66" i="2" s="1"/>
  <c r="J27" i="2"/>
  <c r="F27" i="2" s="1"/>
  <c r="N21" i="2"/>
  <c r="O21" i="2" s="1"/>
  <c r="N27" i="2"/>
  <c r="O27" i="2" s="1"/>
  <c r="J24" i="2"/>
  <c r="F24" i="2" s="1"/>
  <c r="N13" i="2"/>
  <c r="O13" i="2" s="1"/>
  <c r="N17" i="2"/>
  <c r="O17" i="2" s="1"/>
  <c r="N36" i="2"/>
  <c r="O36" i="2" s="1"/>
  <c r="N30" i="2"/>
  <c r="O30" i="2" s="1"/>
  <c r="N32" i="2"/>
  <c r="O32" i="2" s="1"/>
  <c r="N93" i="2"/>
  <c r="O93"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8" i="2"/>
  <c r="F8" i="2" s="1"/>
  <c r="J99" i="2"/>
  <c r="F99" i="2" s="1"/>
  <c r="J13" i="2"/>
  <c r="F13" i="2" s="1"/>
  <c r="J21" i="2"/>
  <c r="F21" i="2" s="1"/>
  <c r="J93" i="2"/>
  <c r="F93" i="2" s="1"/>
  <c r="J30" i="2"/>
  <c r="F30" i="2" s="1"/>
  <c r="J97" i="2"/>
  <c r="F97" i="2" s="1"/>
  <c r="C13" i="5"/>
  <c r="D9" i="5"/>
  <c r="G20" i="5"/>
  <c r="G17" i="5"/>
  <c r="G19" i="5"/>
  <c r="G16" i="5"/>
  <c r="G18" i="5"/>
  <c r="G21" i="5" s="1"/>
  <c r="P91" i="2" l="1"/>
  <c r="P38" i="2"/>
  <c r="P104" i="2"/>
  <c r="P14" i="2"/>
  <c r="P106" i="2"/>
  <c r="P102" i="2"/>
  <c r="P101" i="2"/>
  <c r="P100" i="2"/>
  <c r="P107" i="2"/>
  <c r="P82" i="2"/>
  <c r="P34" i="2"/>
  <c r="P105" i="2"/>
  <c r="P56" i="2"/>
  <c r="P20" i="2"/>
  <c r="P94" i="2"/>
  <c r="P90" i="2"/>
  <c r="P80" i="2"/>
  <c r="P51" i="2"/>
  <c r="P85" i="2"/>
  <c r="P84" i="2"/>
  <c r="P10" i="2"/>
  <c r="P92" i="2"/>
  <c r="P89" i="2"/>
  <c r="P88" i="2"/>
  <c r="P87" i="2"/>
  <c r="P86" i="2"/>
  <c r="P47" i="2"/>
  <c r="P49" i="2"/>
  <c r="P96" i="2"/>
  <c r="P81" i="2"/>
  <c r="P98" i="2"/>
  <c r="P31" i="2"/>
  <c r="P79" i="2"/>
  <c r="P9" i="2"/>
  <c r="P77" i="2"/>
  <c r="P78" i="2"/>
  <c r="P75" i="2"/>
  <c r="P76" i="2"/>
  <c r="P73" i="2"/>
  <c r="P74" i="2"/>
  <c r="P72" i="2"/>
  <c r="P69" i="2"/>
  <c r="P71" i="2"/>
  <c r="P70" i="2"/>
  <c r="P67" i="2"/>
  <c r="P68" i="2"/>
  <c r="P65" i="2"/>
  <c r="P5" i="2"/>
  <c r="P63" i="2"/>
  <c r="P64" i="2"/>
  <c r="P62" i="2"/>
  <c r="P22" i="2"/>
  <c r="P60" i="2"/>
  <c r="P61" i="2"/>
  <c r="P59" i="2"/>
  <c r="P44" i="2"/>
  <c r="P57" i="2"/>
  <c r="P58" i="2"/>
  <c r="P55" i="2"/>
  <c r="P103" i="2"/>
  <c r="P53" i="2"/>
  <c r="P54" i="2"/>
  <c r="P6" i="2"/>
  <c r="P52" i="2"/>
  <c r="P12" i="2"/>
  <c r="P50" i="2"/>
  <c r="P48" i="2"/>
  <c r="P95" i="2"/>
  <c r="P35" i="2"/>
  <c r="P40" i="2"/>
  <c r="E11" i="2"/>
  <c r="P37" i="2"/>
  <c r="P18" i="2"/>
  <c r="E43" i="2"/>
  <c r="E26" i="2"/>
  <c r="E32" i="2"/>
  <c r="P23" i="2"/>
  <c r="P7" i="2"/>
  <c r="P83" i="2"/>
  <c r="E16" i="2"/>
  <c r="E17" i="2"/>
  <c r="E27" i="2"/>
  <c r="E41" i="2"/>
  <c r="E46" i="2"/>
  <c r="P15" i="2"/>
  <c r="E29" i="2"/>
  <c r="E39" i="2"/>
  <c r="E19" i="2"/>
  <c r="E28" i="2"/>
  <c r="E66" i="2"/>
  <c r="E42" i="2"/>
  <c r="E33" i="2"/>
  <c r="E24" i="2"/>
  <c r="E25" i="2"/>
  <c r="P25" i="2"/>
  <c r="P43" i="2"/>
  <c r="P42" i="2"/>
  <c r="P33" i="2"/>
  <c r="P24" i="2"/>
  <c r="P32" i="2"/>
  <c r="P26" i="2"/>
  <c r="P39" i="2"/>
  <c r="P66" i="2"/>
  <c r="P16" i="2"/>
  <c r="P29" i="2"/>
  <c r="P11" i="2"/>
  <c r="P28" i="2"/>
  <c r="P19" i="2"/>
  <c r="P46" i="2"/>
  <c r="P41" i="2"/>
  <c r="P17" i="2"/>
  <c r="P27" i="2"/>
  <c r="E30" i="2"/>
  <c r="E8" i="2"/>
  <c r="D45" i="2" s="1"/>
  <c r="C45" i="2" s="1"/>
  <c r="E36" i="2"/>
  <c r="E93" i="2"/>
  <c r="E13" i="2"/>
  <c r="E21" i="2"/>
  <c r="E97"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9" i="2"/>
  <c r="D10" i="5"/>
  <c r="D7" i="5"/>
  <c r="D6" i="5"/>
  <c r="D5" i="5"/>
  <c r="C14" i="5"/>
  <c r="D91" i="2" l="1"/>
  <c r="C91" i="2" s="1"/>
  <c r="D38" i="2"/>
  <c r="C38" i="2" s="1"/>
  <c r="D104" i="2"/>
  <c r="C104" i="2" s="1"/>
  <c r="D14" i="2"/>
  <c r="C14" i="2" s="1"/>
  <c r="D106" i="2"/>
  <c r="C106" i="2" s="1"/>
  <c r="D102" i="2"/>
  <c r="C102" i="2" s="1"/>
  <c r="D101" i="2"/>
  <c r="C101" i="2" s="1"/>
  <c r="D100" i="2"/>
  <c r="C100" i="2" s="1"/>
  <c r="D107" i="2"/>
  <c r="C107" i="2" s="1"/>
  <c r="D82" i="2"/>
  <c r="C82" i="2" s="1"/>
  <c r="D34" i="2"/>
  <c r="C34" i="2" s="1"/>
  <c r="D105" i="2"/>
  <c r="C105" i="2" s="1"/>
  <c r="D56" i="2"/>
  <c r="C56" i="2" s="1"/>
  <c r="D20" i="2"/>
  <c r="C20" i="2" s="1"/>
  <c r="D90" i="2"/>
  <c r="C90" i="2" s="1"/>
  <c r="D94" i="2"/>
  <c r="C94" i="2" s="1"/>
  <c r="D80" i="2"/>
  <c r="C80" i="2" s="1"/>
  <c r="D85" i="2"/>
  <c r="C85" i="2" s="1"/>
  <c r="D51" i="2"/>
  <c r="C51" i="2" s="1"/>
  <c r="D10" i="2"/>
  <c r="C10" i="2" s="1"/>
  <c r="D84" i="2"/>
  <c r="C84" i="2" s="1"/>
  <c r="D92" i="2"/>
  <c r="C92" i="2" s="1"/>
  <c r="D89" i="2"/>
  <c r="C89" i="2" s="1"/>
  <c r="D88" i="2"/>
  <c r="C88" i="2" s="1"/>
  <c r="D87" i="2"/>
  <c r="C87" i="2" s="1"/>
  <c r="D86" i="2"/>
  <c r="C86" i="2" s="1"/>
  <c r="D47" i="2"/>
  <c r="C47" i="2" s="1"/>
  <c r="D49" i="2"/>
  <c r="C49" i="2" s="1"/>
  <c r="D81" i="2"/>
  <c r="C81" i="2" s="1"/>
  <c r="D96" i="2"/>
  <c r="C96" i="2" s="1"/>
  <c r="D98" i="2"/>
  <c r="C98" i="2" s="1"/>
  <c r="D9" i="2"/>
  <c r="C9"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22" i="2"/>
  <c r="C22" i="2" s="1"/>
  <c r="D63" i="2"/>
  <c r="C63" i="2" s="1"/>
  <c r="D61" i="2"/>
  <c r="C61" i="2" s="1"/>
  <c r="D62" i="2"/>
  <c r="C62" i="2" s="1"/>
  <c r="D60" i="2"/>
  <c r="C60" i="2" s="1"/>
  <c r="D59" i="2"/>
  <c r="C59" i="2" s="1"/>
  <c r="D44" i="2"/>
  <c r="C44" i="2" s="1"/>
  <c r="D57" i="2"/>
  <c r="C57" i="2" s="1"/>
  <c r="D58" i="2"/>
  <c r="C58" i="2" s="1"/>
  <c r="D55" i="2"/>
  <c r="C55" i="2" s="1"/>
  <c r="D103" i="2"/>
  <c r="C103" i="2" s="1"/>
  <c r="D53" i="2"/>
  <c r="C53" i="2" s="1"/>
  <c r="D54" i="2"/>
  <c r="C54" i="2" s="1"/>
  <c r="D6" i="2"/>
  <c r="C6" i="2" s="1"/>
  <c r="D52" i="2"/>
  <c r="C52" i="2" s="1"/>
  <c r="D12" i="2"/>
  <c r="C12" i="2" s="1"/>
  <c r="D50" i="2"/>
  <c r="C50" i="2" s="1"/>
  <c r="D48" i="2"/>
  <c r="C48" i="2" s="1"/>
  <c r="D95" i="2"/>
  <c r="C95" i="2" s="1"/>
  <c r="D35" i="2"/>
  <c r="C35" i="2" s="1"/>
  <c r="D40" i="2"/>
  <c r="C40" i="2" s="1"/>
  <c r="D18" i="2"/>
  <c r="C18" i="2" s="1"/>
  <c r="D37" i="2"/>
  <c r="C37" i="2" s="1"/>
  <c r="D23" i="2"/>
  <c r="C23" i="2" s="1"/>
  <c r="D7" i="2"/>
  <c r="C7" i="2" s="1"/>
  <c r="D83" i="2"/>
  <c r="C83" i="2" s="1"/>
  <c r="D15" i="2"/>
  <c r="C15" i="2" s="1"/>
  <c r="D25" i="2"/>
  <c r="C25" i="2" s="1"/>
  <c r="D43" i="2"/>
  <c r="C43" i="2" s="1"/>
  <c r="D42" i="2"/>
  <c r="C42" i="2" s="1"/>
  <c r="D33" i="2"/>
  <c r="C33" i="2" s="1"/>
  <c r="D24" i="2"/>
  <c r="C24" i="2" s="1"/>
  <c r="D32" i="2"/>
  <c r="C32" i="2" s="1"/>
  <c r="D26" i="2"/>
  <c r="C26" i="2" s="1"/>
  <c r="D39" i="2"/>
  <c r="C39" i="2" s="1"/>
  <c r="D66" i="2"/>
  <c r="C66" i="2" s="1"/>
  <c r="D16" i="2"/>
  <c r="C16" i="2" s="1"/>
  <c r="D28" i="2"/>
  <c r="C28" i="2" s="1"/>
  <c r="D29" i="2"/>
  <c r="C29" i="2" s="1"/>
  <c r="D11" i="2"/>
  <c r="C11" i="2" s="1"/>
  <c r="D19" i="2"/>
  <c r="C19" i="2" s="1"/>
  <c r="D46" i="2"/>
  <c r="C46" i="2" s="1"/>
  <c r="D41" i="2"/>
  <c r="C41" i="2" s="1"/>
  <c r="D17" i="2"/>
  <c r="C17" i="2" s="1"/>
  <c r="D27" i="2"/>
  <c r="C27" i="2" s="1"/>
  <c r="C15" i="5"/>
  <c r="D36" i="2"/>
  <c r="D99" i="2"/>
  <c r="D93" i="2"/>
  <c r="D21" i="2"/>
  <c r="D97" i="2"/>
  <c r="D8" i="2"/>
  <c r="D13" i="2"/>
  <c r="D30" i="2"/>
  <c r="G7" i="5"/>
  <c r="G5" i="5"/>
  <c r="G8" i="5" s="1"/>
  <c r="G6" i="5"/>
  <c r="G13" i="5"/>
  <c r="P21" i="2" l="1"/>
  <c r="C21" i="2" s="1"/>
  <c r="P97" i="2"/>
  <c r="C97" i="2" s="1"/>
  <c r="P99" i="2"/>
  <c r="C99" i="2" s="1"/>
  <c r="P93" i="2"/>
  <c r="C93" i="2" s="1"/>
  <c r="P36" i="2"/>
  <c r="C36" i="2" s="1"/>
  <c r="P13" i="2"/>
  <c r="C13" i="2" s="1"/>
  <c r="P8" i="2"/>
  <c r="C8" i="2" s="1"/>
  <c r="P30" i="2"/>
  <c r="C30"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<sst xmlns="http://schemas.openxmlformats.org/spreadsheetml/2006/main" count="42526" uniqueCount="747">
  <si>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</si>
  <si>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</si>
  <si>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</si>
  <si>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</si>
  <si>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</si>
  <si>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</si>
  <si>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</si>
  <si>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</si>
  <si>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</si>
  <si>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</si>
  <si>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</si>
  <si>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</si>
  <si>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</si>
  <si>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</si>
  <si>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</si>
  <si>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</si>
  <si>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</si>
  <si>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</si>
  <si>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</si>
  <si>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</si>
  <si>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</si>
  <si>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</si>
  <si>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</si>
  <si>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</si>
  <si>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</si>
  <si>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</si>
  <si>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</si>
  <si>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</si>
  <si>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</si>
  <si>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</si>
  <si>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</si>
  <si>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</si>
  <si>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</si>
  <si>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</si>
  <si>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</si>
  <si>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</si>
  <si>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</si>
  <si>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</si>
  <si>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</si>
  <si>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</si>
  <si>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</si>
  <si>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</si>
  <si>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</si>
  <si>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</si>
  <si>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</si>
  <si>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</si>
  <si>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</si>
  <si>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</si>
  <si>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</si>
  <si>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</si>
  <si>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</si>
  <si>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</si>
  <si>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</si>
  <si>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</si>
  <si>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</si>
  <si>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</si>
  <si>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</si>
  <si>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</si>
  <si>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</si>
  <si>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</si>
  <si>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</si>
  <si>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</si>
  <si>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</si>
  <si>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</si>
  <si>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</si>
  <si>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</si>
  <si>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</si>
  <si>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</si>
  <si>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</si>
  <si>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</si>
  <si>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</si>
  <si>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</si>
  <si>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</si>
  <si>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</si>
  <si>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</si>
  <si>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</si>
  <si>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</si>
  <si>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</si>
  <si>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</si>
  <si>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</si>
  <si>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</si>
  <si>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</si>
  <si>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</si>
  <si>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</si>
  <si>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</si>
  <si>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</si>
  <si>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</si>
  <si>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</si>
  <si>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</si>
  <si>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</si>
  <si>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</si>
  <si>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</si>
  <si>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</si>
  <si>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</si>
  <si>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</si>
  <si>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</si>
  <si>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</si>
  <si>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</si>
  <si>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</si>
  <si>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</si>
  <si>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</si>
  <si>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</si>
  <si>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</si>
  <si>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</si>
  <si>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</si>
  <si>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</si>
  <si>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</si>
  <si>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</si>
  <si>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</si>
  <si>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</si>
  <si>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</si>
  <si>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</si>
  <si>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</si>
  <si>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</si>
  <si>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</si>
  <si>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</si>
  <si>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</si>
  <si>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</si>
  <si>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</si>
  <si>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</si>
  <si>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</si>
  <si>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</si>
  <si>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</si>
  <si>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</si>
  <si>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</si>
  <si>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</si>
  <si>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</si>
  <si>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</si>
  <si>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</si>
  <si>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</si>
  <si>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</si>
  <si>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</si>
  <si>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</si>
  <si>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</si>
  <si>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</si>
  <si>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</si>
  <si>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</si>
  <si>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</si>
  <si>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</si>
  <si>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</si>
  <si>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</si>
  <si>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</si>
  <si>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</si>
  <si>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</si>
  <si>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</si>
  <si>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</si>
  <si>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</si>
  <si>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</si>
  <si>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</si>
  <si>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</si>
  <si>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</si>
  <si>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</si>
  <si>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</si>
  <si>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</si>
  <si>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</si>
  <si>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</si>
  <si>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</si>
  <si>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</si>
  <si>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</si>
  <si>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</si>
  <si>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</si>
  <si>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</si>
  <si>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</si>
  <si>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</si>
  <si>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</si>
  <si>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</si>
  <si>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</si>
  <si>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</si>
  <si>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</si>
  <si>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</si>
  <si>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</si>
  <si>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</si>
  <si>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</si>
  <si>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</si>
  <si>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</si>
  <si>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</si>
  <si>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</si>
  <si>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</si>
  <si>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</si>
  <si>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</si>
  <si>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</si>
  <si>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</si>
  <si>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</si>
  <si>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</si>
  <si>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</si>
  <si>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</si>
  <si>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</si>
  <si>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</si>
  <si>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</si>
  <si>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</si>
  <si>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</si>
  <si>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</si>
  <si>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</si>
  <si>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</si>
  <si>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</si>
  <si>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</si>
  <si>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</si>
  <si>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</si>
  <si>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</si>
  <si>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</si>
  <si>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</si>
  <si>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</si>
  <si>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</si>
  <si>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</si>
  <si>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</si>
  <si>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</si>
  <si>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</si>
  <si>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</si>
  <si>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</si>
  <si>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</si>
  <si>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</si>
  <si>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</si>
  <si>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</si>
  <si>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</si>
  <si>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</si>
  <si>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</si>
  <si>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</si>
  <si>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</si>
  <si>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</si>
  <si>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</si>
  <si>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</si>
  <si>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</si>
  <si>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</si>
  <si>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</si>
  <si>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</si>
  <si>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</si>
  <si>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</si>
  <si>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</si>
  <si>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</si>
  <si>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</si>
  <si>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</si>
  <si>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</si>
  <si>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</si>
  <si>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</si>
  <si>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</si>
  <si>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</si>
  <si>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</si>
  <si>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</si>
  <si>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</si>
  <si>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</si>
  <si>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</si>
  <si>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</si>
  <si>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</si>
  <si>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</si>
  <si>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</si>
  <si>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</si>
  <si>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</si>
  <si>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</si>
  <si>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</si>
  <si>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</si>
  <si>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</si>
  <si>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</si>
  <si>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</si>
  <si>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</si>
  <si>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</si>
  <si>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</si>
  <si>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</si>
  <si>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</si>
  <si>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</si>
  <si>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</si>
  <si>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</si>
  <si>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</si>
  <si>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</si>
  <si>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</si>
  <si>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</si>
  <si>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</si>
  <si>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</si>
  <si>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</si>
  <si>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</si>
  <si>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</si>
  <si>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</si>
  <si>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</si>
  <si>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</si>
  <si>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</si>
  <si>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</si>
  <si>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</si>
  <si>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</si>
  <si>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</si>
  <si>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</si>
  <si>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</si>
  <si>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</si>
  <si>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</si>
  <si>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</si>
  <si>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</si>
  <si>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</si>
  <si>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</si>
  <si>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</si>
  <si>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</si>
  <si>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</si>
  <si>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</si>
  <si>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</si>
  <si>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</si>
  <si>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</si>
  <si>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</si>
  <si>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</si>
  <si>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</si>
  <si>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</si>
  <si>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</si>
  <si>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</si>
  <si>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</si>
  <si>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</si>
  <si>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</si>
  <si>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</si>
  <si>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</si>
  <si>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</si>
  <si>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</si>
  <si>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</si>
  <si>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</si>
  <si>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</si>
  <si>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</si>
  <si>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</si>
  <si>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</si>
  <si>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</si>
  <si>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</si>
  <si>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</si>
  <si>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</si>
  <si>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</si>
  <si>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</si>
  <si>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</si>
  <si>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</si>
  <si>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</si>
  <si>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</si>
  <si>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</si>
  <si>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</si>
  <si>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</si>
  <si>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</si>
  <si>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</si>
  <si>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</si>
  <si>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</si>
  <si>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</si>
  <si>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</si>
  <si>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</si>
  <si>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</si>
  <si>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</si>
  <si>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</si>
  <si>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</si>
  <si>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</si>
  <si>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</si>
  <si>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</si>
  <si>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</si>
  <si>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</si>
  <si>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</si>
  <si>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</si>
  <si>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</si>
  <si>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</si>
  <si>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</si>
  <si>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</si>
  <si>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</si>
  <si>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</si>
  <si>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</si>
  <si>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</si>
  <si>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</si>
  <si>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</si>
  <si>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</si>
  <si>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</si>
  <si>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</si>
  <si>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</si>
  <si>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</si>
  <si>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</si>
  <si>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</si>
  <si>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</si>
  <si>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</si>
  <si>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</si>
  <si>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</si>
  <si>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</si>
  <si>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</si>
  <si>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</si>
  <si>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</si>
  <si>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</si>
  <si>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</si>
  <si>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</si>
  <si>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</si>
  <si>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</si>
  <si>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</si>
  <si>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</si>
  <si>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</si>
  <si>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</si>
  <si>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</si>
  <si>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</si>
  <si>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</si>
  <si>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</si>
  <si>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</si>
  <si>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</si>
  <si>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</si>
  <si>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</si>
  <si>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</si>
  <si>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</si>
  <si>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</si>
  <si>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</si>
  <si>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</si>
  <si>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</si>
  <si>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</si>
  <si>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</si>
  <si>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</si>
  <si>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</si>
  <si>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</si>
  <si>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</si>
  <si>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</si>
  <si>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</si>
  <si>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</si>
  <si>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</si>
  <si>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</si>
  <si>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</si>
  <si>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</si>
  <si>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</si>
  <si>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</si>
  <si>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</si>
  <si>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</si>
  <si>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</si>
  <si>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</si>
  <si>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</si>
  <si>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</si>
  <si>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</si>
  <si>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</si>
  <si>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</si>
  <si>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</si>
  <si>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</si>
  <si>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</si>
  <si>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</si>
  <si>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</si>
  <si>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</si>
  <si>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</si>
  <si>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</si>
  <si>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</si>
  <si>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</si>
  <si>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</si>
  <si>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</si>
  <si>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</si>
  <si>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</si>
  <si>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</si>
  <si>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</si>
  <si>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</si>
  <si>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</si>
  <si>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</si>
  <si>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</si>
  <si>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</si>
  <si>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</si>
  <si>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</si>
  <si>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</si>
  <si>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</si>
  <si>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</si>
  <si>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</si>
  <si>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</si>
  <si>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</si>
  <si>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</si>
  <si>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</si>
  <si>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</si>
  <si>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</si>
  <si>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</si>
  <si>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</si>
  <si>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</si>
  <si>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</si>
  <si>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</si>
  <si>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</si>
  <si>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</si>
  <si>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</si>
  <si>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</si>
  <si>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</si>
  <si>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</si>
  <si>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</si>
  <si>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</si>
  <si>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</si>
  <si>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</si>
  <si>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</si>
  <si>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</si>
  <si>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</si>
  <si>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</si>
  <si>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</si>
  <si>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</si>
  <si>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</si>
  <si>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</si>
  <si>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</si>
  <si>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</si>
  <si>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</si>
  <si>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</si>
  <si>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</si>
  <si>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</si>
  <si>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</si>
  <si>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</si>
  <si>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</si>
  <si>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</si>
  <si>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</si>
  <si>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</si>
  <si>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</si>
  <si>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</si>
  <si>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</si>
  <si>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</si>
  <si>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</si>
  <si>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</si>
  <si>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</si>
  <si>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</si>
  <si>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</si>
  <si>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</si>
  <si>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</si>
  <si>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</si>
  <si>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</si>
  <si>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</si>
  <si>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</si>
  <si>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</si>
  <si>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</si>
  <si>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</si>
  <si>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</si>
  <si>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</si>
  <si>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</si>
  <si>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</si>
  <si>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</si>
  <si>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</si>
  <si>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</si>
  <si>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</si>
  <si>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</si>
  <si>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</si>
  <si>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</si>
  <si>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</si>
  <si>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</si>
  <si>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</si>
  <si>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</si>
  <si>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</si>
  <si>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</si>
  <si>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</si>
  <si>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</si>
  <si>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</si>
  <si>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</si>
  <si>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</si>
  <si>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</si>
  <si>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</si>
  <si>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</si>
  <si>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</si>
  <si>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</si>
  <si>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</si>
  <si>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</si>
  <si>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</si>
  <si>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</si>
  <si>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</si>
  <si>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</si>
  <si>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</si>
  <si>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</si>
  <si>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</si>
  <si>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</si>
  <si>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</si>
  <si>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</si>
  <si>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</si>
  <si>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</si>
  <si>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</si>
  <si>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</si>
  <si>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</si>
  <si>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</si>
  <si>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</si>
  <si>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</si>
  <si>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</si>
  <si>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</si>
  <si>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</si>
  <si>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</si>
  <si>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</si>
  <si>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</si>
  <si>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</si>
  <si>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</si>
  <si>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</si>
  <si>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</si>
  <si>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</si>
  <si>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</si>
  <si>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</si>
  <si>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</si>
  <si>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</si>
  <si>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</si>
  <si>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</si>
  <si>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</si>
  <si>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</si>
  <si>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</si>
  <si>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</si>
  <si>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</si>
  <si>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</si>
  <si>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</si>
  <si>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</si>
  <si>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</si>
  <si>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</si>
  <si>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</si>
  <si>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</si>
  <si>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</si>
  <si>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</si>
  <si>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</si>
  <si>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</si>
  <si>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</si>
  <si>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</si>
  <si>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</si>
  <si>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</si>
  <si>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</si>
  <si>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</si>
  <si>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</si>
  <si>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</si>
  <si>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</si>
  <si>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</si>
  <si>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</si>
  <si>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</si>
  <si>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</si>
  <si>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</si>
  <si>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</si>
  <si>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</si>
  <si>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</si>
  <si>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</si>
  <si>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</si>
  <si>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</si>
  <si>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</si>
  <si>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</si>
  <si>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</si>
  <si>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</si>
  <si>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</si>
  <si>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</si>
  <si>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</si>
  <si>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</si>
  <si>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</si>
  <si>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</si>
  <si>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</si>
  <si>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</si>
  <si>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</si>
  <si>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</si>
  <si>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</si>
  <si>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</si>
  <si>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</si>
  <si>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</si>
  <si>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</si>
  <si>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</si>
  <si>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</si>
  <si>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</si>
  <si>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</si>
  <si>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</si>
  <si>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</si>
  <si>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</si>
  <si>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</si>
  <si>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</si>
  <si>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</si>
  <si>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</si>
  <si>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</si>
  <si>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</si>
  <si>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</si>
  <si>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</si>
  <si>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</si>
  <si>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</si>
  <si>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</si>
  <si>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</si>
  <si>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</si>
  <si>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</si>
  <si>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</si>
  <si>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</si>
  <si>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</si>
  <si>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</si>
  <si>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</si>
  <si>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</si>
  <si>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</si>
  <si>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</si>
  <si>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</si>
  <si>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</si>
  <si>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</si>
  <si>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</si>
  <si>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</si>
  <si>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</si>
  <si>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</si>
  <si>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</si>
  <si>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</si>
  <si>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</si>
  <si>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</si>
  <si>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</si>
  <si>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</si>
  <si>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</si>
  <si>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</si>
  <si>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</si>
  <si>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</si>
  <si>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</si>
  <si>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</si>
  <si>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</si>
  <si>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</si>
  <si>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</si>
  <si>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</si>
  <si>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</si>
  <si>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</si>
  <si>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</si>
  <si>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</si>
  <si>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</si>
  <si>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</si>
  <si>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</si>
  <si>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</si>
  <si>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</si>
  <si>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</si>
  <si>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</si>
  <si>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</si>
  <si>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</si>
  <si>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</si>
  <si>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</si>
  <si>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</si>
  <si>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</si>
  <si>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</si>
  <si>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</si>
  <si>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</si>
  <si>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</si>
  <si>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</si>
  <si>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</si>
  <si>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</si>
  <si>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</si>
  <si>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</si>
  <si>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</si>
  <si>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</si>
  <si>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</si>
  <si>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</si>
  <si>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</si>
  <si>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</si>
  <si>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</si>
  <si>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</si>
  <si>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</si>
  <si>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</si>
  <si>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</si>
  <si>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</si>
  <si>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</si>
  <si>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</si>
  <si>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</si>
  <si>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</si>
  <si>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</si>
  <si>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</si>
  <si>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</si>
  <si>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</si>
  <si>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</si>
  <si>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</si>
  <si>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</si>
  <si>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</si>
  <si>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</si>
  <si>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</si>
  <si>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</si>
  <si>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</si>
  <si>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</si>
  <si>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</si>
  <si>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</si>
  <si>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</si>
  <si>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</si>
  <si>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</si>
  <si>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</si>
  <si>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</si>
  <si>
    <t>Randy P</t>
  </si>
  <si>
    <t>1|19000101|46286</t>
  </si>
  <si>
    <t>2|19000101|46286</t>
  </si>
  <si>
    <t>3|19000101|46286</t>
  </si>
  <si>
    <t>4|19000101|46286</t>
  </si>
  <si>
    <t>5|19000101|46286</t>
  </si>
  <si>
    <t>6|19000101|46286</t>
  </si>
  <si>
    <t>1|19000102|46286</t>
  </si>
  <si>
    <t>2|19000102|46286</t>
  </si>
  <si>
    <t>3|19000102|46286</t>
  </si>
  <si>
    <t>4|19000102|46286</t>
  </si>
  <si>
    <t>5|19000102|46286</t>
  </si>
  <si>
    <t>6|19000102|46286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</si>
</sst>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xf numFmtId="0" fontId="2" fillId="0" borderId="0" xfId="0" applyNumberFormat="1" applyFont="1" applyAlignment="1">
      <alignment horizontal="left"/>
    </xf>
    <xf numFmtId="0" fontId="2" fillId="0" borderId="0" xfId="0" applyNumberFormat="1" applyFon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87.356156250004" createdVersion="8" refreshedVersion="8" minRefreshableVersion="3" recordCount="6162" xr:uid="{A68797AC-E72E-49CE-BBC1-16C3348D6A5F}">
  <cacheSource type="worksheet">
    <worksheetSource name="Matchups"/>
  </cacheSource>
  <cacheFields count="22">
    <cacheField name="Player" numFmtId="0">
      <sharedItems count="139">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9-15T00:00:00" count="60">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9">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9-15T00:00:00"/>
        <groupItems count="14">
          <s v="&lt;7/21/2025"/>
          <s v="Jan"/>
          <s v="Feb"/>
          <s v="Mar"/>
          <s v="Apr"/>
          <s v="May"/>
          <s v="Jun"/>
          <s v="Jul"/>
          <s v="Aug"/>
          <s v="Sep"/>
          <s v="Oct"/>
          <s v="Nov"/>
          <s v="Dec"/>
          <s v="&gt;9/15/2026"/>
        </groupItems>
      </fieldGroup>
    </cacheField>
    <cacheField name="Quarters (Date)" numFmtId="0" databaseField="0">
      <fieldGroup base="5">
        <rangePr groupBy="quarters" startDate="2025-07-21T00:00:00" endDate="2026-09-15T00:00:00"/>
        <groupItems count="6">
          <s v="&lt;7/21/2025"/>
          <s v="Qtr1"/>
          <s v="Qtr2"/>
          <s v="Qtr3"/>
          <s v="Qtr4"/>
          <s v="&gt;9/15/2026"/>
        </groupItems>
      </fieldGroup>
    </cacheField>
    <cacheField name="Years (Date)" numFmtId="0" databaseField="0">
      <fieldGroup base="5">
        <rangePr groupBy="years" startDate="2025-07-21T00:00:00" endDate="2026-09-15T00:00:00"/>
        <groupItems count="4">
          <s v="&lt;7/21/2025"/>
          <s v="2025"/>
          <s v="2026"/>
          <s v="&gt;9/15/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87.356156481481" createdVersion="8" refreshedVersion="8" minRefreshableVersion="3" recordCount="2206" xr:uid="{DC51D016-C251-461D-A8BC-322113D3679A}">
  <cacheSource type="worksheet">
    <worksheetSource name="GameLog"/>
  </cacheSource>
  <cacheFields count="11">
    <cacheField name="Player" numFmtId="0">
      <sharedItems containsBlank="1" count="154">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9-22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62">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Current"/>
    <x v="84"/>
    <s v="Win"/>
    <b v="0"/>
    <n v="0"/>
    <n v="1"/>
    <n v="0"/>
    <n v="1"/>
  </r>
  <r>
    <x v="5"/>
    <s v="Loss"/>
    <n v="1"/>
    <n v="1"/>
    <n v="1"/>
    <x v="59"/>
    <s v="1|19000101|46279"/>
    <n v="4"/>
    <n v="2026"/>
    <n v="9"/>
    <s v="Current"/>
    <x v="14"/>
    <s v="Loss"/>
    <b v="0"/>
    <n v="0"/>
    <n v="1"/>
    <n v="0"/>
    <n v="0"/>
  </r>
  <r>
    <x v="5"/>
    <s v="Loss"/>
    <n v="1"/>
    <n v="1"/>
    <n v="1"/>
    <x v="59"/>
    <s v="1|19000101|46279"/>
    <n v="4"/>
    <n v="2026"/>
    <n v="9"/>
    <s v="Current"/>
    <x v="90"/>
    <s v="Loss"/>
    <b v="0"/>
    <n v="0"/>
    <n v="1"/>
    <n v="0"/>
    <n v="0"/>
  </r>
  <r>
    <x v="84"/>
    <s v="Win"/>
    <n v="2"/>
    <n v="1"/>
    <n v="1"/>
    <x v="59"/>
    <s v="1|19000101|46279"/>
    <n v="4"/>
    <n v="2026"/>
    <n v="9"/>
    <s v="Current"/>
    <x v="5"/>
    <s v="Loss"/>
    <b v="0"/>
    <n v="1"/>
    <n v="0"/>
    <n v="0"/>
    <n v="0"/>
  </r>
  <r>
    <x v="84"/>
    <s v="Win"/>
    <n v="2"/>
    <n v="1"/>
    <n v="1"/>
    <x v="59"/>
    <s v="1|19000101|46279"/>
    <n v="4"/>
    <n v="2026"/>
    <n v="9"/>
    <s v="Current"/>
    <x v="14"/>
    <s v="Loss"/>
    <b v="0"/>
    <n v="1"/>
    <n v="0"/>
    <n v="0"/>
    <n v="0"/>
  </r>
  <r>
    <x v="84"/>
    <s v="Win"/>
    <n v="2"/>
    <n v="1"/>
    <n v="1"/>
    <x v="59"/>
    <s v="1|19000101|46279"/>
    <n v="4"/>
    <n v="2026"/>
    <n v="9"/>
    <s v="Current"/>
    <x v="90"/>
    <s v="Loss"/>
    <b v="0"/>
    <n v="1"/>
    <n v="0"/>
    <n v="0"/>
    <n v="0"/>
  </r>
  <r>
    <x v="14"/>
    <s v="Loss"/>
    <n v="3"/>
    <n v="1"/>
    <n v="1"/>
    <x v="59"/>
    <s v="1|19000101|46279"/>
    <n v="4"/>
    <n v="2026"/>
    <n v="9"/>
    <s v="Current"/>
    <x v="5"/>
    <s v="Loss"/>
    <b v="0"/>
    <n v="0"/>
    <n v="1"/>
    <n v="0"/>
    <n v="0"/>
  </r>
  <r>
    <x v="14"/>
    <s v="Loss"/>
    <n v="3"/>
    <n v="1"/>
    <n v="1"/>
    <x v="59"/>
    <s v="1|19000101|46279"/>
    <n v="4"/>
    <n v="2026"/>
    <n v="9"/>
    <s v="Current"/>
    <x v="84"/>
    <s v="Win"/>
    <b v="0"/>
    <n v="0"/>
    <n v="1"/>
    <n v="0"/>
    <n v="1"/>
  </r>
  <r>
    <x v="14"/>
    <s v="Loss"/>
    <n v="3"/>
    <n v="1"/>
    <n v="1"/>
    <x v="59"/>
    <s v="1|19000101|46279"/>
    <n v="4"/>
    <n v="2026"/>
    <n v="9"/>
    <s v="Current"/>
    <x v="90"/>
    <s v="Loss"/>
    <b v="0"/>
    <n v="0"/>
    <n v="1"/>
    <n v="0"/>
    <n v="0"/>
  </r>
  <r>
    <x v="90"/>
    <s v="Loss"/>
    <n v="4"/>
    <n v="1"/>
    <n v="1"/>
    <x v="59"/>
    <s v="1|19000101|46279"/>
    <n v="4"/>
    <n v="2026"/>
    <n v="9"/>
    <s v="Current"/>
    <x v="5"/>
    <s v="Loss"/>
    <b v="0"/>
    <n v="0"/>
    <n v="1"/>
    <n v="0"/>
    <n v="0"/>
  </r>
  <r>
    <x v="90"/>
    <s v="Loss"/>
    <n v="4"/>
    <n v="1"/>
    <n v="1"/>
    <x v="59"/>
    <s v="1|19000101|46279"/>
    <n v="4"/>
    <n v="2026"/>
    <n v="9"/>
    <s v="Current"/>
    <x v="84"/>
    <s v="Win"/>
    <b v="0"/>
    <n v="0"/>
    <n v="1"/>
    <n v="0"/>
    <n v="1"/>
  </r>
  <r>
    <x v="90"/>
    <s v="Loss"/>
    <n v="4"/>
    <n v="1"/>
    <n v="1"/>
    <x v="59"/>
    <s v="1|19000101|46279"/>
    <n v="4"/>
    <n v="2026"/>
    <n v="9"/>
    <s v="Current"/>
    <x v="14"/>
    <s v="Loss"/>
    <b v="0"/>
    <n v="0"/>
    <n v="1"/>
    <n v="0"/>
    <n v="0"/>
  </r>
  <r>
    <x v="2"/>
    <s v="Draw"/>
    <n v="1"/>
    <n v="2"/>
    <n v="1"/>
    <x v="59"/>
    <s v="2|19000101|46279"/>
    <n v="4"/>
    <n v="2026"/>
    <n v="9"/>
    <s v="Current"/>
    <x v="7"/>
    <s v="Draw"/>
    <b v="0"/>
    <n v="0"/>
    <n v="0"/>
    <n v="1"/>
    <n v="0"/>
  </r>
  <r>
    <x v="2"/>
    <s v="Draw"/>
    <n v="1"/>
    <n v="2"/>
    <n v="1"/>
    <x v="59"/>
    <s v="2|19000101|46279"/>
    <n v="4"/>
    <n v="2026"/>
    <n v="9"/>
    <s v="Current"/>
    <x v="46"/>
    <s v="Draw"/>
    <b v="0"/>
    <n v="0"/>
    <n v="0"/>
    <n v="1"/>
    <n v="0"/>
  </r>
  <r>
    <x v="2"/>
    <s v="Draw"/>
    <n v="1"/>
    <n v="2"/>
    <n v="1"/>
    <x v="59"/>
    <s v="2|19000101|46279"/>
    <n v="4"/>
    <n v="2026"/>
    <n v="9"/>
    <s v="Current"/>
    <x v="17"/>
    <s v="Draw"/>
    <b v="0"/>
    <n v="0"/>
    <n v="0"/>
    <n v="1"/>
    <n v="0"/>
  </r>
  <r>
    <x v="7"/>
    <s v="Draw"/>
    <n v="2"/>
    <n v="2"/>
    <n v="1"/>
    <x v="59"/>
    <s v="2|19000101|46279"/>
    <n v="4"/>
    <n v="2026"/>
    <n v="9"/>
    <s v="Current"/>
    <x v="1"/>
    <s v="Draw"/>
    <b v="0"/>
    <n v="0"/>
    <n v="0"/>
    <n v="1"/>
    <n v="0"/>
  </r>
  <r>
    <x v="7"/>
    <s v="Draw"/>
    <n v="2"/>
    <n v="2"/>
    <n v="1"/>
    <x v="59"/>
    <s v="2|19000101|46279"/>
    <n v="4"/>
    <n v="2026"/>
    <n v="9"/>
    <s v="Current"/>
    <x v="46"/>
    <s v="Draw"/>
    <b v="0"/>
    <n v="0"/>
    <n v="0"/>
    <n v="1"/>
    <n v="0"/>
  </r>
  <r>
    <x v="7"/>
    <s v="Draw"/>
    <n v="2"/>
    <n v="2"/>
    <n v="1"/>
    <x v="59"/>
    <s v="2|19000101|46279"/>
    <n v="4"/>
    <n v="2026"/>
    <n v="9"/>
    <s v="Current"/>
    <x v="17"/>
    <s v="Draw"/>
    <b v="0"/>
    <n v="0"/>
    <n v="0"/>
    <n v="1"/>
    <n v="0"/>
  </r>
  <r>
    <x v="46"/>
    <s v="Draw"/>
    <n v="3"/>
    <n v="2"/>
    <n v="1"/>
    <x v="59"/>
    <s v="2|19000101|46279"/>
    <n v="4"/>
    <n v="2026"/>
    <n v="9"/>
    <s v="Current"/>
    <x v="1"/>
    <s v="Draw"/>
    <b v="0"/>
    <n v="0"/>
    <n v="0"/>
    <n v="1"/>
    <n v="0"/>
  </r>
  <r>
    <x v="46"/>
    <s v="Draw"/>
    <n v="3"/>
    <n v="2"/>
    <n v="1"/>
    <x v="59"/>
    <s v="2|19000101|46279"/>
    <n v="4"/>
    <n v="2026"/>
    <n v="9"/>
    <s v="Current"/>
    <x v="7"/>
    <s v="Draw"/>
    <b v="0"/>
    <n v="0"/>
    <n v="0"/>
    <n v="1"/>
    <n v="0"/>
  </r>
  <r>
    <x v="46"/>
    <s v="Draw"/>
    <n v="3"/>
    <n v="2"/>
    <n v="1"/>
    <x v="59"/>
    <s v="2|19000101|46279"/>
    <n v="4"/>
    <n v="2026"/>
    <n v="9"/>
    <s v="Current"/>
    <x v="17"/>
    <s v="Draw"/>
    <b v="0"/>
    <n v="0"/>
    <n v="0"/>
    <n v="1"/>
    <n v="0"/>
  </r>
  <r>
    <x v="17"/>
    <s v="Draw"/>
    <n v="4"/>
    <n v="2"/>
    <n v="1"/>
    <x v="59"/>
    <s v="2|19000101|46279"/>
    <n v="4"/>
    <n v="2026"/>
    <n v="9"/>
    <s v="Current"/>
    <x v="1"/>
    <s v="Draw"/>
    <b v="0"/>
    <n v="0"/>
    <n v="0"/>
    <n v="1"/>
    <n v="0"/>
  </r>
  <r>
    <x v="17"/>
    <s v="Draw"/>
    <n v="4"/>
    <n v="2"/>
    <n v="1"/>
    <x v="59"/>
    <s v="2|19000101|46279"/>
    <n v="4"/>
    <n v="2026"/>
    <n v="9"/>
    <s v="Current"/>
    <x v="7"/>
    <s v="Draw"/>
    <b v="0"/>
    <n v="0"/>
    <n v="0"/>
    <n v="1"/>
    <n v="0"/>
  </r>
  <r>
    <x v="17"/>
    <s v="Draw"/>
    <n v="4"/>
    <n v="2"/>
    <n v="1"/>
    <x v="59"/>
    <s v="2|19000101|46279"/>
    <n v="4"/>
    <n v="2026"/>
    <n v="9"/>
    <s v="Current"/>
    <x v="46"/>
    <s v="Draw"/>
    <b v="0"/>
    <n v="0"/>
    <n v="0"/>
    <n v="1"/>
    <n v="0"/>
  </r>
  <r>
    <x v="18"/>
    <s v="Draw"/>
    <n v="1"/>
    <n v="3"/>
    <n v="1"/>
    <x v="59"/>
    <s v="3|19000101|46279"/>
    <n v="4"/>
    <n v="2026"/>
    <n v="9"/>
    <s v="Current"/>
    <x v="0"/>
    <s v="Draw"/>
    <b v="0"/>
    <n v="0"/>
    <n v="0"/>
    <n v="1"/>
    <n v="0"/>
  </r>
  <r>
    <x v="18"/>
    <s v="Draw"/>
    <n v="1"/>
    <n v="3"/>
    <n v="1"/>
    <x v="59"/>
    <s v="3|19000101|46279"/>
    <n v="4"/>
    <n v="2026"/>
    <n v="9"/>
    <s v="Current"/>
    <x v="79"/>
    <s v="Draw"/>
    <b v="0"/>
    <n v="0"/>
    <n v="0"/>
    <n v="1"/>
    <n v="0"/>
  </r>
  <r>
    <x v="18"/>
    <s v="Draw"/>
    <n v="1"/>
    <n v="3"/>
    <n v="1"/>
    <x v="59"/>
    <s v="3|19000101|46279"/>
    <n v="4"/>
    <n v="2026"/>
    <n v="9"/>
    <s v="Current"/>
    <x v="44"/>
    <s v="Draw"/>
    <b v="0"/>
    <n v="0"/>
    <n v="0"/>
    <n v="1"/>
    <n v="0"/>
  </r>
  <r>
    <x v="1"/>
    <s v="Draw"/>
    <n v="2"/>
    <n v="3"/>
    <n v="1"/>
    <x v="59"/>
    <s v="3|19000101|46279"/>
    <n v="4"/>
    <n v="2026"/>
    <n v="9"/>
    <s v="Current"/>
    <x v="18"/>
    <s v="Draw"/>
    <b v="0"/>
    <n v="0"/>
    <n v="0"/>
    <n v="1"/>
    <n v="0"/>
  </r>
  <r>
    <x v="1"/>
    <s v="Draw"/>
    <n v="2"/>
    <n v="3"/>
    <n v="1"/>
    <x v="59"/>
    <s v="3|19000101|46279"/>
    <n v="4"/>
    <n v="2026"/>
    <n v="9"/>
    <s v="Current"/>
    <x v="79"/>
    <s v="Draw"/>
    <b v="0"/>
    <n v="0"/>
    <n v="0"/>
    <n v="1"/>
    <n v="0"/>
  </r>
  <r>
    <x v="1"/>
    <s v="Draw"/>
    <n v="2"/>
    <n v="3"/>
    <n v="1"/>
    <x v="59"/>
    <s v="3|19000101|46279"/>
    <n v="4"/>
    <n v="2026"/>
    <n v="9"/>
    <s v="Current"/>
    <x v="44"/>
    <s v="Draw"/>
    <b v="0"/>
    <n v="0"/>
    <n v="0"/>
    <n v="1"/>
    <n v="0"/>
  </r>
  <r>
    <x v="79"/>
    <s v="Draw"/>
    <n v="3"/>
    <n v="3"/>
    <n v="1"/>
    <x v="59"/>
    <s v="3|19000101|46279"/>
    <n v="4"/>
    <n v="2026"/>
    <n v="9"/>
    <s v="Current"/>
    <x v="18"/>
    <s v="Draw"/>
    <b v="0"/>
    <n v="0"/>
    <n v="0"/>
    <n v="1"/>
    <n v="0"/>
  </r>
  <r>
    <x v="79"/>
    <s v="Draw"/>
    <n v="3"/>
    <n v="3"/>
    <n v="1"/>
    <x v="59"/>
    <s v="3|19000101|46279"/>
    <n v="4"/>
    <n v="2026"/>
    <n v="9"/>
    <s v="Current"/>
    <x v="0"/>
    <s v="Draw"/>
    <b v="0"/>
    <n v="0"/>
    <n v="0"/>
    <n v="1"/>
    <n v="0"/>
  </r>
  <r>
    <x v="79"/>
    <s v="Draw"/>
    <n v="3"/>
    <n v="3"/>
    <n v="1"/>
    <x v="59"/>
    <s v="3|19000101|46279"/>
    <n v="4"/>
    <n v="2026"/>
    <n v="9"/>
    <s v="Current"/>
    <x v="44"/>
    <s v="Draw"/>
    <b v="0"/>
    <n v="0"/>
    <n v="0"/>
    <n v="1"/>
    <n v="0"/>
  </r>
  <r>
    <x v="44"/>
    <s v="Draw"/>
    <n v="4"/>
    <n v="3"/>
    <n v="1"/>
    <x v="59"/>
    <s v="3|19000101|46279"/>
    <n v="4"/>
    <n v="2026"/>
    <n v="9"/>
    <s v="Current"/>
    <x v="18"/>
    <s v="Draw"/>
    <b v="0"/>
    <n v="0"/>
    <n v="0"/>
    <n v="1"/>
    <n v="0"/>
  </r>
  <r>
    <x v="44"/>
    <s v="Draw"/>
    <n v="4"/>
    <n v="3"/>
    <n v="1"/>
    <x v="59"/>
    <s v="3|19000101|46279"/>
    <n v="4"/>
    <n v="2026"/>
    <n v="9"/>
    <s v="Current"/>
    <x v="0"/>
    <s v="Draw"/>
    <b v="0"/>
    <n v="0"/>
    <n v="0"/>
    <n v="1"/>
    <n v="0"/>
  </r>
  <r>
    <x v="44"/>
    <s v="Draw"/>
    <n v="4"/>
    <n v="3"/>
    <n v="1"/>
    <x v="59"/>
    <s v="3|19000101|46279"/>
    <n v="4"/>
    <n v="2026"/>
    <n v="9"/>
    <s v="Current"/>
    <x v="79"/>
    <s v="Draw"/>
    <b v="0"/>
    <n v="0"/>
    <n v="0"/>
    <n v="1"/>
    <n v="0"/>
  </r>
  <r>
    <x v="3"/>
    <s v="Loss"/>
    <n v="1"/>
    <n v="4"/>
    <n v="1"/>
    <x v="59"/>
    <s v="4|19000101|46279"/>
    <n v="3"/>
    <n v="2026"/>
    <n v="9"/>
    <s v="Current"/>
    <x v="96"/>
    <s v="Loss"/>
    <b v="0"/>
    <n v="0"/>
    <n v="1"/>
    <n v="0"/>
    <n v="0"/>
  </r>
  <r>
    <x v="3"/>
    <s v="Loss"/>
    <n v="1"/>
    <n v="4"/>
    <n v="1"/>
    <x v="59"/>
    <s v="4|19000101|46279"/>
    <n v="3"/>
    <n v="2026"/>
    <n v="9"/>
    <s v="Current"/>
    <x v="24"/>
    <s v="Win"/>
    <b v="0"/>
    <n v="0"/>
    <n v="1"/>
    <n v="0"/>
    <n v="1"/>
  </r>
  <r>
    <x v="96"/>
    <s v="Loss"/>
    <n v="2"/>
    <n v="4"/>
    <n v="1"/>
    <x v="59"/>
    <s v="4|19000101|46279"/>
    <n v="3"/>
    <n v="2026"/>
    <n v="9"/>
    <s v="Current"/>
    <x v="2"/>
    <s v="Loss"/>
    <b v="0"/>
    <n v="0"/>
    <n v="1"/>
    <n v="0"/>
    <n v="0"/>
  </r>
  <r>
    <x v="96"/>
    <s v="Loss"/>
    <n v="2"/>
    <n v="4"/>
    <n v="1"/>
    <x v="59"/>
    <s v="4|19000101|46279"/>
    <n v="3"/>
    <n v="2026"/>
    <n v="9"/>
    <s v="Current"/>
    <x v="24"/>
    <s v="Win"/>
    <b v="0"/>
    <n v="0"/>
    <n v="1"/>
    <n v="0"/>
    <n v="1"/>
  </r>
  <r>
    <x v="24"/>
    <s v="Win"/>
    <n v="3"/>
    <n v="4"/>
    <n v="1"/>
    <x v="59"/>
    <s v="4|19000101|46279"/>
    <n v="3"/>
    <n v="2026"/>
    <n v="9"/>
    <s v="Current"/>
    <x v="2"/>
    <s v="Loss"/>
    <b v="0"/>
    <n v="1"/>
    <n v="0"/>
    <n v="0"/>
    <n v="0"/>
  </r>
  <r>
    <x v="24"/>
    <s v="Win"/>
    <n v="3"/>
    <n v="4"/>
    <n v="1"/>
    <x v="59"/>
    <s v="4|19000101|46279"/>
    <n v="3"/>
    <n v="2026"/>
    <n v="9"/>
    <s v="Current"/>
    <x v="96"/>
    <s v="Loss"/>
    <b v="0"/>
    <n v="1"/>
    <n v="0"/>
    <n v="0"/>
    <n v="0"/>
  </r>
  <r>
    <x v="4"/>
    <s v="Win"/>
    <n v="1"/>
    <n v="5"/>
    <n v="1"/>
    <x v="59"/>
    <s v="5|19000101|46279"/>
    <n v="3"/>
    <n v="2026"/>
    <n v="9"/>
    <s v="Current"/>
    <x v="20"/>
    <s v="Loss"/>
    <b v="0"/>
    <n v="1"/>
    <n v="0"/>
    <n v="0"/>
    <n v="0"/>
  </r>
  <r>
    <x v="4"/>
    <s v="Win"/>
    <n v="1"/>
    <n v="5"/>
    <n v="1"/>
    <x v="59"/>
    <s v="5|19000101|46279"/>
    <n v="3"/>
    <n v="2026"/>
    <n v="9"/>
    <s v="Current"/>
    <x v="10"/>
    <s v="Loss"/>
    <b v="0"/>
    <n v="1"/>
    <n v="0"/>
    <n v="0"/>
    <n v="0"/>
  </r>
  <r>
    <x v="20"/>
    <s v="Loss"/>
    <n v="2"/>
    <n v="5"/>
    <n v="1"/>
    <x v="59"/>
    <s v="5|19000101|46279"/>
    <n v="3"/>
    <n v="2026"/>
    <n v="9"/>
    <s v="Current"/>
    <x v="4"/>
    <s v="Win"/>
    <b v="0"/>
    <n v="0"/>
    <n v="1"/>
    <n v="0"/>
    <n v="1"/>
  </r>
  <r>
    <x v="20"/>
    <s v="Loss"/>
    <n v="2"/>
    <n v="5"/>
    <n v="1"/>
    <x v="59"/>
    <s v="5|19000101|46279"/>
    <n v="3"/>
    <n v="2026"/>
    <n v="9"/>
    <s v="Current"/>
    <x v="10"/>
    <s v="Loss"/>
    <b v="0"/>
    <n v="0"/>
    <n v="1"/>
    <n v="0"/>
    <n v="0"/>
  </r>
  <r>
    <x v="10"/>
    <s v="Loss"/>
    <n v="3"/>
    <n v="5"/>
    <n v="1"/>
    <x v="59"/>
    <s v="5|19000101|46279"/>
    <n v="3"/>
    <n v="2026"/>
    <n v="9"/>
    <s v="Current"/>
    <x v="4"/>
    <s v="Win"/>
    <b v="0"/>
    <n v="0"/>
    <n v="1"/>
    <n v="0"/>
    <n v="1"/>
  </r>
  <r>
    <x v="10"/>
    <s v="Loss"/>
    <n v="3"/>
    <n v="5"/>
    <n v="1"/>
    <x v="59"/>
    <s v="5|19000101|46279"/>
    <n v="3"/>
    <n v="2026"/>
    <n v="9"/>
    <s v="Current"/>
    <x v="20"/>
    <s v="Loss"/>
    <b v="0"/>
    <n v="0"/>
    <n v="1"/>
    <n v="0"/>
    <n v="0"/>
  </r>
  <r>
    <x v="24"/>
    <s v="Loss"/>
    <n v="1"/>
    <n v="1"/>
    <n v="2"/>
    <x v="59"/>
    <s v="1|19000102|46279"/>
    <n v="4"/>
    <n v="2026"/>
    <n v="9"/>
    <s v="Current"/>
    <x v="84"/>
    <s v="Loss"/>
    <b v="0"/>
    <n v="0"/>
    <n v="1"/>
    <n v="0"/>
    <n v="0"/>
  </r>
  <r>
    <x v="24"/>
    <s v="Loss"/>
    <n v="1"/>
    <n v="1"/>
    <n v="2"/>
    <x v="59"/>
    <s v="1|19000102|46279"/>
    <n v="4"/>
    <n v="2026"/>
    <n v="9"/>
    <s v="Current"/>
    <x v="4"/>
    <s v="Win"/>
    <b v="0"/>
    <n v="0"/>
    <n v="1"/>
    <n v="0"/>
    <n v="1"/>
  </r>
  <r>
    <x v="24"/>
    <s v="Loss"/>
    <n v="1"/>
    <n v="1"/>
    <n v="2"/>
    <x v="59"/>
    <s v="1|19000102|46279"/>
    <n v="4"/>
    <n v="2026"/>
    <n v="9"/>
    <s v="Current"/>
    <x v="7"/>
    <s v="Loss"/>
    <b v="0"/>
    <n v="0"/>
    <n v="1"/>
    <n v="0"/>
    <n v="0"/>
  </r>
  <r>
    <x v="84"/>
    <s v="Loss"/>
    <n v="2"/>
    <n v="1"/>
    <n v="2"/>
    <x v="59"/>
    <s v="1|19000102|46279"/>
    <n v="4"/>
    <n v="2026"/>
    <n v="9"/>
    <s v="Current"/>
    <x v="24"/>
    <s v="Loss"/>
    <b v="0"/>
    <n v="0"/>
    <n v="1"/>
    <n v="0"/>
    <n v="0"/>
  </r>
  <r>
    <x v="84"/>
    <s v="Loss"/>
    <n v="2"/>
    <n v="1"/>
    <n v="2"/>
    <x v="59"/>
    <s v="1|19000102|46279"/>
    <n v="4"/>
    <n v="2026"/>
    <n v="9"/>
    <s v="Current"/>
    <x v="4"/>
    <s v="Win"/>
    <b v="0"/>
    <n v="0"/>
    <n v="1"/>
    <n v="0"/>
    <n v="1"/>
  </r>
  <r>
    <x v="84"/>
    <s v="Loss"/>
    <n v="2"/>
    <n v="1"/>
    <n v="2"/>
    <x v="59"/>
    <s v="1|19000102|46279"/>
    <n v="4"/>
    <n v="2026"/>
    <n v="9"/>
    <s v="Current"/>
    <x v="7"/>
    <s v="Loss"/>
    <b v="0"/>
    <n v="0"/>
    <n v="1"/>
    <n v="0"/>
    <n v="0"/>
  </r>
  <r>
    <x v="4"/>
    <s v="Win"/>
    <n v="3"/>
    <n v="1"/>
    <n v="2"/>
    <x v="59"/>
    <s v="1|19000102|46279"/>
    <n v="4"/>
    <n v="2026"/>
    <n v="9"/>
    <s v="Current"/>
    <x v="24"/>
    <s v="Loss"/>
    <b v="0"/>
    <n v="1"/>
    <n v="0"/>
    <n v="0"/>
    <n v="0"/>
  </r>
  <r>
    <x v="4"/>
    <s v="Win"/>
    <n v="3"/>
    <n v="1"/>
    <n v="2"/>
    <x v="59"/>
    <s v="1|19000102|46279"/>
    <n v="4"/>
    <n v="2026"/>
    <n v="9"/>
    <s v="Current"/>
    <x v="84"/>
    <s v="Loss"/>
    <b v="0"/>
    <n v="1"/>
    <n v="0"/>
    <n v="0"/>
    <n v="0"/>
  </r>
  <r>
    <x v="4"/>
    <s v="Win"/>
    <n v="3"/>
    <n v="1"/>
    <n v="2"/>
    <x v="59"/>
    <s v="1|19000102|46279"/>
    <n v="4"/>
    <n v="2026"/>
    <n v="9"/>
    <s v="Current"/>
    <x v="7"/>
    <s v="Loss"/>
    <b v="0"/>
    <n v="1"/>
    <n v="0"/>
    <n v="0"/>
    <n v="0"/>
  </r>
  <r>
    <x v="7"/>
    <s v="Loss"/>
    <n v="4"/>
    <n v="1"/>
    <n v="2"/>
    <x v="59"/>
    <s v="1|19000102|46279"/>
    <n v="4"/>
    <n v="2026"/>
    <n v="9"/>
    <s v="Current"/>
    <x v="24"/>
    <s v="Loss"/>
    <b v="0"/>
    <n v="0"/>
    <n v="1"/>
    <n v="0"/>
    <n v="0"/>
  </r>
  <r>
    <x v="7"/>
    <s v="Loss"/>
    <n v="4"/>
    <n v="1"/>
    <n v="2"/>
    <x v="59"/>
    <s v="1|19000102|46279"/>
    <n v="4"/>
    <n v="2026"/>
    <n v="9"/>
    <s v="Current"/>
    <x v="84"/>
    <s v="Loss"/>
    <b v="0"/>
    <n v="0"/>
    <n v="1"/>
    <n v="0"/>
    <n v="0"/>
  </r>
  <r>
    <x v="7"/>
    <s v="Loss"/>
    <n v="4"/>
    <n v="1"/>
    <n v="2"/>
    <x v="59"/>
    <s v="1|19000102|46279"/>
    <n v="4"/>
    <n v="2026"/>
    <n v="9"/>
    <s v="Current"/>
    <x v="4"/>
    <s v="Win"/>
    <b v="0"/>
    <n v="0"/>
    <n v="1"/>
    <n v="0"/>
    <n v="1"/>
  </r>
  <r>
    <x v="90"/>
    <s v="Win"/>
    <n v="1"/>
    <n v="2"/>
    <n v="2"/>
    <x v="59"/>
    <s v="2|19000102|46279"/>
    <n v="4"/>
    <n v="2026"/>
    <n v="9"/>
    <s v="Current"/>
    <x v="46"/>
    <s v="Loss"/>
    <b v="0"/>
    <n v="1"/>
    <n v="0"/>
    <n v="0"/>
    <n v="0"/>
  </r>
  <r>
    <x v="90"/>
    <s v="Win"/>
    <n v="1"/>
    <n v="2"/>
    <n v="2"/>
    <x v="59"/>
    <s v="2|19000102|46279"/>
    <n v="4"/>
    <n v="2026"/>
    <n v="9"/>
    <s v="Current"/>
    <x v="96"/>
    <s v="Loss"/>
    <b v="0"/>
    <n v="1"/>
    <n v="0"/>
    <n v="0"/>
    <n v="0"/>
  </r>
  <r>
    <x v="90"/>
    <s v="Win"/>
    <n v="1"/>
    <n v="2"/>
    <n v="2"/>
    <x v="59"/>
    <s v="2|19000102|46279"/>
    <n v="4"/>
    <n v="2026"/>
    <n v="9"/>
    <s v="Current"/>
    <x v="18"/>
    <s v="Loss"/>
    <b v="0"/>
    <n v="1"/>
    <n v="0"/>
    <n v="0"/>
    <n v="0"/>
  </r>
  <r>
    <x v="46"/>
    <s v="Loss"/>
    <n v="2"/>
    <n v="2"/>
    <n v="2"/>
    <x v="59"/>
    <s v="2|19000102|46279"/>
    <n v="4"/>
    <n v="2026"/>
    <n v="9"/>
    <s v="Current"/>
    <x v="90"/>
    <s v="Win"/>
    <b v="0"/>
    <n v="0"/>
    <n v="1"/>
    <n v="0"/>
    <n v="1"/>
  </r>
  <r>
    <x v="46"/>
    <s v="Loss"/>
    <n v="2"/>
    <n v="2"/>
    <n v="2"/>
    <x v="59"/>
    <s v="2|19000102|46279"/>
    <n v="4"/>
    <n v="2026"/>
    <n v="9"/>
    <s v="Current"/>
    <x v="96"/>
    <s v="Loss"/>
    <b v="0"/>
    <n v="0"/>
    <n v="1"/>
    <n v="0"/>
    <n v="0"/>
  </r>
  <r>
    <x v="46"/>
    <s v="Loss"/>
    <n v="2"/>
    <n v="2"/>
    <n v="2"/>
    <x v="59"/>
    <s v="2|19000102|46279"/>
    <n v="4"/>
    <n v="2026"/>
    <n v="9"/>
    <s v="Current"/>
    <x v="18"/>
    <s v="Loss"/>
    <b v="0"/>
    <n v="0"/>
    <n v="1"/>
    <n v="0"/>
    <n v="0"/>
  </r>
  <r>
    <x v="96"/>
    <s v="Loss"/>
    <n v="3"/>
    <n v="2"/>
    <n v="2"/>
    <x v="59"/>
    <s v="2|19000102|46279"/>
    <n v="4"/>
    <n v="2026"/>
    <n v="9"/>
    <s v="Current"/>
    <x v="90"/>
    <s v="Win"/>
    <b v="0"/>
    <n v="0"/>
    <n v="1"/>
    <n v="0"/>
    <n v="1"/>
  </r>
  <r>
    <x v="96"/>
    <s v="Loss"/>
    <n v="3"/>
    <n v="2"/>
    <n v="2"/>
    <x v="59"/>
    <s v="2|19000102|46279"/>
    <n v="4"/>
    <n v="2026"/>
    <n v="9"/>
    <s v="Current"/>
    <x v="46"/>
    <s v="Loss"/>
    <b v="0"/>
    <n v="0"/>
    <n v="1"/>
    <n v="0"/>
    <n v="0"/>
  </r>
  <r>
    <x v="96"/>
    <s v="Loss"/>
    <n v="3"/>
    <n v="2"/>
    <n v="2"/>
    <x v="59"/>
    <s v="2|19000102|46279"/>
    <n v="4"/>
    <n v="2026"/>
    <n v="9"/>
    <s v="Current"/>
    <x v="18"/>
    <s v="Loss"/>
    <b v="0"/>
    <n v="0"/>
    <n v="1"/>
    <n v="0"/>
    <n v="0"/>
  </r>
  <r>
    <x v="18"/>
    <s v="Loss"/>
    <n v="4"/>
    <n v="2"/>
    <n v="2"/>
    <x v="59"/>
    <s v="2|19000102|46279"/>
    <n v="4"/>
    <n v="2026"/>
    <n v="9"/>
    <s v="Current"/>
    <x v="90"/>
    <s v="Win"/>
    <b v="0"/>
    <n v="0"/>
    <n v="1"/>
    <n v="0"/>
    <n v="1"/>
  </r>
  <r>
    <x v="18"/>
    <s v="Loss"/>
    <n v="4"/>
    <n v="2"/>
    <n v="2"/>
    <x v="59"/>
    <s v="2|19000102|46279"/>
    <n v="4"/>
    <n v="2026"/>
    <n v="9"/>
    <s v="Current"/>
    <x v="46"/>
    <s v="Loss"/>
    <b v="0"/>
    <n v="0"/>
    <n v="1"/>
    <n v="0"/>
    <n v="0"/>
  </r>
  <r>
    <x v="18"/>
    <s v="Loss"/>
    <n v="4"/>
    <n v="2"/>
    <n v="2"/>
    <x v="59"/>
    <s v="2|19000102|46279"/>
    <n v="4"/>
    <n v="2026"/>
    <n v="9"/>
    <s v="Current"/>
    <x v="96"/>
    <s v="Loss"/>
    <b v="0"/>
    <n v="0"/>
    <n v="1"/>
    <n v="0"/>
    <n v="0"/>
  </r>
  <r>
    <x v="17"/>
    <s v="Draw"/>
    <n v="1"/>
    <n v="3"/>
    <n v="2"/>
    <x v="59"/>
    <s v="3|19000102|46279"/>
    <n v="4"/>
    <n v="2026"/>
    <n v="9"/>
    <s v="Current"/>
    <x v="14"/>
    <s v="Draw"/>
    <b v="0"/>
    <n v="0"/>
    <n v="0"/>
    <n v="1"/>
    <n v="0"/>
  </r>
  <r>
    <x v="17"/>
    <s v="Draw"/>
    <n v="1"/>
    <n v="3"/>
    <n v="2"/>
    <x v="59"/>
    <s v="3|19000102|46279"/>
    <n v="4"/>
    <n v="2026"/>
    <n v="9"/>
    <s v="Current"/>
    <x v="20"/>
    <s v="Draw"/>
    <b v="0"/>
    <n v="0"/>
    <n v="0"/>
    <n v="1"/>
    <n v="0"/>
  </r>
  <r>
    <x v="17"/>
    <s v="Draw"/>
    <n v="1"/>
    <n v="3"/>
    <n v="2"/>
    <x v="59"/>
    <s v="3|19000102|46279"/>
    <n v="4"/>
    <n v="2026"/>
    <n v="9"/>
    <s v="Current"/>
    <x v="0"/>
    <s v="Draw"/>
    <b v="0"/>
    <n v="0"/>
    <n v="0"/>
    <n v="1"/>
    <n v="0"/>
  </r>
  <r>
    <x v="14"/>
    <s v="Draw"/>
    <n v="2"/>
    <n v="3"/>
    <n v="2"/>
    <x v="59"/>
    <s v="3|19000102|46279"/>
    <n v="4"/>
    <n v="2026"/>
    <n v="9"/>
    <s v="Current"/>
    <x v="17"/>
    <s v="Draw"/>
    <b v="0"/>
    <n v="0"/>
    <n v="0"/>
    <n v="1"/>
    <n v="0"/>
  </r>
  <r>
    <x v="14"/>
    <s v="Draw"/>
    <n v="2"/>
    <n v="3"/>
    <n v="2"/>
    <x v="59"/>
    <s v="3|19000102|46279"/>
    <n v="4"/>
    <n v="2026"/>
    <n v="9"/>
    <s v="Current"/>
    <x v="20"/>
    <s v="Draw"/>
    <b v="0"/>
    <n v="0"/>
    <n v="0"/>
    <n v="1"/>
    <n v="0"/>
  </r>
  <r>
    <x v="14"/>
    <s v="Draw"/>
    <n v="2"/>
    <n v="3"/>
    <n v="2"/>
    <x v="59"/>
    <s v="3|19000102|46279"/>
    <n v="4"/>
    <n v="2026"/>
    <n v="9"/>
    <s v="Current"/>
    <x v="0"/>
    <s v="Draw"/>
    <b v="0"/>
    <n v="0"/>
    <n v="0"/>
    <n v="1"/>
    <n v="0"/>
  </r>
  <r>
    <x v="20"/>
    <s v="Draw"/>
    <n v="3"/>
    <n v="3"/>
    <n v="2"/>
    <x v="59"/>
    <s v="3|19000102|46279"/>
    <n v="4"/>
    <n v="2026"/>
    <n v="9"/>
    <s v="Current"/>
    <x v="17"/>
    <s v="Draw"/>
    <b v="0"/>
    <n v="0"/>
    <n v="0"/>
    <n v="1"/>
    <n v="0"/>
  </r>
  <r>
    <x v="20"/>
    <s v="Draw"/>
    <n v="3"/>
    <n v="3"/>
    <n v="2"/>
    <x v="59"/>
    <s v="3|19000102|46279"/>
    <n v="4"/>
    <n v="2026"/>
    <n v="9"/>
    <s v="Current"/>
    <x v="14"/>
    <s v="Draw"/>
    <b v="0"/>
    <n v="0"/>
    <n v="0"/>
    <n v="1"/>
    <n v="0"/>
  </r>
  <r>
    <x v="20"/>
    <s v="Draw"/>
    <n v="3"/>
    <n v="3"/>
    <n v="2"/>
    <x v="59"/>
    <s v="3|19000102|46279"/>
    <n v="4"/>
    <n v="2026"/>
    <n v="9"/>
    <s v="Current"/>
    <x v="0"/>
    <s v="Draw"/>
    <b v="0"/>
    <n v="0"/>
    <n v="0"/>
    <n v="1"/>
    <n v="0"/>
  </r>
  <r>
    <x v="1"/>
    <s v="Draw"/>
    <n v="4"/>
    <n v="3"/>
    <n v="2"/>
    <x v="59"/>
    <s v="3|19000102|46279"/>
    <n v="4"/>
    <n v="2026"/>
    <n v="9"/>
    <s v="Current"/>
    <x v="17"/>
    <s v="Draw"/>
    <b v="0"/>
    <n v="0"/>
    <n v="0"/>
    <n v="1"/>
    <n v="0"/>
  </r>
  <r>
    <x v="1"/>
    <s v="Draw"/>
    <n v="4"/>
    <n v="3"/>
    <n v="2"/>
    <x v="59"/>
    <s v="3|19000102|46279"/>
    <n v="4"/>
    <n v="2026"/>
    <n v="9"/>
    <s v="Current"/>
    <x v="14"/>
    <s v="Draw"/>
    <b v="0"/>
    <n v="0"/>
    <n v="0"/>
    <n v="1"/>
    <n v="0"/>
  </r>
  <r>
    <x v="1"/>
    <s v="Draw"/>
    <n v="4"/>
    <n v="3"/>
    <n v="2"/>
    <x v="59"/>
    <s v="3|19000102|46279"/>
    <n v="4"/>
    <n v="2026"/>
    <n v="9"/>
    <s v="Current"/>
    <x v="20"/>
    <s v="Draw"/>
    <b v="0"/>
    <n v="0"/>
    <n v="0"/>
    <n v="1"/>
    <n v="0"/>
  </r>
  <r>
    <x v="79"/>
    <s v="Loss"/>
    <n v="1"/>
    <n v="4"/>
    <n v="2"/>
    <x v="59"/>
    <s v="4|19000102|46279"/>
    <n v="3"/>
    <n v="2026"/>
    <n v="9"/>
    <s v="Current"/>
    <x v="2"/>
    <s v="Win"/>
    <b v="0"/>
    <n v="0"/>
    <n v="1"/>
    <n v="0"/>
    <n v="1"/>
  </r>
  <r>
    <x v="79"/>
    <s v="Loss"/>
    <n v="1"/>
    <n v="4"/>
    <n v="2"/>
    <x v="59"/>
    <s v="4|19000102|46279"/>
    <n v="3"/>
    <n v="2026"/>
    <n v="9"/>
    <s v="Current"/>
    <x v="1"/>
    <s v="Loss"/>
    <b v="0"/>
    <n v="0"/>
    <n v="1"/>
    <n v="0"/>
    <n v="0"/>
  </r>
  <r>
    <x v="3"/>
    <s v="Win"/>
    <n v="2"/>
    <n v="4"/>
    <n v="2"/>
    <x v="59"/>
    <s v="4|19000102|46279"/>
    <n v="3"/>
    <n v="2026"/>
    <n v="9"/>
    <s v="Current"/>
    <x v="79"/>
    <s v="Loss"/>
    <b v="0"/>
    <n v="1"/>
    <n v="0"/>
    <n v="0"/>
    <n v="0"/>
  </r>
  <r>
    <x v="3"/>
    <s v="Win"/>
    <n v="2"/>
    <n v="4"/>
    <n v="2"/>
    <x v="59"/>
    <s v="4|19000102|46279"/>
    <n v="3"/>
    <n v="2026"/>
    <n v="9"/>
    <s v="Current"/>
    <x v="1"/>
    <s v="Loss"/>
    <b v="0"/>
    <n v="1"/>
    <n v="0"/>
    <n v="0"/>
    <n v="0"/>
  </r>
  <r>
    <x v="2"/>
    <s v="Loss"/>
    <n v="3"/>
    <n v="4"/>
    <n v="2"/>
    <x v="59"/>
    <s v="4|19000102|46279"/>
    <n v="3"/>
    <n v="2026"/>
    <n v="9"/>
    <s v="Current"/>
    <x v="79"/>
    <s v="Loss"/>
    <b v="0"/>
    <n v="0"/>
    <n v="1"/>
    <n v="0"/>
    <n v="0"/>
  </r>
  <r>
    <x v="2"/>
    <s v="Loss"/>
    <n v="3"/>
    <n v="4"/>
    <n v="2"/>
    <x v="59"/>
    <s v="4|19000102|46279"/>
    <n v="3"/>
    <n v="2026"/>
    <n v="9"/>
    <s v="Current"/>
    <x v="2"/>
    <s v="Win"/>
    <b v="0"/>
    <n v="0"/>
    <n v="1"/>
    <n v="0"/>
    <n v="1"/>
  </r>
  <r>
    <x v="10"/>
    <s v="Draw"/>
    <n v="1"/>
    <n v="5"/>
    <n v="2"/>
    <x v="59"/>
    <s v="5|19000102|46279"/>
    <n v="3"/>
    <n v="2026"/>
    <n v="9"/>
    <s v="Current"/>
    <x v="5"/>
    <s v="Draw"/>
    <b v="0"/>
    <n v="0"/>
    <n v="0"/>
    <n v="1"/>
    <n v="0"/>
  </r>
  <r>
    <x v="10"/>
    <s v="Draw"/>
    <n v="1"/>
    <n v="5"/>
    <n v="2"/>
    <x v="59"/>
    <s v="5|19000102|46279"/>
    <n v="3"/>
    <n v="2026"/>
    <n v="9"/>
    <s v="Current"/>
    <x v="44"/>
    <s v="Draw"/>
    <b v="0"/>
    <n v="0"/>
    <n v="0"/>
    <n v="1"/>
    <n v="0"/>
  </r>
  <r>
    <x v="5"/>
    <s v="Draw"/>
    <n v="2"/>
    <n v="5"/>
    <n v="2"/>
    <x v="59"/>
    <s v="5|19000102|46279"/>
    <n v="3"/>
    <n v="2026"/>
    <n v="9"/>
    <s v="Current"/>
    <x v="10"/>
    <s v="Draw"/>
    <b v="0"/>
    <n v="0"/>
    <n v="0"/>
    <n v="1"/>
    <n v="0"/>
  </r>
  <r>
    <x v="5"/>
    <s v="Draw"/>
    <n v="2"/>
    <n v="5"/>
    <n v="2"/>
    <x v="59"/>
    <s v="5|19000102|46279"/>
    <n v="3"/>
    <n v="2026"/>
    <n v="9"/>
    <s v="Current"/>
    <x v="44"/>
    <s v="Draw"/>
    <b v="0"/>
    <n v="0"/>
    <n v="0"/>
    <n v="1"/>
    <n v="0"/>
  </r>
  <r>
    <x v="44"/>
    <s v="Draw"/>
    <n v="3"/>
    <n v="5"/>
    <n v="2"/>
    <x v="59"/>
    <s v="5|19000102|46279"/>
    <n v="3"/>
    <n v="2026"/>
    <n v="9"/>
    <s v="Current"/>
    <x v="10"/>
    <s v="Draw"/>
    <b v="0"/>
    <n v="0"/>
    <n v="0"/>
    <n v="1"/>
    <n v="0"/>
  </r>
  <r>
    <x v="44"/>
    <s v="Draw"/>
    <n v="3"/>
    <n v="5"/>
    <n v="2"/>
    <x v="59"/>
    <s v="5|19000102|46279"/>
    <n v="3"/>
    <n v="2026"/>
    <n v="9"/>
    <s v="Current"/>
    <x v="5"/>
    <s v="Draw"/>
    <b v="0"/>
    <n v="0"/>
    <n v="0"/>
    <n v="1"/>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06">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0"/>
  </r>
  <r>
    <x v="95"/>
    <x v="2"/>
    <x v="0"/>
    <n v="1"/>
    <n v="1"/>
    <d v="2026-08-31T00:00:00"/>
    <s v="1|19000101|46265"/>
    <x v="0"/>
    <x v="1"/>
    <x v="4"/>
    <x v="0"/>
  </r>
  <r>
    <x v="18"/>
    <x v="2"/>
    <x v="1"/>
    <n v="1"/>
    <n v="1"/>
    <d v="2026-08-31T00:00:00"/>
    <s v="1|19000101|46265"/>
    <x v="0"/>
    <x v="1"/>
    <x v="4"/>
    <x v="0"/>
  </r>
  <r>
    <x v="90"/>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4"/>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90"/>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4"/>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5"/>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4"/>
    <x v="2"/>
    <x v="4"/>
    <n v="3"/>
    <n v="1"/>
    <d v="2026-09-07T00:00:00"/>
    <s v="3|19000101|46272"/>
    <x v="0"/>
    <x v="1"/>
    <x v="5"/>
    <x v="0"/>
  </r>
  <r>
    <x v="42"/>
    <x v="2"/>
    <x v="0"/>
    <n v="3"/>
    <n v="1"/>
    <d v="2026-09-07T00:00:00"/>
    <s v="3|19000101|46272"/>
    <x v="0"/>
    <x v="1"/>
    <x v="5"/>
    <x v="0"/>
  </r>
  <r>
    <x v="4"/>
    <x v="2"/>
    <x v="1"/>
    <n v="3"/>
    <n v="1"/>
    <d v="2026-09-07T00:00:00"/>
    <s v="3|19000101|46272"/>
    <x v="0"/>
    <x v="1"/>
    <x v="5"/>
    <x v="0"/>
  </r>
  <r>
    <x v="70"/>
    <x v="2"/>
    <x v="2"/>
    <n v="3"/>
    <n v="1"/>
    <d v="2026-09-07T00:00:00"/>
    <s v="3|19000101|46272"/>
    <x v="0"/>
    <x v="1"/>
    <x v="5"/>
    <x v="0"/>
  </r>
  <r>
    <x v="57"/>
    <x v="2"/>
    <x v="4"/>
    <n v="4"/>
    <n v="1"/>
    <d v="2026-09-07T00:00:00"/>
    <s v="4|19000101|46272"/>
    <x v="0"/>
    <x v="1"/>
    <x v="5"/>
    <x v="0"/>
  </r>
  <r>
    <x v="9"/>
    <x v="2"/>
    <x v="0"/>
    <n v="4"/>
    <n v="1"/>
    <d v="2026-09-07T00:00:00"/>
    <s v="4|19000101|46272"/>
    <x v="0"/>
    <x v="1"/>
    <x v="5"/>
    <x v="0"/>
  </r>
  <r>
    <x v="90"/>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70"/>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4"/>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90"/>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0"/>
  </r>
  <r>
    <x v="84"/>
    <x v="0"/>
    <x v="0"/>
    <n v="1"/>
    <n v="1"/>
    <d v="2026-09-14T00:00:00"/>
    <s v="1|19000101|46279"/>
    <x v="0"/>
    <x v="1"/>
    <x v="5"/>
    <x v="0"/>
  </r>
  <r>
    <x v="8"/>
    <x v="1"/>
    <x v="1"/>
    <n v="1"/>
    <n v="1"/>
    <d v="2026-09-14T00:00:00"/>
    <s v="1|19000101|46279"/>
    <x v="0"/>
    <x v="1"/>
    <x v="5"/>
    <x v="0"/>
  </r>
  <r>
    <x v="90"/>
    <x v="1"/>
    <x v="2"/>
    <n v="1"/>
    <n v="1"/>
    <d v="2026-09-14T00:00:00"/>
    <s v="1|19000101|46279"/>
    <x v="0"/>
    <x v="1"/>
    <x v="5"/>
    <x v="0"/>
  </r>
  <r>
    <x v="18"/>
    <x v="2"/>
    <x v="4"/>
    <n v="2"/>
    <n v="1"/>
    <d v="2026-09-14T00:00:00"/>
    <s v="2|19000101|46279"/>
    <x v="0"/>
    <x v="1"/>
    <x v="5"/>
    <x v="0"/>
  </r>
  <r>
    <x v="58"/>
    <x v="2"/>
    <x v="0"/>
    <n v="2"/>
    <n v="1"/>
    <d v="2026-09-14T00:00:00"/>
    <s v="2|19000101|46279"/>
    <x v="0"/>
    <x v="1"/>
    <x v="5"/>
    <x v="0"/>
  </r>
  <r>
    <x v="10"/>
    <x v="2"/>
    <x v="1"/>
    <n v="2"/>
    <n v="1"/>
    <d v="2026-09-14T00:00:00"/>
    <s v="2|19000101|46279"/>
    <x v="0"/>
    <x v="1"/>
    <x v="5"/>
    <x v="0"/>
  </r>
  <r>
    <x v="57"/>
    <x v="2"/>
    <x v="2"/>
    <n v="2"/>
    <n v="1"/>
    <d v="2026-09-14T00:00:00"/>
    <s v="2|19000101|46279"/>
    <x v="0"/>
    <x v="1"/>
    <x v="5"/>
    <x v="0"/>
  </r>
  <r>
    <x v="11"/>
    <x v="2"/>
    <x v="4"/>
    <n v="3"/>
    <n v="1"/>
    <d v="2026-09-14T00:00:00"/>
    <s v="3|19000101|46279"/>
    <x v="0"/>
    <x v="1"/>
    <x v="5"/>
    <x v="0"/>
  </r>
  <r>
    <x v="13"/>
    <x v="2"/>
    <x v="0"/>
    <n v="3"/>
    <n v="1"/>
    <d v="2026-09-14T00:00:00"/>
    <s v="3|19000101|46279"/>
    <x v="0"/>
    <x v="1"/>
    <x v="5"/>
    <x v="0"/>
  </r>
  <r>
    <x v="79"/>
    <x v="2"/>
    <x v="1"/>
    <n v="3"/>
    <n v="1"/>
    <d v="2026-09-14T00:00:00"/>
    <s v="3|19000101|46279"/>
    <x v="0"/>
    <x v="1"/>
    <x v="5"/>
    <x v="0"/>
  </r>
  <r>
    <x v="4"/>
    <x v="2"/>
    <x v="2"/>
    <n v="3"/>
    <n v="1"/>
    <d v="2026-09-14T00:00:00"/>
    <s v="3|19000101|46279"/>
    <x v="0"/>
    <x v="1"/>
    <x v="5"/>
    <x v="0"/>
  </r>
  <r>
    <x v="42"/>
    <x v="1"/>
    <x v="4"/>
    <n v="4"/>
    <n v="1"/>
    <d v="2026-09-14T00:00:00"/>
    <s v="4|19000101|46279"/>
    <x v="2"/>
    <x v="1"/>
    <x v="5"/>
    <x v="0"/>
  </r>
  <r>
    <x v="96"/>
    <x v="1"/>
    <x v="0"/>
    <n v="4"/>
    <n v="1"/>
    <d v="2026-09-14T00:00:00"/>
    <s v="4|19000101|46279"/>
    <x v="2"/>
    <x v="1"/>
    <x v="5"/>
    <x v="0"/>
  </r>
  <r>
    <x v="27"/>
    <x v="0"/>
    <x v="1"/>
    <n v="4"/>
    <n v="1"/>
    <d v="2026-09-14T00:00:00"/>
    <s v="4|19000101|46279"/>
    <x v="2"/>
    <x v="1"/>
    <x v="5"/>
    <x v="0"/>
  </r>
  <r>
    <x v="1"/>
    <x v="0"/>
    <x v="4"/>
    <n v="5"/>
    <n v="1"/>
    <d v="2026-09-14T00:00:00"/>
    <s v="5|19000101|46279"/>
    <x v="2"/>
    <x v="1"/>
    <x v="5"/>
    <x v="0"/>
  </r>
  <r>
    <x v="50"/>
    <x v="1"/>
    <x v="0"/>
    <n v="5"/>
    <n v="1"/>
    <d v="2026-09-14T00:00:00"/>
    <s v="5|19000101|46279"/>
    <x v="2"/>
    <x v="1"/>
    <x v="5"/>
    <x v="0"/>
  </r>
  <r>
    <x v="15"/>
    <x v="1"/>
    <x v="1"/>
    <n v="5"/>
    <n v="1"/>
    <d v="2026-09-14T00:00:00"/>
    <s v="5|19000101|46279"/>
    <x v="2"/>
    <x v="1"/>
    <x v="5"/>
    <x v="0"/>
  </r>
  <r>
    <x v="27"/>
    <x v="1"/>
    <x v="4"/>
    <n v="1"/>
    <n v="2"/>
    <d v="2026-09-14T00:00:00"/>
    <s v="1|19000102|46279"/>
    <x v="0"/>
    <x v="1"/>
    <x v="5"/>
    <x v="0"/>
  </r>
  <r>
    <x v="84"/>
    <x v="1"/>
    <x v="0"/>
    <n v="1"/>
    <n v="2"/>
    <d v="2026-09-14T00:00:00"/>
    <s v="1|19000102|46279"/>
    <x v="0"/>
    <x v="1"/>
    <x v="5"/>
    <x v="0"/>
  </r>
  <r>
    <x v="1"/>
    <x v="0"/>
    <x v="1"/>
    <n v="1"/>
    <n v="2"/>
    <d v="2026-09-14T00:00:00"/>
    <s v="1|19000102|46279"/>
    <x v="0"/>
    <x v="1"/>
    <x v="5"/>
    <x v="0"/>
  </r>
  <r>
    <x v="58"/>
    <x v="1"/>
    <x v="2"/>
    <n v="1"/>
    <n v="2"/>
    <d v="2026-09-14T00:00:00"/>
    <s v="1|19000102|46279"/>
    <x v="0"/>
    <x v="1"/>
    <x v="5"/>
    <x v="0"/>
  </r>
  <r>
    <x v="90"/>
    <x v="0"/>
    <x v="4"/>
    <n v="2"/>
    <n v="2"/>
    <d v="2026-09-14T00:00:00"/>
    <s v="2|19000102|46279"/>
    <x v="0"/>
    <x v="1"/>
    <x v="5"/>
    <x v="0"/>
  </r>
  <r>
    <x v="10"/>
    <x v="1"/>
    <x v="0"/>
    <n v="2"/>
    <n v="2"/>
    <d v="2026-09-14T00:00:00"/>
    <s v="2|19000102|46279"/>
    <x v="0"/>
    <x v="1"/>
    <x v="5"/>
    <x v="0"/>
  </r>
  <r>
    <x v="96"/>
    <x v="1"/>
    <x v="1"/>
    <n v="2"/>
    <n v="2"/>
    <d v="2026-09-14T00:00:00"/>
    <s v="2|19000102|46279"/>
    <x v="0"/>
    <x v="1"/>
    <x v="5"/>
    <x v="0"/>
  </r>
  <r>
    <x v="11"/>
    <x v="1"/>
    <x v="2"/>
    <n v="2"/>
    <n v="2"/>
    <d v="2026-09-14T00:00:00"/>
    <s v="2|19000102|46279"/>
    <x v="0"/>
    <x v="1"/>
    <x v="5"/>
    <x v="0"/>
  </r>
  <r>
    <x v="57"/>
    <x v="2"/>
    <x v="4"/>
    <n v="3"/>
    <n v="2"/>
    <d v="2026-09-14T00:00:00"/>
    <s v="3|19000102|46279"/>
    <x v="0"/>
    <x v="1"/>
    <x v="5"/>
    <x v="0"/>
  </r>
  <r>
    <x v="8"/>
    <x v="2"/>
    <x v="0"/>
    <n v="3"/>
    <n v="2"/>
    <d v="2026-09-14T00:00:00"/>
    <s v="3|19000102|46279"/>
    <x v="0"/>
    <x v="1"/>
    <x v="5"/>
    <x v="0"/>
  </r>
  <r>
    <x v="50"/>
    <x v="2"/>
    <x v="1"/>
    <n v="3"/>
    <n v="2"/>
    <d v="2026-09-14T00:00:00"/>
    <s v="3|19000102|46279"/>
    <x v="0"/>
    <x v="1"/>
    <x v="5"/>
    <x v="0"/>
  </r>
  <r>
    <x v="13"/>
    <x v="2"/>
    <x v="2"/>
    <n v="3"/>
    <n v="2"/>
    <d v="2026-09-14T00:00:00"/>
    <s v="3|19000102|46279"/>
    <x v="0"/>
    <x v="1"/>
    <x v="5"/>
    <x v="0"/>
  </r>
  <r>
    <x v="79"/>
    <x v="1"/>
    <x v="4"/>
    <n v="4"/>
    <n v="2"/>
    <d v="2026-09-14T00:00:00"/>
    <s v="4|19000102|46279"/>
    <x v="2"/>
    <x v="1"/>
    <x v="5"/>
    <x v="0"/>
  </r>
  <r>
    <x v="42"/>
    <x v="0"/>
    <x v="0"/>
    <n v="4"/>
    <n v="2"/>
    <d v="2026-09-14T00:00:00"/>
    <s v="4|19000102|46279"/>
    <x v="2"/>
    <x v="1"/>
    <x v="5"/>
    <x v="0"/>
  </r>
  <r>
    <x v="18"/>
    <x v="1"/>
    <x v="1"/>
    <n v="4"/>
    <n v="2"/>
    <d v="2026-09-14T00:00:00"/>
    <s v="4|19000102|46279"/>
    <x v="2"/>
    <x v="1"/>
    <x v="5"/>
    <x v="0"/>
  </r>
  <r>
    <x v="15"/>
    <x v="2"/>
    <x v="4"/>
    <n v="5"/>
    <n v="2"/>
    <d v="2026-09-14T00:00:00"/>
    <s v="5|19000102|46279"/>
    <x v="2"/>
    <x v="1"/>
    <x v="5"/>
    <x v="0"/>
  </r>
  <r>
    <x v="9"/>
    <x v="2"/>
    <x v="0"/>
    <n v="5"/>
    <n v="2"/>
    <d v="2026-09-14T00:00:00"/>
    <s v="5|19000102|46279"/>
    <x v="2"/>
    <x v="1"/>
    <x v="5"/>
    <x v="0"/>
  </r>
  <r>
    <x v="4"/>
    <x v="2"/>
    <x v="1"/>
    <n v="5"/>
    <n v="2"/>
    <d v="2026-09-14T00:00:00"/>
    <s v="5|19000102|46279"/>
    <x v="2"/>
    <x v="1"/>
    <x v="5"/>
    <x v="0"/>
  </r>
  <r>
    <x v="79"/>
    <x v="1"/>
    <x v="4"/>
    <n v="1"/>
    <n v="1"/>
    <d v="2026-09-21T00:00:00"/>
    <s v="1|19000101|46286"/>
    <x v="0"/>
    <x v="1"/>
    <x v="5"/>
    <x v="1"/>
  </r>
  <r>
    <x v="42"/>
    <x v="0"/>
    <x v="0"/>
    <n v="1"/>
    <n v="1"/>
    <d v="2026-09-21T00:00:00"/>
    <s v="1|19000101|46286"/>
    <x v="0"/>
    <x v="1"/>
    <x v="5"/>
    <x v="1"/>
  </r>
  <r>
    <x v="33"/>
    <x v="1"/>
    <x v="1"/>
    <n v="1"/>
    <n v="1"/>
    <d v="2026-09-21T00:00:00"/>
    <s v="1|19000101|46286"/>
    <x v="0"/>
    <x v="1"/>
    <x v="5"/>
    <x v="1"/>
  </r>
  <r>
    <x v="8"/>
    <x v="1"/>
    <x v="2"/>
    <n v="1"/>
    <n v="1"/>
    <d v="2026-09-21T00:00:00"/>
    <s v="1|19000101|46286"/>
    <x v="0"/>
    <x v="1"/>
    <x v="5"/>
    <x v="1"/>
  </r>
  <r>
    <x v="4"/>
    <x v="2"/>
    <x v="4"/>
    <n v="2"/>
    <n v="1"/>
    <d v="2026-09-21T00:00:00"/>
    <s v="2|19000101|46286"/>
    <x v="0"/>
    <x v="1"/>
    <x v="5"/>
    <x v="1"/>
  </r>
  <r>
    <x v="50"/>
    <x v="2"/>
    <x v="0"/>
    <n v="2"/>
    <n v="1"/>
    <d v="2026-09-21T00:00:00"/>
    <s v="2|19000101|46286"/>
    <x v="0"/>
    <x v="1"/>
    <x v="5"/>
    <x v="1"/>
  </r>
  <r>
    <x v="96"/>
    <x v="2"/>
    <x v="1"/>
    <n v="2"/>
    <n v="1"/>
    <d v="2026-09-21T00:00:00"/>
    <s v="2|19000101|46286"/>
    <x v="0"/>
    <x v="1"/>
    <x v="5"/>
    <x v="1"/>
  </r>
  <r>
    <x v="67"/>
    <x v="2"/>
    <x v="2"/>
    <n v="2"/>
    <n v="1"/>
    <d v="2026-09-21T00:00:00"/>
    <s v="2|19000101|46286"/>
    <x v="0"/>
    <x v="1"/>
    <x v="5"/>
    <x v="1"/>
  </r>
  <r>
    <x v="9"/>
    <x v="1"/>
    <x v="4"/>
    <n v="3"/>
    <n v="1"/>
    <d v="2026-09-21T00:00:00"/>
    <s v="3|19000101|46286"/>
    <x v="0"/>
    <x v="1"/>
    <x v="5"/>
    <x v="1"/>
  </r>
  <r>
    <x v="84"/>
    <x v="0"/>
    <x v="0"/>
    <n v="3"/>
    <n v="1"/>
    <d v="2026-09-21T00:00:00"/>
    <s v="3|19000101|46286"/>
    <x v="0"/>
    <x v="1"/>
    <x v="5"/>
    <x v="1"/>
  </r>
  <r>
    <x v="57"/>
    <x v="1"/>
    <x v="1"/>
    <n v="3"/>
    <n v="1"/>
    <d v="2026-09-21T00:00:00"/>
    <s v="3|19000101|46286"/>
    <x v="0"/>
    <x v="1"/>
    <x v="5"/>
    <x v="1"/>
  </r>
  <r>
    <x v="10"/>
    <x v="1"/>
    <x v="2"/>
    <n v="3"/>
    <n v="1"/>
    <d v="2026-09-21T00:00:00"/>
    <s v="3|19000101|46286"/>
    <x v="0"/>
    <x v="1"/>
    <x v="5"/>
    <x v="1"/>
  </r>
  <r>
    <x v="90"/>
    <x v="1"/>
    <x v="4"/>
    <n v="4"/>
    <n v="1"/>
    <d v="2026-09-21T00:00:00"/>
    <s v="4|19000101|46286"/>
    <x v="0"/>
    <x v="1"/>
    <x v="5"/>
    <x v="1"/>
  </r>
  <r>
    <x v="11"/>
    <x v="1"/>
    <x v="0"/>
    <n v="4"/>
    <n v="1"/>
    <d v="2026-09-21T00:00:00"/>
    <s v="4|19000101|46286"/>
    <x v="0"/>
    <x v="1"/>
    <x v="5"/>
    <x v="1"/>
  </r>
  <r>
    <x v="80"/>
    <x v="1"/>
    <x v="1"/>
    <n v="4"/>
    <n v="1"/>
    <d v="2026-09-21T00:00:00"/>
    <s v="4|19000101|46286"/>
    <x v="0"/>
    <x v="1"/>
    <x v="5"/>
    <x v="1"/>
  </r>
  <r>
    <x v="1"/>
    <x v="0"/>
    <x v="2"/>
    <n v="4"/>
    <n v="1"/>
    <d v="2026-09-21T00:00:00"/>
    <s v="4|19000101|46286"/>
    <x v="0"/>
    <x v="1"/>
    <x v="5"/>
    <x v="1"/>
  </r>
  <r>
    <x v="92"/>
    <x v="1"/>
    <x v="4"/>
    <n v="5"/>
    <n v="1"/>
    <d v="2026-09-21T00:00:00"/>
    <s v="5|19000101|46286"/>
    <x v="0"/>
    <x v="1"/>
    <x v="5"/>
    <x v="1"/>
  </r>
  <r>
    <x v="58"/>
    <x v="1"/>
    <x v="0"/>
    <n v="5"/>
    <n v="1"/>
    <d v="2026-09-21T00:00:00"/>
    <s v="5|19000101|46286"/>
    <x v="0"/>
    <x v="1"/>
    <x v="5"/>
    <x v="1"/>
  </r>
  <r>
    <x v="25"/>
    <x v="1"/>
    <x v="1"/>
    <n v="5"/>
    <n v="1"/>
    <d v="2026-09-21T00:00:00"/>
    <s v="5|19000101|46286"/>
    <x v="0"/>
    <x v="1"/>
    <x v="5"/>
    <x v="1"/>
  </r>
  <r>
    <x v="15"/>
    <x v="0"/>
    <x v="2"/>
    <n v="5"/>
    <n v="1"/>
    <d v="2026-09-21T00:00:00"/>
    <s v="5|19000101|46286"/>
    <x v="0"/>
    <x v="1"/>
    <x v="5"/>
    <x v="1"/>
  </r>
  <r>
    <x v="97"/>
    <x v="1"/>
    <x v="4"/>
    <n v="6"/>
    <n v="1"/>
    <d v="2026-09-21T00:00:00"/>
    <s v="6|19000101|46286"/>
    <x v="2"/>
    <x v="1"/>
    <x v="5"/>
    <x v="1"/>
  </r>
  <r>
    <x v="18"/>
    <x v="1"/>
    <x v="0"/>
    <n v="6"/>
    <n v="1"/>
    <d v="2026-09-21T00:00:00"/>
    <s v="6|19000101|46286"/>
    <x v="2"/>
    <x v="1"/>
    <x v="5"/>
    <x v="1"/>
  </r>
  <r>
    <x v="13"/>
    <x v="0"/>
    <x v="1"/>
    <n v="6"/>
    <n v="1"/>
    <d v="2026-09-21T00:00:00"/>
    <s v="6|19000101|46286"/>
    <x v="2"/>
    <x v="1"/>
    <x v="5"/>
    <x v="1"/>
  </r>
  <r>
    <x v="57"/>
    <x v="2"/>
    <x v="4"/>
    <n v="1"/>
    <n v="2"/>
    <d v="2026-09-21T00:00:00"/>
    <s v="1|19000102|46286"/>
    <x v="0"/>
    <x v="1"/>
    <x v="5"/>
    <x v="1"/>
  </r>
  <r>
    <x v="80"/>
    <x v="2"/>
    <x v="0"/>
    <n v="1"/>
    <n v="2"/>
    <d v="2026-09-21T00:00:00"/>
    <s v="1|19000102|46286"/>
    <x v="0"/>
    <x v="1"/>
    <x v="5"/>
    <x v="1"/>
  </r>
  <r>
    <x v="13"/>
    <x v="2"/>
    <x v="1"/>
    <n v="1"/>
    <n v="2"/>
    <d v="2026-09-21T00:00:00"/>
    <s v="1|19000102|46286"/>
    <x v="0"/>
    <x v="1"/>
    <x v="5"/>
    <x v="1"/>
  </r>
  <r>
    <x v="50"/>
    <x v="2"/>
    <x v="2"/>
    <n v="1"/>
    <n v="2"/>
    <d v="2026-09-21T00:00:00"/>
    <s v="1|19000102|46286"/>
    <x v="0"/>
    <x v="1"/>
    <x v="5"/>
    <x v="1"/>
  </r>
  <r>
    <x v="18"/>
    <x v="2"/>
    <x v="4"/>
    <n v="2"/>
    <n v="2"/>
    <d v="2026-09-21T00:00:00"/>
    <s v="2|19000102|46286"/>
    <x v="0"/>
    <x v="1"/>
    <x v="5"/>
    <x v="1"/>
  </r>
  <r>
    <x v="58"/>
    <x v="2"/>
    <x v="0"/>
    <n v="2"/>
    <n v="2"/>
    <d v="2026-09-21T00:00:00"/>
    <s v="2|19000102|46286"/>
    <x v="0"/>
    <x v="1"/>
    <x v="5"/>
    <x v="1"/>
  </r>
  <r>
    <x v="42"/>
    <x v="2"/>
    <x v="1"/>
    <n v="2"/>
    <n v="2"/>
    <d v="2026-09-21T00:00:00"/>
    <s v="2|19000102|46286"/>
    <x v="0"/>
    <x v="1"/>
    <x v="5"/>
    <x v="1"/>
  </r>
  <r>
    <x v="4"/>
    <x v="2"/>
    <x v="2"/>
    <n v="2"/>
    <n v="2"/>
    <d v="2026-09-21T00:00:00"/>
    <s v="2|19000102|46286"/>
    <x v="0"/>
    <x v="1"/>
    <x v="5"/>
    <x v="1"/>
  </r>
  <r>
    <x v="96"/>
    <x v="2"/>
    <x v="4"/>
    <n v="3"/>
    <n v="2"/>
    <d v="2026-09-21T00:00:00"/>
    <s v="3|19000102|46286"/>
    <x v="0"/>
    <x v="1"/>
    <x v="5"/>
    <x v="1"/>
  </r>
  <r>
    <x v="10"/>
    <x v="2"/>
    <x v="0"/>
    <n v="3"/>
    <n v="2"/>
    <d v="2026-09-21T00:00:00"/>
    <s v="3|19000102|46286"/>
    <x v="0"/>
    <x v="1"/>
    <x v="5"/>
    <x v="1"/>
  </r>
  <r>
    <x v="1"/>
    <x v="2"/>
    <x v="1"/>
    <n v="3"/>
    <n v="2"/>
    <d v="2026-09-21T00:00:00"/>
    <s v="3|19000102|46286"/>
    <x v="0"/>
    <x v="1"/>
    <x v="5"/>
    <x v="1"/>
  </r>
  <r>
    <x v="97"/>
    <x v="2"/>
    <x v="2"/>
    <n v="3"/>
    <n v="2"/>
    <d v="2026-09-21T00:00:00"/>
    <s v="3|19000102|46286"/>
    <x v="0"/>
    <x v="1"/>
    <x v="5"/>
    <x v="1"/>
  </r>
  <r>
    <x v="67"/>
    <x v="0"/>
    <x v="4"/>
    <n v="4"/>
    <n v="2"/>
    <d v="2026-09-21T00:00:00"/>
    <s v="4|19000102|46286"/>
    <x v="0"/>
    <x v="1"/>
    <x v="5"/>
    <x v="1"/>
  </r>
  <r>
    <x v="8"/>
    <x v="1"/>
    <x v="0"/>
    <n v="4"/>
    <n v="2"/>
    <d v="2026-09-21T00:00:00"/>
    <s v="4|19000102|46286"/>
    <x v="0"/>
    <x v="1"/>
    <x v="5"/>
    <x v="1"/>
  </r>
  <r>
    <x v="84"/>
    <x v="1"/>
    <x v="1"/>
    <n v="4"/>
    <n v="2"/>
    <d v="2026-09-21T00:00:00"/>
    <s v="4|19000102|46286"/>
    <x v="0"/>
    <x v="1"/>
    <x v="5"/>
    <x v="1"/>
  </r>
  <r>
    <x v="92"/>
    <x v="1"/>
    <x v="2"/>
    <n v="4"/>
    <n v="2"/>
    <d v="2026-09-21T00:00:00"/>
    <s v="4|19000102|46286"/>
    <x v="0"/>
    <x v="1"/>
    <x v="5"/>
    <x v="1"/>
  </r>
  <r>
    <x v="15"/>
    <x v="0"/>
    <x v="4"/>
    <n v="5"/>
    <n v="2"/>
    <d v="2026-09-21T00:00:00"/>
    <s v="5|19000102|46286"/>
    <x v="0"/>
    <x v="1"/>
    <x v="5"/>
    <x v="1"/>
  </r>
  <r>
    <x v="11"/>
    <x v="1"/>
    <x v="0"/>
    <n v="5"/>
    <n v="2"/>
    <d v="2026-09-21T00:00:00"/>
    <s v="5|19000102|46286"/>
    <x v="0"/>
    <x v="1"/>
    <x v="5"/>
    <x v="1"/>
  </r>
  <r>
    <x v="9"/>
    <x v="1"/>
    <x v="1"/>
    <n v="5"/>
    <n v="2"/>
    <d v="2026-09-21T00:00:00"/>
    <s v="5|19000102|46286"/>
    <x v="0"/>
    <x v="1"/>
    <x v="5"/>
    <x v="1"/>
  </r>
  <r>
    <x v="79"/>
    <x v="1"/>
    <x v="2"/>
    <n v="5"/>
    <n v="2"/>
    <d v="2026-09-21T00:00:00"/>
    <s v="5|19000102|46286"/>
    <x v="0"/>
    <x v="1"/>
    <x v="5"/>
    <x v="1"/>
  </r>
  <r>
    <x v="25"/>
    <x v="1"/>
    <x v="4"/>
    <n v="6"/>
    <n v="2"/>
    <d v="2026-09-21T00:00:00"/>
    <s v="6|19000102|46286"/>
    <x v="2"/>
    <x v="1"/>
    <x v="5"/>
    <x v="1"/>
  </r>
  <r>
    <x v="33"/>
    <x v="0"/>
    <x v="0"/>
    <n v="6"/>
    <n v="2"/>
    <d v="2026-09-21T00:00:00"/>
    <s v="6|19000102|46286"/>
    <x v="2"/>
    <x v="1"/>
    <x v="5"/>
    <x v="1"/>
  </r>
  <r>
    <x v="90"/>
    <x v="1"/>
    <x v="1"/>
    <n v="6"/>
    <n v="2"/>
    <d v="2026-09-21T00:00:00"/>
    <s v="6|19000102|46286"/>
    <x v="2"/>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4" firstHeaderRow="1" firstDataRow="2" firstDataCol="1" rowPageCount="2"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38">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5"/>
    </i>
    <i>
      <x v="148"/>
    </i>
    <i>
      <x v="150"/>
    </i>
    <i>
      <x v="151"/>
    </i>
    <i>
      <x v="152"/>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4" firstHeaderRow="0" firstDataRow="1" firstDataCol="1" rowPageCount="1" colPageCount="1"/>
  <pivotFields count="22">
    <pivotField axis="axisPage" showAll="0">
      <items count="140">
        <item x="0"/>
        <item x="4"/>
        <item x="40"/>
        <item x="50"/>
        <item x="14"/>
        <item x="5"/>
        <item x="18"/>
        <item m="1" x="120"/>
        <item x="1"/>
        <item x="10"/>
        <item x="15"/>
        <item x="8"/>
        <item x="2"/>
        <item x="34"/>
        <item x="62"/>
        <item m="1" x="133"/>
        <item x="9"/>
        <item x="61"/>
        <item x="22"/>
        <item x="24"/>
        <item m="1" x="132"/>
        <item m="1" x="126"/>
        <item x="55"/>
        <item x="53"/>
        <item x="35"/>
        <item x="13"/>
        <item x="37"/>
        <item x="56"/>
        <item x="51"/>
        <item m="1" x="116"/>
        <item x="29"/>
        <item x="36"/>
        <item x="49"/>
        <item x="3"/>
        <item x="54"/>
        <item x="25"/>
        <item x="60"/>
        <item x="63"/>
        <item x="6"/>
        <item x="19"/>
        <item x="52"/>
        <item x="20"/>
        <item x="23"/>
        <item x="27"/>
        <item x="30"/>
        <item x="26"/>
        <item x="57"/>
        <item x="17"/>
        <item x="7"/>
        <item x="31"/>
        <item x="59"/>
        <item m="1" x="114"/>
        <item x="33"/>
        <item m="1" x="129"/>
        <item m="1" x="123"/>
        <item m="1" x="122"/>
        <item x="12"/>
        <item m="1" x="124"/>
        <item x="42"/>
        <item m="1" x="138"/>
        <item m="1" x="136"/>
        <item m="1" x="137"/>
        <item m="1" x="134"/>
        <item m="1" x="135"/>
        <item x="28"/>
        <item m="1" x="121"/>
        <item x="45"/>
        <item m="1" x="105"/>
        <item x="48"/>
        <item x="46"/>
        <item x="43"/>
        <item m="1" x="130"/>
        <item m="1" x="125"/>
        <item x="21"/>
        <item x="44"/>
        <item m="1" x="131"/>
        <item x="11"/>
        <item x="16"/>
        <item x="58"/>
        <item m="1" x="102"/>
        <item x="64"/>
        <item m="1" x="128"/>
        <item m="1" x="127"/>
        <item x="66"/>
        <item x="65"/>
        <item x="67"/>
        <item x="68"/>
        <item x="69"/>
        <item x="70"/>
        <item x="71"/>
        <item x="72"/>
        <item x="32"/>
        <item x="38"/>
        <item x="39"/>
        <item x="41"/>
        <item x="73"/>
        <item x="74"/>
        <item m="1" x="118"/>
        <item m="1" x="119"/>
        <item m="1" x="117"/>
        <item m="1" x="113"/>
        <item m="1" x="106"/>
        <item m="1" x="115"/>
        <item x="76"/>
        <item x="77"/>
        <item x="78"/>
        <item m="1" x="111"/>
        <item x="79"/>
        <item m="1" x="107"/>
        <item x="80"/>
        <item m="1" x="112"/>
        <item m="1" x="101"/>
        <item m="1" x="108"/>
        <item x="47"/>
        <item x="81"/>
        <item x="82"/>
        <item x="83"/>
        <item x="84"/>
        <item x="75"/>
        <item m="1" x="109"/>
        <item m="1" x="97"/>
        <item x="85"/>
        <item x="86"/>
        <item m="1" x="98"/>
        <item x="87"/>
        <item m="1" x="110"/>
        <item x="88"/>
        <item x="89"/>
        <item m="1" x="104"/>
        <item x="91"/>
        <item x="92"/>
        <item x="90"/>
        <item m="1" x="103"/>
        <item m="1" x="99"/>
        <item x="93"/>
        <item m="1" x="100"/>
        <item x="94"/>
        <item x="95"/>
        <item x="96"/>
        <item t="default"/>
      </items>
    </pivotField>
    <pivotField showAll="0"/>
    <pivotField showAll="0"/>
    <pivotField showAll="0"/>
    <pivotField showAll="0"/>
    <pivotField numFmtId="22" showAll="0">
      <items count="61">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dataField="1" showAll="0"/>
    <pivotField showAll="0"/>
    <pivotField showAll="0"/>
    <pivotField showAll="0"/>
    <pivotField showAll="0"/>
    <pivotField axis="axisRow" showAll="0" sortType="descending">
      <items count="140">
        <item x="3"/>
        <item x="4"/>
        <item x="40"/>
        <item x="50"/>
        <item x="14"/>
        <item x="5"/>
        <item x="18"/>
        <item m="1" x="120"/>
        <item x="0"/>
        <item x="10"/>
        <item x="15"/>
        <item x="8"/>
        <item x="1"/>
        <item x="34"/>
        <item x="62"/>
        <item m="1" x="133"/>
        <item x="9"/>
        <item x="61"/>
        <item x="22"/>
        <item x="24"/>
        <item m="1" x="132"/>
        <item m="1" x="126"/>
        <item x="55"/>
        <item x="53"/>
        <item x="35"/>
        <item x="13"/>
        <item x="37"/>
        <item x="56"/>
        <item x="51"/>
        <item m="1" x="116"/>
        <item x="29"/>
        <item x="36"/>
        <item x="49"/>
        <item x="2"/>
        <item x="54"/>
        <item x="25"/>
        <item x="60"/>
        <item x="63"/>
        <item x="6"/>
        <item x="19"/>
        <item x="52"/>
        <item x="20"/>
        <item x="23"/>
        <item x="27"/>
        <item x="30"/>
        <item x="26"/>
        <item x="57"/>
        <item x="17"/>
        <item x="7"/>
        <item x="31"/>
        <item x="59"/>
        <item m="1" x="114"/>
        <item x="33"/>
        <item m="1" x="129"/>
        <item m="1" x="123"/>
        <item m="1" x="122"/>
        <item x="12"/>
        <item m="1" x="124"/>
        <item x="42"/>
        <item m="1" x="138"/>
        <item m="1" x="136"/>
        <item m="1" x="137"/>
        <item m="1" x="134"/>
        <item m="1" x="135"/>
        <item x="28"/>
        <item m="1" x="121"/>
        <item x="45"/>
        <item x="47"/>
        <item m="1" x="105"/>
        <item x="46"/>
        <item x="43"/>
        <item m="1" x="130"/>
        <item m="1" x="125"/>
        <item x="21"/>
        <item x="44"/>
        <item m="1" x="131"/>
        <item x="11"/>
        <item x="16"/>
        <item x="58"/>
        <item m="1" x="102"/>
        <item x="64"/>
        <item m="1" x="128"/>
        <item m="1" x="127"/>
        <item x="65"/>
        <item x="66"/>
        <item x="67"/>
        <item x="68"/>
        <item x="69"/>
        <item x="70"/>
        <item x="71"/>
        <item x="72"/>
        <item x="32"/>
        <item x="38"/>
        <item x="39"/>
        <item x="41"/>
        <item x="73"/>
        <item x="74"/>
        <item m="1" x="118"/>
        <item m="1" x="119"/>
        <item m="1" x="117"/>
        <item m="1" x="113"/>
        <item m="1" x="106"/>
        <item m="1" x="115"/>
        <item x="76"/>
        <item x="77"/>
        <item x="78"/>
        <item m="1" x="111"/>
        <item x="79"/>
        <item m="1" x="107"/>
        <item m="1" x="112"/>
        <item x="80"/>
        <item m="1" x="101"/>
        <item m="1" x="108"/>
        <item x="48"/>
        <item x="81"/>
        <item x="82"/>
        <item x="83"/>
        <item x="84"/>
        <item x="75"/>
        <item m="1" x="97"/>
        <item x="85"/>
        <item m="1" x="109"/>
        <item x="86"/>
        <item m="1" x="98"/>
        <item x="87"/>
        <item m="1" x="110"/>
        <item x="88"/>
        <item x="89"/>
        <item m="1" x="104"/>
        <item x="91"/>
        <item x="92"/>
        <item x="90"/>
        <item m="1" x="103"/>
        <item m="1" x="99"/>
        <item x="93"/>
        <item m="1" x="100"/>
        <item x="94"/>
        <item x="95"/>
        <item x="9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1">
    <i>
      <x v="47"/>
    </i>
    <i>
      <x v="73"/>
    </i>
    <i>
      <x v="12"/>
    </i>
    <i>
      <x v="1"/>
    </i>
    <i>
      <x v="6"/>
    </i>
    <i>
      <x v="33"/>
    </i>
    <i>
      <x v="4"/>
    </i>
    <i>
      <x v="5"/>
    </i>
    <i>
      <x v="19"/>
    </i>
    <i>
      <x v="9"/>
    </i>
    <i>
      <x v="48"/>
    </i>
    <i>
      <x v="74"/>
    </i>
    <i>
      <x v="10"/>
    </i>
    <i>
      <x v="56"/>
    </i>
    <i>
      <x v="41"/>
    </i>
    <i>
      <x v="25"/>
    </i>
    <i>
      <x v="13"/>
    </i>
    <i>
      <x v="64"/>
    </i>
    <i>
      <x v="88"/>
    </i>
    <i>
      <x v="42"/>
    </i>
    <i>
      <x v="69"/>
    </i>
    <i>
      <x v="43"/>
    </i>
    <i>
      <x v="77"/>
    </i>
    <i>
      <x v="91"/>
    </i>
    <i>
      <x v="45"/>
    </i>
    <i>
      <x v="107"/>
    </i>
    <i>
      <x v="49"/>
    </i>
    <i>
      <x v="70"/>
    </i>
    <i>
      <x v="117"/>
    </i>
    <i>
      <x v="76"/>
    </i>
    <i>
      <x/>
    </i>
    <i>
      <x v="131"/>
    </i>
    <i>
      <x v="31"/>
    </i>
    <i>
      <x v="52"/>
    </i>
    <i>
      <x v="11"/>
    </i>
    <i>
      <x v="38"/>
    </i>
    <i>
      <x v="35"/>
    </i>
    <i>
      <x v="39"/>
    </i>
    <i>
      <x v="116"/>
    </i>
    <i>
      <x v="90"/>
    </i>
    <i>
      <x v="96"/>
    </i>
    <i>
      <x v="93"/>
    </i>
    <i>
      <x v="27"/>
    </i>
    <i>
      <x v="44"/>
    </i>
    <i>
      <x v="14"/>
    </i>
    <i>
      <x v="136"/>
    </i>
    <i>
      <x v="110"/>
    </i>
    <i>
      <x v="95"/>
    </i>
    <i>
      <x v="37"/>
    </i>
    <i>
      <x v="105"/>
    </i>
    <i>
      <x v="134"/>
    </i>
    <i>
      <x v="30"/>
    </i>
    <i>
      <x v="3"/>
    </i>
    <i>
      <x v="120"/>
    </i>
    <i>
      <x v="118"/>
    </i>
    <i>
      <x v="36"/>
    </i>
    <i>
      <x v="87"/>
    </i>
    <i>
      <x v="78"/>
    </i>
    <i>
      <x v="84"/>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5" firstHeaderRow="1" firstDataRow="2" firstDataCol="1" rowPageCount="1"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40">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4"/>
    </i>
    <i>
      <x v="145"/>
    </i>
    <i>
      <x v="148"/>
    </i>
    <i>
      <x v="150"/>
    </i>
    <i>
      <x v="151"/>
    </i>
    <i>
      <x v="152"/>
    </i>
    <i>
      <x v="153"/>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207" totalsRowShown="0">
  <autoFilter ref="A1:K2207"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295" tableType="queryTable" totalsRowShown="0">
  <autoFilter ref="A1:R6295"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tabSelected="1" zoomScaleNormal="100" workbookViewId="0">
      <selection activeCell="S1" sqref="S1"/>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15</v>
      </c>
      <c r="C5" s="6">
        <f>View_Table[[#This Row],[Rank Previous]]-View_Table[[#This Row],[Rank]]</f>
        <v>1</v>
      </c>
      <c r="D5" s="7">
        <f>_xlfn.RANK.EQ(View_Table[[#This Row],[Weighted Win%]], View_Table[Weighted Win%], 0)</f>
        <v>1</v>
      </c>
      <c r="E5" s="9">
        <f>_xlfn.LET(_xlpm.g,View_Table[[#This Row],[Games]], _xlpm.w,(View_Table[[#This Row],[Wins]] + View_Table[[#This Row],[Draws]] * 0.25), _xlpm.fake, MAX(0,25-_xlpm.g), IF(_xlpm.g=0,0,(_xlpm.w + _xlpm.fake*0.25)/(_xlpm.g + _xlpm.fake)))</f>
        <v>0.49</v>
      </c>
      <c r="F5" s="8">
        <f>IF(View_Table[[#This Row],[Games]]=0,0,(View_Table[[#This Row],[Wins]] + (View_Table[[#This Row],[Draws]] * 0.25))/View_Table[[#This Row],[Games]])</f>
        <v>0.52272727272727271</v>
      </c>
      <c r="G5" s="5">
        <f>IFERROR(
    GETPIVOTDATA(
        "Result",
        'Pivot Table'!$A$3,
        "Player",View_Table[[#This Row],[Player]],
        "Result","Win"
    ),
    0
)</f>
        <v>10</v>
      </c>
      <c r="H5" s="5">
        <f>IFERROR(
    GETPIVOTDATA(
        "Result",
        'Pivot Table'!$A$3,
        "Player",View_Table[[#This Row],[Player]],
        "Result","Loss"
    ),
    0
)</f>
        <v>6</v>
      </c>
      <c r="I5" s="5">
        <f>IFERROR(
    GETPIVOTDATA(
        "Result",
        'Pivot Table'!$A$3,
        "Player",View_Table[[#This Row],[Player]],
        "Result","Draw"
    ),
    0
)</f>
        <v>6</v>
      </c>
      <c r="J5" s="5">
        <f>View_Table[[#This Row],[Wins]]+View_Table[[#This Row],[Losses]]+View_Table[[#This Row],[Draws]]</f>
        <v>22</v>
      </c>
      <c r="K5" s="7">
        <f>IFERROR(
    GETPIVOTDATA(
        "Result",
        'Pivot Table Previous'!$A$3,
        "Player",View_Table[[#This Row],[Player]],
        "Result","Win"
    ),
    0
)</f>
        <v>9</v>
      </c>
      <c r="L5" s="5">
        <f>IFERROR(
    GETPIVOTDATA(
        "Result",
        'Pivot Table Previous'!$A$3,
        "Player",View_Table[[#This Row],[Player]],
        "Result","Loss"
    ),
    0
)</f>
        <v>6</v>
      </c>
      <c r="M5" s="5">
        <f>IFERROR(
    GETPIVOTDATA(
        "Result",
        'Pivot Table Previous'!$A$3,
        "Player",View_Table[[#This Row],[Player]],
        "Result","Draw"
    ),
    0
)</f>
        <v>5</v>
      </c>
      <c r="N5" s="5">
        <f>View_Table[[#This Row],[Wins Previous]]+View_Table[[#This Row],[Losses Previous]]+View_Table[[#This Row],[Draws Previous]]</f>
        <v>20</v>
      </c>
      <c r="O5" s="9">
        <f>_xlfn.LET(_xlpm.g,View_Table[[#This Row],[Games Previous]], _xlpm.w,(View_Table[[#This Row],[Wins Previous]] + View_Table[[#This Row],[Draws Previous]] * 0.25), _xlpm.fake, MAX(0,25-_xlpm.g), IF(_xlpm.g=0,0,(_xlpm.w + _xlpm.fake*0.25)/(_xlpm.g + _xlpm.fake)))</f>
        <v>0.46</v>
      </c>
      <c r="P5" s="7">
        <f>_xlfn.RANK.EQ(View_Table[[#This Row],[Weighted Win% Previous]], View_Table[Weighted Win% Previous], 0)</f>
        <v>2</v>
      </c>
    </row>
    <row r="6" spans="2:16" x14ac:dyDescent="0.45">
      <c r="B6" s="3" t="s">
        <v>28</v>
      </c>
      <c r="C6" s="6">
        <f>View_Table[[#This Row],[Rank Previous]]-View_Table[[#This Row],[Rank]]</f>
        <v>-1</v>
      </c>
      <c r="D6" s="7">
        <f>_xlfn.RANK.EQ(View_Table[[#This Row],[Weighted Win%]], View_Table[Weighted Win%], 0)</f>
        <v>2</v>
      </c>
      <c r="E6" s="9">
        <f>_xlfn.LET(_xlpm.g,View_Table[[#This Row],[Games]], _xlpm.w,(View_Table[[#This Row],[Wins]] + View_Table[[#This Row],[Draws]] * 0.25), _xlpm.fake, MAX(0,25-_xlpm.g), IF(_xlpm.g=0,0,(_xlpm.w + _xlpm.fake*0.25)/(_xlpm.g + _xlpm.fake)))</f>
        <v>0.46</v>
      </c>
      <c r="F6" s="8">
        <f>IF(View_Table[[#This Row],[Games]]=0,0,(View_Table[[#This Row],[Wins]] + (View_Table[[#This Row],[Draws]] * 0.25))/View_Table[[#This Row],[Games]])</f>
        <v>0.51249999999999996</v>
      </c>
      <c r="G6" s="5">
        <f>IFERROR(
    GETPIVOTDATA(
        "Result",
        'Pivot Table'!$A$3,
        "Player",View_Table[[#This Row],[Player]],
        "Result","Win"
    ),
    0
)</f>
        <v>8</v>
      </c>
      <c r="H6" s="5">
        <f>IFERROR(
    GETPIVOTDATA(
        "Result",
        'Pivot Table'!$A$3,
        "Player",View_Table[[#This Row],[Player]],
        "Result","Loss"
    ),
    0
)</f>
        <v>3</v>
      </c>
      <c r="I6" s="5">
        <f>IFERROR(
    GETPIVOTDATA(
        "Result",
        'Pivot Table'!$A$3,
        "Player",View_Table[[#This Row],[Player]],
        "Result","Draw"
    ),
    0
)</f>
        <v>9</v>
      </c>
      <c r="J6" s="5">
        <f>View_Table[[#This Row],[Wins]]+View_Table[[#This Row],[Losses]]+View_Table[[#This Row],[Draws]]</f>
        <v>20</v>
      </c>
      <c r="K6" s="7">
        <f>IFERROR(
    GETPIVOTDATA(
        "Result",
        'Pivot Table Previous'!$A$3,
        "Player",View_Table[[#This Row],[Player]],
        "Result","Win"
    ),
    0
)</f>
        <v>8</v>
      </c>
      <c r="L6" s="5">
        <f>IFERROR(
    GETPIVOTDATA(
        "Result",
        'Pivot Table Previous'!$A$3,
        "Player",View_Table[[#This Row],[Player]],
        "Result","Loss"
    ),
    0
)</f>
        <v>2</v>
      </c>
      <c r="M6" s="5">
        <f>IFERROR(
    GETPIVOTDATA(
        "Result",
        'Pivot Table Previous'!$A$3,
        "Player",View_Table[[#This Row],[Player]],
        "Result","Draw"
    ),
    0
)</f>
        <v>8</v>
      </c>
      <c r="N6" s="5">
        <f>View_Table[[#This Row],[Wins Previous]]+View_Table[[#This Row],[Losses Previous]]+View_Table[[#This Row],[Draws Previous]]</f>
        <v>18</v>
      </c>
      <c r="O6" s="9">
        <f>_xlfn.LET(_xlpm.g,View_Table[[#This Row],[Games Previous]], _xlpm.w,(View_Table[[#This Row],[Wins Previous]] + View_Table[[#This Row],[Draws Previous]] * 0.25), _xlpm.fake, MAX(0,25-_xlpm.g), IF(_xlpm.g=0,0,(_xlpm.w + _xlpm.fake*0.25)/(_xlpm.g + _xlpm.fake)))</f>
        <v>0.47</v>
      </c>
      <c r="P6" s="7">
        <f>_xlfn.RANK.EQ(View_Table[[#This Row],[Weighted Win% Previous]], View_Table[Weighted Win% Previous], 0)</f>
        <v>1</v>
      </c>
    </row>
    <row r="7" spans="2:16" hidden="1" x14ac:dyDescent="0.45">
      <c r="B7" s="3" t="s">
        <v>434</v>
      </c>
      <c r="C7" s="6">
        <f>View_Table[[#This Row],[Rank Previous]]-View_Table[[#This Row],[Rank]]</f>
        <v>-2</v>
      </c>
      <c r="D7" s="7">
        <f>_xlfn.RANK.EQ(View_Table[[#This Row],[Weighted Win%]], View_Table[Weighted Win%], 0)</f>
        <v>39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37</v>
      </c>
    </row>
    <row r="8" spans="2:16" x14ac:dyDescent="0.45">
      <c r="B8" s="3" t="s">
        <v>7</v>
      </c>
      <c r="C8" s="6">
        <f>View_Table[[#This Row],[Rank Previous]]-View_Table[[#This Row],[Rank]]</f>
        <v>1</v>
      </c>
      <c r="D8" s="7">
        <f>_xlfn.RANK.EQ(View_Table[[#This Row],[Weighted Win%]], View_Table[Weighted Win%], 0)</f>
        <v>3</v>
      </c>
      <c r="E8" s="9">
        <f>_xlfn.LET(_xlpm.g,View_Table[[#This Row],[Games]], _xlpm.w,(View_Table[[#This Row],[Wins]] + View_Table[[#This Row],[Draws]] * 0.25), _xlpm.fake, MAX(0,25-_xlpm.g), IF(_xlpm.g=0,0,(_xlpm.w + _xlpm.fake*0.25)/(_xlpm.g + _xlpm.fake)))</f>
        <v>0.39</v>
      </c>
      <c r="F8" s="8">
        <f>IF(View_Table[[#This Row],[Games]]=0,0,(View_Table[[#This Row],[Wins]] + (View_Table[[#This Row],[Draws]] * 0.25))/View_Table[[#This Row],[Games]])</f>
        <v>0.40909090909090912</v>
      </c>
      <c r="G8" s="5">
        <f>IFERROR(
    GETPIVOTDATA(
        "Result",
        'Pivot Table'!$A$3,
        "Player",View_Table[[#This Row],[Player]],
        "Result","Win"
    ),
    0
)</f>
        <v>7</v>
      </c>
      <c r="H8" s="5">
        <f>IFERROR(
    GETPIVOTDATA(
        "Result",
        'Pivot Table'!$A$3,
        "Player",View_Table[[#This Row],[Player]],
        "Result","Loss"
    ),
    0
)</f>
        <v>7</v>
      </c>
      <c r="I8" s="5">
        <f>IFERROR(
    GETPIVOTDATA(
        "Result",
        'Pivot Table'!$A$3,
        "Player",View_Table[[#This Row],[Player]],
        "Result","Draw"
    ),
    0
)</f>
        <v>8</v>
      </c>
      <c r="J8" s="5">
        <f>View_Table[[#This Row],[Wins]]+View_Table[[#This Row],[Losses]]+View_Table[[#This Row],[Draws]]</f>
        <v>22</v>
      </c>
      <c r="K8" s="5">
        <f>IFERROR(
    GETPIVOTDATA(
        "Result",
        'Pivot Table Previous'!$A$3,
        "Player",View_Table[[#This Row],[Player]],
        "Result","Win"
    ),
    0
)</f>
        <v>6</v>
      </c>
      <c r="L8" s="5">
        <f>IFERROR(
    GETPIVOTDATA(
        "Result",
        'Pivot Table Previous'!$A$3,
        "Player",View_Table[[#This Row],[Player]],
        "Result","Loss"
    ),
    0
)</f>
        <v>7</v>
      </c>
      <c r="M8" s="5">
        <f>IFERROR(
    GETPIVOTDATA(
        "Result",
        'Pivot Table Previous'!$A$3,
        "Player",View_Table[[#This Row],[Player]],
        "Result","Draw"
    ),
    0
)</f>
        <v>7</v>
      </c>
      <c r="N8" s="5">
        <f>View_Table[[#This Row],[Wins Previous]]+View_Table[[#This Row],[Losses Previous]]+View_Table[[#This Row],[Draws Previous]]</f>
        <v>20</v>
      </c>
      <c r="O8" s="9">
        <f>_xlfn.LET(_xlpm.g,View_Table[[#This Row],[Games Previous]], _xlpm.w,(View_Table[[#This Row],[Wins Previous]] + View_Table[[#This Row],[Draws Previous]] * 0.25), _xlpm.fake, MAX(0,25-_xlpm.g), IF(_xlpm.g=0,0,(_xlpm.w + _xlpm.fake*0.25)/(_xlpm.g + _xlpm.fake)))</f>
        <v>0.36</v>
      </c>
      <c r="P8" s="7">
        <f>IF(View_Table[[#This Row],[Games Previous]]=0,
    View_Table[[#This Row],[Rank]],
    _xlfn.RANK.EQ(View_Table[[#This Row],[Weighted Win% Previous]], View_Table[Weighted Win% Previous], 0)
)</f>
        <v>4</v>
      </c>
    </row>
    <row r="9" spans="2:16" x14ac:dyDescent="0.45">
      <c r="B9" s="3" t="s">
        <v>405</v>
      </c>
      <c r="C9" s="6">
        <f>View_Table[[#This Row],[Rank Previous]]-View_Table[[#This Row],[Rank]]</f>
        <v>-1</v>
      </c>
      <c r="D9" s="7">
        <f>_xlfn.RANK.EQ(View_Table[[#This Row],[Weighted Win%]], View_Table[Weighted Win%], 0)</f>
        <v>4</v>
      </c>
      <c r="E9" s="9">
        <f>_xlfn.LET(_xlpm.g,View_Table[[#This Row],[Games]], _xlpm.w,(View_Table[[#This Row],[Wins]] + View_Table[[#This Row],[Draws]] * 0.25), _xlpm.fake, MAX(0,25-_xlpm.g), IF(_xlpm.g=0,0,(_xlpm.w + _xlpm.fake*0.25)/(_xlpm.g + _xlpm.fake)))</f>
        <v>0.37</v>
      </c>
      <c r="F9" s="8">
        <f>IF(View_Table[[#This Row],[Games]]=0,0,(View_Table[[#This Row],[Wins]] + (View_Table[[#This Row],[Draws]] * 0.25))/View_Table[[#This Row],[Games]])</f>
        <v>0.4642857142857143</v>
      </c>
      <c r="G9" s="5">
        <f>IFERROR(
    GETPIVOTDATA(
        "Result",
        'Pivot Table'!$A$3,
        "Player",View_Table[[#This Row],[Player]],
        "Result","Win"
    ),
    0
)</f>
        <v>5</v>
      </c>
      <c r="H9" s="5">
        <f>IFERROR(
    GETPIVOTDATA(
        "Result",
        'Pivot Table'!$A$3,
        "Player",View_Table[[#This Row],[Player]],
        "Result","Loss"
    ),
    0
)</f>
        <v>3</v>
      </c>
      <c r="I9" s="5">
        <f>IFERROR(
    GETPIVOTDATA(
        "Result",
        'Pivot Table'!$A$3,
        "Player",View_Table[[#This Row],[Player]],
        "Result","Draw"
    ),
    0
)</f>
        <v>6</v>
      </c>
      <c r="J9" s="5">
        <f>View_Table[[#This Row],[Wins]]+View_Table[[#This Row],[Losses]]+View_Table[[#This Row],[Draws]]</f>
        <v>14</v>
      </c>
      <c r="K9" s="7">
        <f>IFERROR(
    GETPIVOTDATA(
        "Result",
        'Pivot Table Previous'!$A$3,
        "Player",View_Table[[#This Row],[Player]],
        "Result","Win"
    ),
    0
)</f>
        <v>5</v>
      </c>
      <c r="L9" s="5">
        <f>IFERROR(
    GETPIVOTDATA(
        "Result",
        'Pivot Table Previous'!$A$3,
        "Player",View_Table[[#This Row],[Player]],
        "Result","Loss"
    ),
    0
)</f>
        <v>3</v>
      </c>
      <c r="M9" s="5">
        <f>IFERROR(
    GETPIVOTDATA(
        "Result",
        'Pivot Table Previous'!$A$3,
        "Player",View_Table[[#This Row],[Player]],
        "Result","Draw"
    ),
    0
)</f>
        <v>6</v>
      </c>
      <c r="N9" s="5">
        <f>View_Table[[#This Row],[Wins Previous]]+View_Table[[#This Row],[Losses Previous]]+View_Table[[#This Row],[Draws Previous]]</f>
        <v>14</v>
      </c>
      <c r="O9" s="9">
        <f>_xlfn.LET(_xlpm.g,View_Table[[#This Row],[Games Previous]], _xlpm.w,(View_Table[[#This Row],[Wins Previous]] + View_Table[[#This Row],[Draws Previous]] * 0.25), _xlpm.fake, MAX(0,25-_xlpm.g), IF(_xlpm.g=0,0,(_xlpm.w + _xlpm.fake*0.25)/(_xlpm.g + _xlpm.fake)))</f>
        <v>0.37</v>
      </c>
      <c r="P9" s="7">
        <f>_xlfn.RANK.EQ(View_Table[[#This Row],[Weighted Win% Previous]], View_Table[Weighted Win% Previous], 0)</f>
        <v>3</v>
      </c>
    </row>
    <row r="10" spans="2:16" x14ac:dyDescent="0.45">
      <c r="B10" s="3" t="s">
        <v>578</v>
      </c>
      <c r="C10" s="6">
        <f>View_Table[[#This Row],[Rank Previous]]-View_Table[[#This Row],[Rank]]</f>
        <v>1</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0.36363636363636365</v>
      </c>
      <c r="G10" s="5">
        <f>IFERROR(
    GETPIVOTDATA(
        "Result",
        'Pivot Table'!$A$3,
        "Player",View_Table[[#This Row],[Player]],
        "Result","Win"
    ),
    0
)</f>
        <v>6</v>
      </c>
      <c r="H10" s="5">
        <f>IFERROR(
    GETPIVOTDATA(
        "Result",
        'Pivot Table'!$A$3,
        "Player",View_Table[[#This Row],[Player]],
        "Result","Loss"
    ),
    0
)</f>
        <v>8</v>
      </c>
      <c r="I10" s="5">
        <f>IFERROR(
    GETPIVOTDATA(
        "Result",
        'Pivot Table'!$A$3,
        "Player",View_Table[[#This Row],[Player]],
        "Result","Draw"
    ),
    0
)</f>
        <v>8</v>
      </c>
      <c r="J10" s="5">
        <f>View_Table[[#This Row],[Wins]]+View_Table[[#This Row],[Losses]]+View_Table[[#This Row],[Draws]]</f>
        <v>22</v>
      </c>
      <c r="K10" s="7">
        <f>IFERROR(
    GETPIVOTDATA(
        "Result",
        'Pivot Table Previous'!$A$3,
        "Player",View_Table[[#This Row],[Player]],
        "Result","Win"
    ),
    0
)</f>
        <v>5</v>
      </c>
      <c r="L10" s="5">
        <f>IFERROR(
    GETPIVOTDATA(
        "Result",
        'Pivot Table Previous'!$A$3,
        "Player",View_Table[[#This Row],[Player]],
        "Result","Loss"
    ),
    0
)</f>
        <v>7</v>
      </c>
      <c r="M10" s="5">
        <f>IFERROR(
    GETPIVOTDATA(
        "Result",
        'Pivot Table Previous'!$A$3,
        "Player",View_Table[[#This Row],[Player]],
        "Result","Draw"
    ),
    0
)</f>
        <v>8</v>
      </c>
      <c r="N10" s="5">
        <f>View_Table[[#This Row],[Wins Previous]]+View_Table[[#This Row],[Losses Previous]]+View_Table[[#This Row],[Draws Previous]]</f>
        <v>20</v>
      </c>
      <c r="O10" s="9">
        <f>_xlfn.LET(_xlpm.g,View_Table[[#This Row],[Games Previous]], _xlpm.w,(View_Table[[#This Row],[Wins Previous]] + View_Table[[#This Row],[Draws Previous]] * 0.25), _xlpm.fake, MAX(0,25-_xlpm.g), IF(_xlpm.g=0,0,(_xlpm.w + _xlpm.fake*0.25)/(_xlpm.g + _xlpm.fake)))</f>
        <v>0.33</v>
      </c>
      <c r="P10" s="7">
        <f>_xlfn.RANK.EQ(View_Table[[#This Row],[Weighted Win% Previous]], View_Table[Weighted Win% Previous], 0)</f>
        <v>6</v>
      </c>
    </row>
    <row r="11" spans="2:16" hidden="1" x14ac:dyDescent="0.45">
      <c r="B11" s="3" t="s">
        <v>322</v>
      </c>
      <c r="C11" s="6">
        <f>View_Table[[#This Row],[Rank Previous]]-View_Table[[#This Row],[Rank]]</f>
        <v>-2</v>
      </c>
      <c r="D11" s="7">
        <f>_xlfn.RANK.EQ(View_Table[[#This Row],[Weighted Win%]], View_Table[Weighted Win%], 0)</f>
        <v>39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37</v>
      </c>
    </row>
    <row r="12" spans="2:16" x14ac:dyDescent="0.45">
      <c r="B12" s="3" t="s">
        <v>20</v>
      </c>
      <c r="C12" s="6">
        <f>View_Table[[#This Row],[Rank Previous]]-View_Table[[#This Row],[Rank]]</f>
        <v>2</v>
      </c>
      <c r="D12" s="7">
        <f>_xlfn.RANK.EQ(View_Table[[#This Row],[Weighted Win%]], View_Table[Weighted Win%], 0)</f>
        <v>5</v>
      </c>
      <c r="E12" s="9">
        <f>_xlfn.LET(_xlpm.g,View_Table[[#This Row],[Games]], _xlpm.w,(View_Table[[#This Row],[Wins]] + View_Table[[#This Row],[Draws]] * 0.25), _xlpm.fake, MAX(0,25-_xlpm.g), IF(_xlpm.g=0,0,(_xlpm.w + _xlpm.fake*0.25)/(_xlpm.g + _xlpm.fake)))</f>
        <v>0.35</v>
      </c>
      <c r="F12" s="8">
        <f>IF(View_Table[[#This Row],[Games]]=0,0,(View_Table[[#This Row],[Wins]] + (View_Table[[#This Row],[Draws]] * 0.25))/View_Table[[#This Row],[Games]])</f>
        <v>0.42857142857142855</v>
      </c>
      <c r="G12" s="5">
        <f>IFERROR(
    GETPIVOTDATA(
        "Result",
        'Pivot Table'!$A$3,
        "Player",View_Table[[#This Row],[Player]],
        "Result","Win"
    ),
    0
)</f>
        <v>5</v>
      </c>
      <c r="H12" s="5">
        <f>IFERROR(
    GETPIVOTDATA(
        "Result",
        'Pivot Table'!$A$3,
        "Player",View_Table[[#This Row],[Player]],
        "Result","Loss"
    ),
    0
)</f>
        <v>5</v>
      </c>
      <c r="I12" s="5">
        <f>IFERROR(
    GETPIVOTDATA(
        "Result",
        'Pivot Table'!$A$3,
        "Player",View_Table[[#This Row],[Player]],
        "Result","Draw"
    ),
    0
)</f>
        <v>4</v>
      </c>
      <c r="J12" s="5">
        <f>View_Table[[#This Row],[Wins]]+View_Table[[#This Row],[Losses]]+View_Table[[#This Row],[Draws]]</f>
        <v>14</v>
      </c>
      <c r="K12" s="7">
        <f>IFERROR(
    GETPIVOTDATA(
        "Result",
        'Pivot Table Previous'!$A$3,
        "Player",View_Table[[#This Row],[Player]],
        "Result","Win"
    ),
    0
)</f>
        <v>3</v>
      </c>
      <c r="L12" s="5">
        <f>IFERROR(
    GETPIVOTDATA(
        "Result",
        'Pivot Table Previous'!$A$3,
        "Player",View_Table[[#This Row],[Player]],
        "Result","Loss"
    ),
    0
)</f>
        <v>5</v>
      </c>
      <c r="M12" s="5">
        <f>IFERROR(
    GETPIVOTDATA(
        "Result",
        'Pivot Table Previous'!$A$3,
        "Player",View_Table[[#This Row],[Player]],
        "Result","Draw"
    ),
    0
)</f>
        <v>4</v>
      </c>
      <c r="N12" s="5">
        <f>View_Table[[#This Row],[Wins Previous]]+View_Table[[#This Row],[Losses Previous]]+View_Table[[#This Row],[Draws Previous]]</f>
        <v>12</v>
      </c>
      <c r="O12" s="9">
        <f>_xlfn.LET(_xlpm.g,View_Table[[#This Row],[Games Previous]], _xlpm.w,(View_Table[[#This Row],[Wins Previous]] + View_Table[[#This Row],[Draws Previous]] * 0.25), _xlpm.fake, MAX(0,25-_xlpm.g), IF(_xlpm.g=0,0,(_xlpm.w + _xlpm.fake*0.25)/(_xlpm.g + _xlpm.fake)))</f>
        <v>0.28999999999999998</v>
      </c>
      <c r="P12" s="7">
        <f>_xlfn.RANK.EQ(View_Table[[#This Row],[Weighted Win% Previous]], View_Table[Weighted Win% Previous], 0)</f>
        <v>7</v>
      </c>
    </row>
    <row r="13" spans="2:16" x14ac:dyDescent="0.45">
      <c r="B13" s="3" t="s">
        <v>19</v>
      </c>
      <c r="C13" s="6">
        <f>View_Table[[#This Row],[Rank Previous]]-View_Table[[#This Row],[Rank]]</f>
        <v>-2</v>
      </c>
      <c r="D13" s="7">
        <f>_xlfn.RANK.EQ(View_Table[[#This Row],[Weighted Win%]], View_Table[Weighted Win%], 0)</f>
        <v>7</v>
      </c>
      <c r="E13" s="9">
        <f>_xlfn.LET(_xlpm.g,View_Table[[#This Row],[Games]], _xlpm.w,(View_Table[[#This Row],[Wins]] + View_Table[[#This Row],[Draws]] * 0.25), _xlpm.fake, MAX(0,25-_xlpm.g), IF(_xlpm.g=0,0,(_xlpm.w + _xlpm.fake*0.25)/(_xlpm.g + _xlpm.fake)))</f>
        <v>0.32</v>
      </c>
      <c r="F13" s="8">
        <f>IF(View_Table[[#This Row],[Games]]=0,0,(View_Table[[#This Row],[Wins]] + (View_Table[[#This Row],[Draws]] * 0.25))/View_Table[[#This Row],[Games]])</f>
        <v>0.32954545454545453</v>
      </c>
      <c r="G13" s="5">
        <f>IFERROR(
    GETPIVOTDATA(
        "Result",
        'Pivot Table'!$A$3,
        "Player",View_Table[[#This Row],[Player]],
        "Result","Win"
    ),
    0
)</f>
        <v>5</v>
      </c>
      <c r="H13" s="5">
        <f>IFERROR(
    GETPIVOTDATA(
        "Result",
        'Pivot Table'!$A$3,
        "Player",View_Table[[#This Row],[Player]],
        "Result","Loss"
    ),
    0
)</f>
        <v>8</v>
      </c>
      <c r="I13" s="5">
        <f>IFERROR(
    GETPIVOTDATA(
        "Result",
        'Pivot Table'!$A$3,
        "Player",View_Table[[#This Row],[Player]],
        "Result","Draw"
    ),
    0
)</f>
        <v>9</v>
      </c>
      <c r="J13" s="5">
        <f>View_Table[[#This Row],[Wins]]+View_Table[[#This Row],[Losses]]+View_Table[[#This Row],[Draws]]</f>
        <v>22</v>
      </c>
      <c r="K13" s="5">
        <f>IFERROR(
    GETPIVOTDATA(
        "Result",
        'Pivot Table Previous'!$A$3,
        "Player",View_Table[[#This Row],[Player]],
        "Result","Win"
    ),
    0
)</f>
        <v>5</v>
      </c>
      <c r="L13" s="5">
        <f>IFERROR(
    GETPIVOTDATA(
        "Result",
        'Pivot Table Previous'!$A$3,
        "Player",View_Table[[#This Row],[Player]],
        "Result","Loss"
    ),
    0
)</f>
        <v>6</v>
      </c>
      <c r="M13" s="5">
        <f>IFERROR(
    GETPIVOTDATA(
        "Result",
        'Pivot Table Previous'!$A$3,
        "Player",View_Table[[#This Row],[Player]],
        "Result","Draw"
    ),
    0
)</f>
        <v>9</v>
      </c>
      <c r="N13" s="5">
        <f>View_Table[[#This Row],[Wins Previous]]+View_Table[[#This Row],[Losses Previous]]+View_Table[[#This Row],[Draws Previous]]</f>
        <v>20</v>
      </c>
      <c r="O13" s="9">
        <f>_xlfn.LET(_xlpm.g,View_Table[[#This Row],[Games Previous]], _xlpm.w,(View_Table[[#This Row],[Wins Previous]] + View_Table[[#This Row],[Draws Previous]] * 0.25), _xlpm.fake, MAX(0,25-_xlpm.g), IF(_xlpm.g=0,0,(_xlpm.w + _xlpm.fake*0.25)/(_xlpm.g + _xlpm.fake)))</f>
        <v>0.34</v>
      </c>
      <c r="P13" s="7">
        <f>IF(View_Table[[#This Row],[Games Previous]]=0,
    View_Table[[#This Row],[Rank]],
    _xlfn.RANK.EQ(View_Table[[#This Row],[Weighted Win% Previous]], View_Table[Weighted Win% Previous], 0)
)</f>
        <v>5</v>
      </c>
    </row>
    <row r="14" spans="2:16" x14ac:dyDescent="0.45">
      <c r="B14" s="3" t="s">
        <v>11</v>
      </c>
      <c r="C14" s="6">
        <f>View_Table[[#This Row],[Rank Previous]]-View_Table[[#This Row],[Rank]]</f>
        <v>-1</v>
      </c>
      <c r="D14" s="7">
        <f>_xlfn.RANK.EQ(View_Table[[#This Row],[Weighted Win%]], View_Table[Weighted Win%], 0)</f>
        <v>8</v>
      </c>
      <c r="E14" s="9">
        <f>_xlfn.LET(_xlpm.g,View_Table[[#This Row],[Games]], _xlpm.w,(View_Table[[#This Row],[Wins]] + View_Table[[#This Row],[Draws]] * 0.25), _xlpm.fake, MAX(0,25-_xlpm.g), IF(_xlpm.g=0,0,(_xlpm.w + _xlpm.fake*0.25)/(_xlpm.g + _xlpm.fake)))</f>
        <v>0.28999999999999998</v>
      </c>
      <c r="F14" s="8">
        <f>IF(View_Table[[#This Row],[Games]]=0,0,(View_Table[[#This Row],[Wins]] + (View_Table[[#This Row],[Draws]] * 0.25))/View_Table[[#This Row],[Games]])</f>
        <v>0.32142857142857145</v>
      </c>
      <c r="G14" s="5">
        <f>IFERROR(
    GETPIVOTDATA(
        "Result",
        'Pivot Table'!$A$3,
        "Player",View_Table[[#This Row],[Player]],
        "Result","Win"
    ),
    0
)</f>
        <v>3</v>
      </c>
      <c r="H14" s="5">
        <f>IFERROR(
    GETPIVOTDATA(
        "Result",
        'Pivot Table'!$A$3,
        "Player",View_Table[[#This Row],[Player]],
        "Result","Loss"
    ),
    0
)</f>
        <v>5</v>
      </c>
      <c r="I14" s="5">
        <f>IFERROR(
    GETPIVOTDATA(
        "Result",
        'Pivot Table'!$A$3,
        "Player",View_Table[[#This Row],[Player]],
        "Result","Draw"
    ),
    0
)</f>
        <v>6</v>
      </c>
      <c r="J14" s="5">
        <f>View_Table[[#This Row],[Wins]]+View_Table[[#This Row],[Losses]]+View_Table[[#This Row],[Draws]]</f>
        <v>14</v>
      </c>
      <c r="K14" s="7">
        <f>IFERROR(
    GETPIVOTDATA(
        "Result",
        'Pivot Table Previous'!$A$3,
        "Player",View_Table[[#This Row],[Player]],
        "Result","Win"
    ),
    0
)</f>
        <v>3</v>
      </c>
      <c r="L14" s="5">
        <f>IFERROR(
    GETPIVOTDATA(
        "Result",
        'Pivot Table Previous'!$A$3,
        "Player",View_Table[[#This Row],[Player]],
        "Result","Loss"
    ),
    0
)</f>
        <v>5</v>
      </c>
      <c r="M14" s="5">
        <f>IFERROR(
    GETPIVOTDATA(
        "Result",
        'Pivot Table Previous'!$A$3,
        "Player",View_Table[[#This Row],[Player]],
        "Result","Draw"
    ),
    0
)</f>
        <v>4</v>
      </c>
      <c r="N14" s="5">
        <f>View_Table[[#This Row],[Wins Previous]]+View_Table[[#This Row],[Losses Previous]]+View_Table[[#This Row],[Draws Previous]]</f>
        <v>12</v>
      </c>
      <c r="O14" s="9">
        <f>_xlfn.LET(_xlpm.g,View_Table[[#This Row],[Games Previous]], _xlpm.w,(View_Table[[#This Row],[Wins Previous]] + View_Table[[#This Row],[Draws Previous]] * 0.25), _xlpm.fake, MAX(0,25-_xlpm.g), IF(_xlpm.g=0,0,(_xlpm.w + _xlpm.fake*0.25)/(_xlpm.g + _xlpm.fake)))</f>
        <v>0.28999999999999998</v>
      </c>
      <c r="P14" s="7">
        <f>_xlfn.RANK.EQ(View_Table[[#This Row],[Weighted Win% Previous]], View_Table[Weighted Win% Previous], 0)</f>
        <v>7</v>
      </c>
    </row>
    <row r="15" spans="2:16" hidden="1" x14ac:dyDescent="0.45">
      <c r="B15" s="3" t="s">
        <v>421</v>
      </c>
      <c r="C15" s="6">
        <f>View_Table[[#This Row],[Rank Previous]]-View_Table[[#This Row],[Rank]]</f>
        <v>-2</v>
      </c>
      <c r="D15" s="7">
        <f>_xlfn.RANK.EQ(View_Table[[#This Row],[Weighted Win%]], View_Table[Weighted Win%], 0)</f>
        <v>39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37</v>
      </c>
    </row>
    <row r="16" spans="2:16" x14ac:dyDescent="0.45">
      <c r="B16" s="3" t="s">
        <v>352</v>
      </c>
      <c r="C16" s="6">
        <f>View_Table[[#This Row],[Rank Previous]]-View_Table[[#This Row],[Rank]]</f>
        <v>-1</v>
      </c>
      <c r="D16" s="7">
        <f>_xlfn.RANK.EQ(View_Table[[#This Row],[Weighted Win%]], View_Table[Weighted Win%], 0)</f>
        <v>8</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2</v>
      </c>
      <c r="J16" s="5">
        <f>View_Table[[#This Row],[Wins]]+View_Table[[#This Row],[Losses]]+View_Table[[#This Row],[Draws]]</f>
        <v>10</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2</v>
      </c>
      <c r="N16" s="5">
        <f>View_Table[[#This Row],[Wins Previous]]+View_Table[[#This Row],[Losses Previous]]+View_Table[[#This Row],[Draws Previous]]</f>
        <v>10</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7</v>
      </c>
    </row>
    <row r="17" spans="2:16" x14ac:dyDescent="0.45">
      <c r="B17" s="3" t="s">
        <v>9</v>
      </c>
      <c r="C17" s="6">
        <f>View_Table[[#This Row],[Rank Previous]]-View_Table[[#This Row],[Rank]]</f>
        <v>-3</v>
      </c>
      <c r="D17" s="7">
        <f>_xlfn.RANK.EQ(View_Table[[#This Row],[Weighted Win%]], View_Table[Weighted Win%], 0)</f>
        <v>10</v>
      </c>
      <c r="E17" s="9">
        <f>_xlfn.LET(_xlpm.g,View_Table[[#This Row],[Games]], _xlpm.w,(View_Table[[#This Row],[Wins]] + View_Table[[#This Row],[Draws]] * 0.25), _xlpm.fake, MAX(0,25-_xlpm.g), IF(_xlpm.g=0,0,(_xlpm.w + _xlpm.fake*0.25)/(_xlpm.g + _xlpm.fake)))</f>
        <v>0.28000000000000003</v>
      </c>
      <c r="F17" s="8">
        <f>IF(View_Table[[#This Row],[Games]]=0,0,(View_Table[[#This Row],[Wins]] + (View_Table[[#This Row],[Draws]] * 0.25))/View_Table[[#This Row],[Games]])</f>
        <v>0.28409090909090912</v>
      </c>
      <c r="G17" s="5">
        <f>IFERROR(
    GETPIVOTDATA(
        "Result",
        'Pivot Table'!$A$3,
        "Player",View_Table[[#This Row],[Player]],
        "Result","Win"
    ),
    0
)</f>
        <v>3</v>
      </c>
      <c r="H17" s="5">
        <f>IFERROR(
    GETPIVOTDATA(
        "Result",
        'Pivot Table'!$A$3,
        "Player",View_Table[[#This Row],[Player]],
        "Result","Loss"
    ),
    0
)</f>
        <v>6</v>
      </c>
      <c r="I17" s="5">
        <f>IFERROR(
    GETPIVOTDATA(
        "Result",
        'Pivot Table'!$A$3,
        "Player",View_Table[[#This Row],[Player]],
        "Result","Draw"
    ),
    0
)</f>
        <v>13</v>
      </c>
      <c r="J17" s="5">
        <f>View_Table[[#This Row],[Wins]]+View_Table[[#This Row],[Losses]]+View_Table[[#This Row],[Draws]]</f>
        <v>22</v>
      </c>
      <c r="K17" s="7">
        <f>IFERROR(
    GETPIVOTDATA(
        "Result",
        'Pivot Table Previous'!$A$3,
        "Player",View_Table[[#This Row],[Player]],
        "Result","Win"
    ),
    0
)</f>
        <v>3</v>
      </c>
      <c r="L17" s="5">
        <f>IFERROR(
    GETPIVOTDATA(
        "Result",
        'Pivot Table Previous'!$A$3,
        "Player",View_Table[[#This Row],[Player]],
        "Result","Loss"
    ),
    0
)</f>
        <v>5</v>
      </c>
      <c r="M17" s="5">
        <f>IFERROR(
    GETPIVOTDATA(
        "Result",
        'Pivot Table Previous'!$A$3,
        "Player",View_Table[[#This Row],[Player]],
        "Result","Draw"
    ),
    0
)</f>
        <v>12</v>
      </c>
      <c r="N17" s="5">
        <f>View_Table[[#This Row],[Wins Previous]]+View_Table[[#This Row],[Losses Previous]]+View_Table[[#This Row],[Draws Previous]]</f>
        <v>20</v>
      </c>
      <c r="O17" s="9">
        <f>_xlfn.LET(_xlpm.g,View_Table[[#This Row],[Games Previous]], _xlpm.w,(View_Table[[#This Row],[Wins Previous]] + View_Table[[#This Row],[Draws Previous]] * 0.25), _xlpm.fake, MAX(0,25-_xlpm.g), IF(_xlpm.g=0,0,(_xlpm.w + _xlpm.fake*0.25)/(_xlpm.g + _xlpm.fake)))</f>
        <v>0.28999999999999998</v>
      </c>
      <c r="P17" s="7">
        <f>_xlfn.RANK.EQ(View_Table[[#This Row],[Weighted Win% Previous]], View_Table[Weighted Win% Previous], 0)</f>
        <v>7</v>
      </c>
    </row>
    <row r="18" spans="2:16" x14ac:dyDescent="0.45">
      <c r="B18" s="3" t="s">
        <v>438</v>
      </c>
      <c r="C18" s="6">
        <f>View_Table[[#This Row],[Rank Previous]]-View_Table[[#This Row],[Rank]]</f>
        <v>1</v>
      </c>
      <c r="D18" s="7">
        <f>_xlfn.RANK.EQ(View_Table[[#This Row],[Weighted Win%]], View_Table[Weighted Win%], 0)</f>
        <v>10</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0.625</v>
      </c>
      <c r="G18" s="5">
        <f>IFERROR(
    GETPIVOTDATA(
        "Result",
        'Pivot Table'!$A$3,
        "Player",View_Table[[#This Row],[Player]],
        "Result","Win"
    ),
    0
)</f>
        <v>1</v>
      </c>
      <c r="H18" s="5">
        <f>IFERROR(
    GETPIVOTDATA(
        "Result",
        'Pivot Table'!$A$3,
        "Player",View_Table[[#This Row],[Player]],
        "Result","Loss"
    ),
    0
)</f>
        <v>0</v>
      </c>
      <c r="I18" s="5">
        <f>IFERROR(
    GETPIVOTDATA(
        "Result",
        'Pivot Table'!$A$3,
        "Player",View_Table[[#This Row],[Player]],
        "Result","Draw"
    ),
    0
)</f>
        <v>1</v>
      </c>
      <c r="J18" s="5">
        <f>View_Table[[#This Row],[Wins]]+View_Table[[#This Row],[Losses]]+View_Table[[#This Row],[Draws]]</f>
        <v>2</v>
      </c>
      <c r="K18" s="7">
        <f>IFERROR(
    GETPIVOTDATA(
        "Result",
        'Pivot Table Previous'!$A$3,
        "Player",View_Table[[#This Row],[Player]],
        "Result","Win"
    ),
    0
)</f>
        <v>1</v>
      </c>
      <c r="L18" s="5">
        <f>IFERROR(
    GETPIVOTDATA(
        "Result",
        'Pivot Table Previous'!$A$3,
        "Player",View_Table[[#This Row],[Player]],
        "Result","Loss"
    ),
    0
)</f>
        <v>0</v>
      </c>
      <c r="M18" s="5">
        <f>IFERROR(
    GETPIVOTDATA(
        "Result",
        'Pivot Table Previous'!$A$3,
        "Player",View_Table[[#This Row],[Player]],
        "Result","Draw"
    ),
    0
)</f>
        <v>1</v>
      </c>
      <c r="N18" s="5">
        <f>View_Table[[#This Row],[Wins Previous]]+View_Table[[#This Row],[Losses Previous]]+View_Table[[#This Row],[Draws Previous]]</f>
        <v>2</v>
      </c>
      <c r="O18" s="9">
        <f>_xlfn.LET(_xlpm.g,View_Table[[#This Row],[Games Previous]], _xlpm.w,(View_Table[[#This Row],[Wins Previous]] + View_Table[[#This Row],[Draws Previous]] * 0.25), _xlpm.fake, MAX(0,25-_xlpm.g), IF(_xlpm.g=0,0,(_xlpm.w + _xlpm.fake*0.25)/(_xlpm.g + _xlpm.fake)))</f>
        <v>0.28000000000000003</v>
      </c>
      <c r="P18" s="7">
        <f>_xlfn.RANK.EQ(View_Table[[#This Row],[Weighted Win% Previous]], View_Table[Weighted Win% Previous], 0)</f>
        <v>11</v>
      </c>
    </row>
    <row r="19" spans="2:16" hidden="1" x14ac:dyDescent="0.45">
      <c r="B19" s="3" t="s">
        <v>296</v>
      </c>
      <c r="C19" s="6">
        <f>View_Table[[#This Row],[Rank Previous]]-View_Table[[#This Row],[Rank]]</f>
        <v>-2</v>
      </c>
      <c r="D19" s="7">
        <f>_xlfn.RANK.EQ(View_Table[[#This Row],[Weighted Win%]], View_Table[Weighted Win%], 0)</f>
        <v>39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37</v>
      </c>
    </row>
    <row r="20" spans="2:16" hidden="1" x14ac:dyDescent="0.45">
      <c r="B20" s="3" t="s">
        <v>607</v>
      </c>
      <c r="C20" s="6">
        <f>View_Table[[#This Row],[Rank Previous]]-View_Table[[#This Row],[Rank]]</f>
        <v>-2</v>
      </c>
      <c r="D20" s="7">
        <f>_xlfn.RANK.EQ(View_Table[[#This Row],[Weighted Win%]], View_Table[Weighted Win%], 0)</f>
        <v>39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37</v>
      </c>
    </row>
    <row r="21" spans="2:16" hidden="1" x14ac:dyDescent="0.45">
      <c r="B21" s="3" t="s">
        <v>22</v>
      </c>
      <c r="C21" s="6">
        <f>View_Table[[#This Row],[Rank Previous]]-View_Table[[#This Row],[Rank]]</f>
        <v>0</v>
      </c>
      <c r="D21" s="7">
        <f>_xlfn.RANK.EQ(View_Table[[#This Row],[Weighted Win%]], View_Table[Weighted Win%], 0)</f>
        <v>39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39</v>
      </c>
    </row>
    <row r="22" spans="2:16" x14ac:dyDescent="0.45">
      <c r="B22" s="3" t="s">
        <v>326</v>
      </c>
      <c r="C22" s="6">
        <f>View_Table[[#This Row],[Rank Previous]]-View_Table[[#This Row],[Rank]]</f>
        <v>0</v>
      </c>
      <c r="D22" s="7">
        <f>_xlfn.RANK.EQ(View_Table[[#This Row],[Weighted Win%]], View_Table[Weighted Win%], 0)</f>
        <v>12</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4</v>
      </c>
      <c r="M22" s="5">
        <f>IFERROR(
    GETPIVOTDATA(
        "Result",
        'Pivot Table Previous'!$A$3,
        "Player",View_Table[[#This Row],[Player]],
        "Result","Draw"
    ),
    0
)</f>
        <v>2</v>
      </c>
      <c r="N22" s="5">
        <f>View_Table[[#This Row],[Wins Previous]]+View_Table[[#This Row],[Losses Previous]]+View_Table[[#This Row],[Draws Previous]]</f>
        <v>8</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12</v>
      </c>
    </row>
    <row r="23" spans="2:16" hidden="1" x14ac:dyDescent="0.45">
      <c r="B23" s="3" t="s">
        <v>432</v>
      </c>
      <c r="C23" s="6">
        <f>View_Table[[#This Row],[Rank Previous]]-View_Table[[#This Row],[Rank]]</f>
        <v>-2</v>
      </c>
      <c r="D23" s="7">
        <f>_xlfn.RANK.EQ(View_Table[[#This Row],[Weighted Win%]], View_Table[Weighted Win%], 0)</f>
        <v>39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37</v>
      </c>
    </row>
    <row r="24" spans="2:16" hidden="1" x14ac:dyDescent="0.45">
      <c r="B24" s="3" t="s">
        <v>400</v>
      </c>
      <c r="C24" s="6">
        <f>View_Table[[#This Row],[Rank Previous]]-View_Table[[#This Row],[Rank]]</f>
        <v>-2</v>
      </c>
      <c r="D24" s="7">
        <f>_xlfn.RANK.EQ(View_Table[[#This Row],[Weighted Win%]], View_Table[Weighted Win%], 0)</f>
        <v>39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37</v>
      </c>
    </row>
    <row r="25" spans="2:16" hidden="1" x14ac:dyDescent="0.45">
      <c r="B25" s="3" t="s">
        <v>406</v>
      </c>
      <c r="C25" s="6">
        <f>View_Table[[#This Row],[Rank Previous]]-View_Table[[#This Row],[Rank]]</f>
        <v>-2</v>
      </c>
      <c r="D25" s="7">
        <f>_xlfn.RANK.EQ(View_Table[[#This Row],[Weighted Win%]], View_Table[Weighted Win%], 0)</f>
        <v>39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37</v>
      </c>
    </row>
    <row r="26" spans="2:16" hidden="1" x14ac:dyDescent="0.45">
      <c r="B26" s="3" t="s">
        <v>386</v>
      </c>
      <c r="C26" s="6">
        <f>View_Table[[#This Row],[Rank Previous]]-View_Table[[#This Row],[Rank]]</f>
        <v>-2</v>
      </c>
      <c r="D26" s="7">
        <f>_xlfn.RANK.EQ(View_Table[[#This Row],[Weighted Win%]], View_Table[Weighted Win%], 0)</f>
        <v>39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37</v>
      </c>
    </row>
    <row r="27" spans="2:16" hidden="1" x14ac:dyDescent="0.45">
      <c r="B27" s="3" t="s">
        <v>43</v>
      </c>
      <c r="C27" s="6">
        <f>View_Table[[#This Row],[Rank Previous]]-View_Table[[#This Row],[Rank]]</f>
        <v>-2</v>
      </c>
      <c r="D27" s="7">
        <f>_xlfn.RANK.EQ(View_Table[[#This Row],[Weighted Win%]], View_Table[Weighted Win%], 0)</f>
        <v>39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37</v>
      </c>
    </row>
    <row r="28" spans="2:16" hidden="1" x14ac:dyDescent="0.45">
      <c r="B28" s="3" t="s">
        <v>323</v>
      </c>
      <c r="C28" s="6">
        <f>View_Table[[#This Row],[Rank Previous]]-View_Table[[#This Row],[Rank]]</f>
        <v>-2</v>
      </c>
      <c r="D28" s="7">
        <f>_xlfn.RANK.EQ(View_Table[[#This Row],[Weighted Win%]], View_Table[Weighted Win%], 0)</f>
        <v>39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37</v>
      </c>
    </row>
    <row r="29" spans="2:16" hidden="1" x14ac:dyDescent="0.45">
      <c r="B29" s="3" t="s">
        <v>324</v>
      </c>
      <c r="C29" s="6">
        <f>View_Table[[#This Row],[Rank Previous]]-View_Table[[#This Row],[Rank]]</f>
        <v>-2</v>
      </c>
      <c r="D29" s="7">
        <f>_xlfn.RANK.EQ(View_Table[[#This Row],[Weighted Win%]], View_Table[Weighted Win%], 0)</f>
        <v>39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37</v>
      </c>
    </row>
    <row r="30" spans="2:16" x14ac:dyDescent="0.45">
      <c r="B30" s="3" t="s">
        <v>14</v>
      </c>
      <c r="C30" s="6">
        <f>View_Table[[#This Row],[Rank Previous]]-View_Table[[#This Row],[Rank]]</f>
        <v>5</v>
      </c>
      <c r="D30" s="7">
        <f>_xlfn.RANK.EQ(View_Table[[#This Row],[Weighted Win%]], View_Table[Weighted Win%], 0)</f>
        <v>12</v>
      </c>
      <c r="E30" s="9">
        <f>_xlfn.LET(_xlpm.g,View_Table[[#This Row],[Games]], _xlpm.w,(View_Table[[#This Row],[Wins]] + View_Table[[#This Row],[Draws]] * 0.25), _xlpm.fake, MAX(0,25-_xlpm.g), IF(_xlpm.g=0,0,(_xlpm.w + _xlpm.fake*0.25)/(_xlpm.g + _xlpm.fake)))</f>
        <v>0.27</v>
      </c>
      <c r="F30" s="8">
        <f>IF(View_Table[[#This Row],[Games]]=0,0,(View_Table[[#This Row],[Wins]] + (View_Table[[#This Row],[Draws]] * 0.25))/View_Table[[#This Row],[Games]])</f>
        <v>0.27083333333333331</v>
      </c>
      <c r="G30" s="5">
        <f>IFERROR(
    GETPIVOTDATA(
        "Result",
        'Pivot Table'!$A$3,
        "Player",View_Table[[#This Row],[Player]],
        "Result","Win"
    ),
    0
)</f>
        <v>4</v>
      </c>
      <c r="H30" s="5">
        <f>IFERROR(
    GETPIVOTDATA(
        "Result",
        'Pivot Table'!$A$3,
        "Player",View_Table[[#This Row],[Player]],
        "Result","Loss"
    ),
    0
)</f>
        <v>10</v>
      </c>
      <c r="I30" s="5">
        <f>IFERROR(
    GETPIVOTDATA(
        "Result",
        'Pivot Table'!$A$3,
        "Player",View_Table[[#This Row],[Player]],
        "Result","Draw"
    ),
    0
)</f>
        <v>10</v>
      </c>
      <c r="J30" s="5">
        <f>View_Table[[#This Row],[Wins]]+View_Table[[#This Row],[Losses]]+View_Table[[#This Row],[Draws]]</f>
        <v>24</v>
      </c>
      <c r="K30" s="5">
        <f>IFERROR(
    GETPIVOTDATA(
        "Result",
        'Pivot Table Previous'!$A$3,
        "Player",View_Table[[#This Row],[Player]],
        "Result","Win"
    ),
    0
)</f>
        <v>3</v>
      </c>
      <c r="L30" s="5">
        <f>IFERROR(
    GETPIVOTDATA(
        "Result",
        'Pivot Table Previous'!$A$3,
        "Player",View_Table[[#This Row],[Player]],
        "Result","Loss"
    ),
    0
)</f>
        <v>10</v>
      </c>
      <c r="M30" s="5">
        <f>IFERROR(
    GETPIVOTDATA(
        "Result",
        'Pivot Table Previous'!$A$3,
        "Player",View_Table[[#This Row],[Player]],
        "Result","Draw"
    ),
    0
)</f>
        <v>9</v>
      </c>
      <c r="N30" s="5">
        <f>View_Table[[#This Row],[Wins Previous]]+View_Table[[#This Row],[Losses Previous]]+View_Table[[#This Row],[Draws Previous]]</f>
        <v>22</v>
      </c>
      <c r="O30" s="9">
        <f>_xlfn.LET(_xlpm.g,View_Table[[#This Row],[Games Previous]], _xlpm.w,(View_Table[[#This Row],[Wins Previous]] + View_Table[[#This Row],[Draws Previous]] * 0.25), _xlpm.fake, MAX(0,25-_xlpm.g), IF(_xlpm.g=0,0,(_xlpm.w + _xlpm.fake*0.25)/(_xlpm.g + _xlpm.fake)))</f>
        <v>0.24</v>
      </c>
      <c r="P30" s="7">
        <f>IF(View_Table[[#This Row],[Games Previous]]=0,
    View_Table[[#This Row],[Rank]],
    _xlfn.RANK.EQ(View_Table[[#This Row],[Weighted Win% Previous]], View_Table[Weighted Win% Previous], 0)
)</f>
        <v>17</v>
      </c>
    </row>
    <row r="31" spans="2:16" hidden="1" x14ac:dyDescent="0.45">
      <c r="B31" s="3" t="s">
        <v>478</v>
      </c>
      <c r="C31" s="6">
        <f>View_Table[[#This Row],[Rank Previous]]-View_Table[[#This Row],[Rank]]</f>
        <v>-2</v>
      </c>
      <c r="D31" s="7">
        <f>_xlfn.RANK.EQ(View_Table[[#This Row],[Weighted Win%]], View_Table[Weighted Win%], 0)</f>
        <v>39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37</v>
      </c>
    </row>
    <row r="32" spans="2:16" hidden="1" x14ac:dyDescent="0.45">
      <c r="B32" s="3" t="s">
        <v>401</v>
      </c>
      <c r="C32" s="6">
        <f>View_Table[[#This Row],[Rank Previous]]-View_Table[[#This Row],[Rank]]</f>
        <v>-2</v>
      </c>
      <c r="D32" s="7">
        <f>_xlfn.RANK.EQ(View_Table[[#This Row],[Weighted Win%]], View_Table[Weighted Win%], 0)</f>
        <v>39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37</v>
      </c>
    </row>
    <row r="33" spans="2:16" hidden="1" x14ac:dyDescent="0.45">
      <c r="B33" s="3" t="s">
        <v>403</v>
      </c>
      <c r="C33" s="6">
        <f>View_Table[[#This Row],[Rank Previous]]-View_Table[[#This Row],[Rank]]</f>
        <v>-2</v>
      </c>
      <c r="D33" s="7">
        <f>_xlfn.RANK.EQ(View_Table[[#This Row],[Weighted Win%]], View_Table[Weighted Win%], 0)</f>
        <v>39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37</v>
      </c>
    </row>
    <row r="34" spans="2:16" x14ac:dyDescent="0.45">
      <c r="B34" s="3" t="s">
        <v>622</v>
      </c>
      <c r="C34" s="6">
        <f>View_Table[[#This Row],[Rank Previous]]-View_Table[[#This Row],[Rank]]</f>
        <v>-1</v>
      </c>
      <c r="D34" s="7">
        <f>_xlfn.RANK.EQ(View_Table[[#This Row],[Weighted Win%]], View_Table[Weighted Win%], 0)</f>
        <v>14</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0</v>
      </c>
      <c r="J34" s="5">
        <f>View_Table[[#This Row],[Wins]]+View_Table[[#This Row],[Losses]]+View_Table[[#This Row],[Draws]]</f>
        <v>8</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13</v>
      </c>
    </row>
    <row r="35" spans="2:16" x14ac:dyDescent="0.45">
      <c r="B35" s="3" t="s">
        <v>464</v>
      </c>
      <c r="C35" s="6">
        <f>View_Table[[#This Row],[Rank Previous]]-View_Table[[#This Row],[Rank]]</f>
        <v>-1</v>
      </c>
      <c r="D35" s="7">
        <f>_xlfn.RANK.EQ(View_Table[[#This Row],[Weighted Win%]], View_Table[Weighted Win%], 0)</f>
        <v>14</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13</v>
      </c>
    </row>
    <row r="36" spans="2:16" hidden="1" x14ac:dyDescent="0.45">
      <c r="B36" s="3" t="s">
        <v>59</v>
      </c>
      <c r="C36" s="6">
        <f>View_Table[[#This Row],[Rank Previous]]-View_Table[[#This Row],[Rank]]</f>
        <v>0</v>
      </c>
      <c r="D36" s="7">
        <f>_xlfn.RANK.EQ(View_Table[[#This Row],[Weighted Win%]], View_Table[Weighted Win%], 0)</f>
        <v>39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39</v>
      </c>
    </row>
    <row r="37" spans="2:16" hidden="1" x14ac:dyDescent="0.45">
      <c r="B37" s="3" t="s">
        <v>437</v>
      </c>
      <c r="C37" s="6">
        <f>View_Table[[#This Row],[Rank Previous]]-View_Table[[#This Row],[Rank]]</f>
        <v>-2</v>
      </c>
      <c r="D37" s="7">
        <f>_xlfn.RANK.EQ(View_Table[[#This Row],[Weighted Win%]], View_Table[Weighted Win%], 0)</f>
        <v>39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37</v>
      </c>
    </row>
    <row r="38" spans="2:16" x14ac:dyDescent="0.45">
      <c r="B38" s="3" t="s">
        <v>703</v>
      </c>
      <c r="C38" s="6">
        <f>View_Table[[#This Row],[Rank Previous]]-View_Table[[#This Row],[Rank]]</f>
        <v>-1</v>
      </c>
      <c r="D38" s="7">
        <f>_xlfn.RANK.EQ(View_Table[[#This Row],[Weighted Win%]], View_Table[Weighted Win%], 0)</f>
        <v>14</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13</v>
      </c>
    </row>
    <row r="39" spans="2:16" hidden="1" x14ac:dyDescent="0.45">
      <c r="B39" s="3" t="s">
        <v>365</v>
      </c>
      <c r="C39" s="6">
        <f>View_Table[[#This Row],[Rank Previous]]-View_Table[[#This Row],[Rank]]</f>
        <v>-2</v>
      </c>
      <c r="D39" s="7">
        <f>_xlfn.RANK.EQ(View_Table[[#This Row],[Weighted Win%]], View_Table[Weighted Win%], 0)</f>
        <v>39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37</v>
      </c>
    </row>
    <row r="40" spans="2:16" hidden="1" x14ac:dyDescent="0.45">
      <c r="B40" s="3" t="s">
        <v>463</v>
      </c>
      <c r="C40" s="6">
        <f>View_Table[[#This Row],[Rank Previous]]-View_Table[[#This Row],[Rank]]</f>
        <v>-2</v>
      </c>
      <c r="D40" s="7">
        <f>_xlfn.RANK.EQ(View_Table[[#This Row],[Weighted Win%]], View_Table[Weighted Win%], 0)</f>
        <v>39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37</v>
      </c>
    </row>
    <row r="41" spans="2:16" hidden="1" x14ac:dyDescent="0.45">
      <c r="B41" s="3" t="s">
        <v>42</v>
      </c>
      <c r="C41" s="6">
        <f>View_Table[[#This Row],[Rank Previous]]-View_Table[[#This Row],[Rank]]</f>
        <v>-2</v>
      </c>
      <c r="D41" s="7">
        <f>_xlfn.RANK.EQ(View_Table[[#This Row],[Weighted Win%]], View_Table[Weighted Win%], 0)</f>
        <v>21</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2</v>
      </c>
      <c r="M41" s="5">
        <f>IFERROR(
    GETPIVOTDATA(
        "Result",
        'Pivot Table Previous'!$A$3,
        "Player",View_Table[[#This Row],[Player]],
        "Result","Draw"
    ),
    0
)</f>
        <v>0</v>
      </c>
      <c r="N41" s="5">
        <f>View_Table[[#This Row],[Wins Previous]]+View_Table[[#This Row],[Losses Previous]]+View_Table[[#This Row],[Draws Previous]]</f>
        <v>2</v>
      </c>
      <c r="O41" s="9">
        <f>_xlfn.LET(_xlpm.g,View_Table[[#This Row],[Games Previous]], _xlpm.w,(View_Table[[#This Row],[Wins Previous]] + View_Table[[#This Row],[Draws Previous]] * 0.25), _xlpm.fake, MAX(0,25-_xlpm.g), IF(_xlpm.g=0,0,(_xlpm.w + _xlpm.fake*0.25)/(_xlpm.g + _xlpm.fake)))</f>
        <v>0.23</v>
      </c>
      <c r="P41" s="7">
        <f>_xlfn.RANK.EQ(View_Table[[#This Row],[Weighted Win% Previous]], View_Table[Weighted Win% Previous], 0)</f>
        <v>19</v>
      </c>
    </row>
    <row r="42" spans="2:16" x14ac:dyDescent="0.45">
      <c r="B42" s="3" t="s">
        <v>402</v>
      </c>
      <c r="C42" s="6">
        <f>View_Table[[#This Row],[Rank Previous]]-View_Table[[#This Row],[Rank]]</f>
        <v>10</v>
      </c>
      <c r="D42" s="7">
        <f>_xlfn.RANK.EQ(View_Table[[#This Row],[Weighted Win%]], View_Table[Weighted Win%], 0)</f>
        <v>14</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1</v>
      </c>
      <c r="H42" s="5">
        <f>IFERROR(
    GETPIVOTDATA(
        "Result",
        'Pivot Table'!$A$3,
        "Player",View_Table[[#This Row],[Player]],
        "Result","Loss"
    ),
    0
)</f>
        <v>3</v>
      </c>
      <c r="I42" s="5">
        <f>IFERROR(
    GETPIVOTDATA(
        "Result",
        'Pivot Table'!$A$3,
        "Player",View_Table[[#This Row],[Player]],
        "Result","Draw"
    ),
    0
)</f>
        <v>2</v>
      </c>
      <c r="J42" s="5">
        <f>View_Table[[#This Row],[Wins]]+View_Table[[#This Row],[Losses]]+View_Table[[#This Row],[Draws]]</f>
        <v>6</v>
      </c>
      <c r="K42" s="7">
        <f>IFERROR(
    GETPIVOTDATA(
        "Result",
        'Pivot Table Previous'!$A$3,
        "Player",View_Table[[#This Row],[Player]],
        "Result","Win"
    ),
    0
)</f>
        <v>0</v>
      </c>
      <c r="L42" s="5">
        <f>IFERROR(
    GETPIVOTDATA(
        "Result",
        'Pivot Table Previous'!$A$3,
        "Player",View_Table[[#This Row],[Player]],
        "Result","Loss"
    ),
    0
)</f>
        <v>3</v>
      </c>
      <c r="M42" s="5">
        <f>IFERROR(
    GETPIVOTDATA(
        "Result",
        'Pivot Table Previous'!$A$3,
        "Player",View_Table[[#This Row],[Player]],
        "Result","Draw"
    ),
    0
)</f>
        <v>1</v>
      </c>
      <c r="N42" s="5">
        <f>View_Table[[#This Row],[Wins Previous]]+View_Table[[#This Row],[Losses Previous]]+View_Table[[#This Row],[Draws Previous]]</f>
        <v>4</v>
      </c>
      <c r="O42" s="9">
        <f>_xlfn.LET(_xlpm.g,View_Table[[#This Row],[Games Previous]], _xlpm.w,(View_Table[[#This Row],[Wins Previous]] + View_Table[[#This Row],[Draws Previous]] * 0.25), _xlpm.fake, MAX(0,25-_xlpm.g), IF(_xlpm.g=0,0,(_xlpm.w + _xlpm.fake*0.25)/(_xlpm.g + _xlpm.fake)))</f>
        <v>0.22</v>
      </c>
      <c r="P42" s="7">
        <f>_xlfn.RANK.EQ(View_Table[[#This Row],[Weighted Win% Previous]], View_Table[Weighted Win% Previous], 0)</f>
        <v>24</v>
      </c>
    </row>
    <row r="43" spans="2:16" x14ac:dyDescent="0.45">
      <c r="B43" s="3" t="s">
        <v>404</v>
      </c>
      <c r="C43" s="6">
        <f>View_Table[[#This Row],[Rank Previous]]-View_Table[[#This Row],[Rank]]</f>
        <v>-1</v>
      </c>
      <c r="D43" s="7">
        <f>_xlfn.RANK.EQ(View_Table[[#This Row],[Weighted Win%]], View_Table[Weighted Win%], 0)</f>
        <v>18</v>
      </c>
      <c r="E43" s="9">
        <f>_xlfn.LET(_xlpm.g,View_Table[[#This Row],[Games]], _xlpm.w,(View_Table[[#This Row],[Wins]] + View_Table[[#This Row],[Draws]] * 0.25), _xlpm.fake, MAX(0,25-_xlpm.g), IF(_xlpm.g=0,0,(_xlpm.w + _xlpm.fake*0.25)/(_xlpm.g + _xlpm.fake)))</f>
        <v>0.24</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1</v>
      </c>
      <c r="I43" s="5">
        <f>IFERROR(
    GETPIVOTDATA(
        "Result",
        'Pivot Table'!$A$3,
        "Player",View_Table[[#This Row],[Player]],
        "Result","Draw"
    ),
    0
)</f>
        <v>0</v>
      </c>
      <c r="J43" s="5">
        <f>View_Table[[#This Row],[Wins]]+View_Table[[#This Row],[Losses]]+View_Table[[#This Row],[Draws]]</f>
        <v>1</v>
      </c>
      <c r="K43" s="7">
        <f>IFERROR(
    GETPIVOTDATA(
        "Result",
        'Pivot Table Previous'!$A$3,
        "Player",View_Table[[#This Row],[Player]],
        "Result","Win"
    ),
    0
)</f>
        <v>0</v>
      </c>
      <c r="L43" s="5">
        <f>IFERROR(
    GETPIVOTDATA(
        "Result",
        'Pivot Table Previous'!$A$3,
        "Player",View_Table[[#This Row],[Player]],
        "Result","Loss"
    ),
    0
)</f>
        <v>1</v>
      </c>
      <c r="M43" s="5">
        <f>IFERROR(
    GETPIVOTDATA(
        "Result",
        'Pivot Table Previous'!$A$3,
        "Player",View_Table[[#This Row],[Player]],
        "Result","Draw"
    ),
    0
)</f>
        <v>0</v>
      </c>
      <c r="N43" s="5">
        <f>View_Table[[#This Row],[Wins Previous]]+View_Table[[#This Row],[Losses Previous]]+View_Table[[#This Row],[Draws Previous]]</f>
        <v>1</v>
      </c>
      <c r="O43" s="9">
        <f>_xlfn.LET(_xlpm.g,View_Table[[#This Row],[Games Previous]], _xlpm.w,(View_Table[[#This Row],[Wins Previous]] + View_Table[[#This Row],[Draws Previous]] * 0.25), _xlpm.fake, MAX(0,25-_xlpm.g), IF(_xlpm.g=0,0,(_xlpm.w + _xlpm.fake*0.25)/(_xlpm.g + _xlpm.fake)))</f>
        <v>0.24</v>
      </c>
      <c r="P43" s="7">
        <f>_xlfn.RANK.EQ(View_Table[[#This Row],[Weighted Win% Previous]], View_Table[Weighted Win% Previous], 0)</f>
        <v>17</v>
      </c>
    </row>
    <row r="44" spans="2:16" x14ac:dyDescent="0.45">
      <c r="B44" s="3" t="s">
        <v>27</v>
      </c>
      <c r="C44" s="6">
        <f>View_Table[[#This Row],[Rank Previous]]-View_Table[[#This Row],[Rank]]</f>
        <v>6</v>
      </c>
      <c r="D44" s="7">
        <f>_xlfn.RANK.EQ(View_Table[[#This Row],[Weighted Win%]], View_Table[Weighted Win%], 0)</f>
        <v>18</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0.23214285714285715</v>
      </c>
      <c r="G44" s="5">
        <f>IFERROR(
    GETPIVOTDATA(
        "Result",
        'Pivot Table'!$A$3,
        "Player",View_Table[[#This Row],[Player]],
        "Result","Win"
    ),
    0
)</f>
        <v>3</v>
      </c>
      <c r="H44" s="5">
        <f>IFERROR(
    GETPIVOTDATA(
        "Result",
        'Pivot Table'!$A$3,
        "Player",View_Table[[#This Row],[Player]],
        "Result","Loss"
    ),
    0
)</f>
        <v>10</v>
      </c>
      <c r="I44" s="5">
        <f>IFERROR(
    GETPIVOTDATA(
        "Result",
        'Pivot Table'!$A$3,
        "Player",View_Table[[#This Row],[Player]],
        "Result","Draw"
    ),
    0
)</f>
        <v>1</v>
      </c>
      <c r="J44" s="5">
        <f>View_Table[[#This Row],[Wins]]+View_Table[[#This Row],[Losses]]+View_Table[[#This Row],[Draws]]</f>
        <v>14</v>
      </c>
      <c r="K44" s="7">
        <f>IFERROR(
    GETPIVOTDATA(
        "Result",
        'Pivot Table Previous'!$A$3,
        "Player",View_Table[[#This Row],[Player]],
        "Result","Win"
    ),
    0
)</f>
        <v>2</v>
      </c>
      <c r="L44" s="5">
        <f>IFERROR(
    GETPIVOTDATA(
        "Result",
        'Pivot Table Previous'!$A$3,
        "Player",View_Table[[#This Row],[Player]],
        "Result","Loss"
    ),
    0
)</f>
        <v>9</v>
      </c>
      <c r="M44" s="5">
        <f>IFERROR(
    GETPIVOTDATA(
        "Result",
        'Pivot Table Previous'!$A$3,
        "Player",View_Table[[#This Row],[Player]],
        "Result","Draw"
    ),
    0
)</f>
        <v>1</v>
      </c>
      <c r="N44" s="5">
        <f>View_Table[[#This Row],[Wins Previous]]+View_Table[[#This Row],[Losses Previous]]+View_Table[[#This Row],[Draws Previous]]</f>
        <v>12</v>
      </c>
      <c r="O44" s="9">
        <f>_xlfn.LET(_xlpm.g,View_Table[[#This Row],[Games Previous]], _xlpm.w,(View_Table[[#This Row],[Wins Previous]] + View_Table[[#This Row],[Draws Previous]] * 0.25), _xlpm.fake, MAX(0,25-_xlpm.g), IF(_xlpm.g=0,0,(_xlpm.w + _xlpm.fake*0.25)/(_xlpm.g + _xlpm.fake)))</f>
        <v>0.22</v>
      </c>
      <c r="P44" s="7">
        <f>_xlfn.RANK.EQ(View_Table[[#This Row],[Weighted Win% Previous]], View_Table[Weighted Win% Previous], 0)</f>
        <v>24</v>
      </c>
    </row>
    <row r="45" spans="2:16" x14ac:dyDescent="0.45">
      <c r="B45" s="3" t="s">
        <v>734</v>
      </c>
      <c r="C45" s="6">
        <f>View_Table[[#This Row],[Rank Previous]]-View_Table[[#This Row],[Rank]]</f>
        <v>19</v>
      </c>
      <c r="D45" s="20">
        <f>_xlfn.RANK.EQ(View_Table[[#This Row],[Weighted Win%]], View_Table[Weighted Win%], 0)</f>
        <v>18</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0.125</v>
      </c>
      <c r="G45" s="21">
        <f>IFERROR(
    GETPIVOTDATA(
        "Result",
        'Pivot Table'!$A$3,
        "Player",View_Table[[#This Row],[Player]],
        "Result","Win"
    ),
    0
)</f>
        <v>0</v>
      </c>
      <c r="H45" s="21">
        <f>IFERROR(
    GETPIVOTDATA(
        "Result",
        'Pivot Table'!$A$3,
        "Player",View_Table[[#This Row],[Player]],
        "Result","Loss"
    ),
    0
)</f>
        <v>1</v>
      </c>
      <c r="I45" s="21">
        <f>IFERROR(
    GETPIVOTDATA(
        "Result",
        'Pivot Table'!$A$3,
        "Player",View_Table[[#This Row],[Player]],
        "Result","Draw"
    ),
    0
)</f>
        <v>1</v>
      </c>
      <c r="J45" s="21">
        <f>View_Table[[#This Row],[Wins]]+View_Table[[#This Row],[Losses]]+View_Table[[#This Row],[Draws]]</f>
        <v>2</v>
      </c>
      <c r="K45" s="20">
        <f>IFERROR(
    GETPIVOTDATA(
        "Result",
        'Pivot Table Previous'!$A$3,
        "Player",View_Table[[#This Row],[Player]],
        "Result","Win"
    ),
    0
)</f>
        <v>0</v>
      </c>
      <c r="L45" s="21">
        <f>IFERROR(
    GETPIVOTDATA(
        "Result",
        'Pivot Table Previous'!$A$3,
        "Player",View_Table[[#This Row],[Player]],
        "Result","Loss"
    ),
    0
)</f>
        <v>0</v>
      </c>
      <c r="M45" s="21">
        <f>IFERROR(
    GETPIVOTDATA(
        "Result",
        'Pivot Table Previous'!$A$3,
        "Player",View_Table[[#This Row],[Player]],
        "Result","Draw"
    ),
    0
)</f>
        <v>0</v>
      </c>
      <c r="N45" s="21">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20">
        <f>_xlfn.RANK.EQ(View_Table[[#This Row],[Weighted Win% Previous]], View_Table[Weighted Win% Previous], 0)</f>
        <v>37</v>
      </c>
    </row>
    <row r="46" spans="2:16" hidden="1" x14ac:dyDescent="0.45">
      <c r="B46" s="3" t="s">
        <v>30</v>
      </c>
      <c r="C46" s="6">
        <f>View_Table[[#This Row],[Rank Previous]]-View_Table[[#This Row],[Rank]]</f>
        <v>-2</v>
      </c>
      <c r="D46" s="7">
        <f>_xlfn.RANK.EQ(View_Table[[#This Row],[Weighted Win%]], View_Table[Weighted Win%], 0)</f>
        <v>39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37</v>
      </c>
    </row>
    <row r="47" spans="2:16" hidden="1" x14ac:dyDescent="0.45">
      <c r="B47" s="3" t="s">
        <v>541</v>
      </c>
      <c r="C47" s="6">
        <f>View_Table[[#This Row],[Rank Previous]]-View_Table[[#This Row],[Rank]]</f>
        <v>-2</v>
      </c>
      <c r="D47" s="7">
        <f>_xlfn.RANK.EQ(View_Table[[#This Row],[Weighted Win%]], View_Table[Weighted Win%], 0)</f>
        <v>39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37</v>
      </c>
    </row>
    <row r="48" spans="2:16" hidden="1" x14ac:dyDescent="0.45">
      <c r="B48" s="3" t="s">
        <v>46</v>
      </c>
      <c r="C48" s="6">
        <f>View_Table[[#This Row],[Rank Previous]]-View_Table[[#This Row],[Rank]]</f>
        <v>-2</v>
      </c>
      <c r="D48" s="7">
        <f>_xlfn.RANK.EQ(View_Table[[#This Row],[Weighted Win%]], View_Table[Weighted Win%], 0)</f>
        <v>39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37</v>
      </c>
    </row>
    <row r="49" spans="2:16" hidden="1" x14ac:dyDescent="0.45">
      <c r="B49" s="3" t="s">
        <v>542</v>
      </c>
      <c r="C49" s="6">
        <f>View_Table[[#This Row],[Rank Previous]]-View_Table[[#This Row],[Rank]]</f>
        <v>-2</v>
      </c>
      <c r="D49" s="7">
        <f>_xlfn.RANK.EQ(View_Table[[#This Row],[Weighted Win%]], View_Table[Weighted Win%], 0)</f>
        <v>39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37</v>
      </c>
    </row>
    <row r="50" spans="2:16" hidden="1" x14ac:dyDescent="0.45">
      <c r="B50" s="3" t="s">
        <v>57</v>
      </c>
      <c r="C50" s="6">
        <f>View_Table[[#This Row],[Rank Previous]]-View_Table[[#This Row],[Rank]]</f>
        <v>-2</v>
      </c>
      <c r="D50" s="7">
        <f>_xlfn.RANK.EQ(View_Table[[#This Row],[Weighted Win%]], View_Table[Weighted Win%], 0)</f>
        <v>39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37</v>
      </c>
    </row>
    <row r="51" spans="2:16" hidden="1" x14ac:dyDescent="0.45">
      <c r="B51" s="3" t="s">
        <v>591</v>
      </c>
      <c r="C51" s="6">
        <f>View_Table[[#This Row],[Rank Previous]]-View_Table[[#This Row],[Rank]]</f>
        <v>-2</v>
      </c>
      <c r="D51" s="7">
        <f>_xlfn.RANK.EQ(View_Table[[#This Row],[Weighted Win%]], View_Table[Weighted Win%], 0)</f>
        <v>39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37</v>
      </c>
    </row>
    <row r="52" spans="2:16" hidden="1" x14ac:dyDescent="0.45">
      <c r="B52" s="3" t="s">
        <v>61</v>
      </c>
      <c r="C52" s="6">
        <f>View_Table[[#This Row],[Rank Previous]]-View_Table[[#This Row],[Rank]]</f>
        <v>-2</v>
      </c>
      <c r="D52" s="7">
        <f>_xlfn.RANK.EQ(View_Table[[#This Row],[Weighted Win%]], View_Table[Weighted Win%], 0)</f>
        <v>39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37</v>
      </c>
    </row>
    <row r="53" spans="2:16" hidden="1" x14ac:dyDescent="0.45">
      <c r="B53" s="3" t="s">
        <v>321</v>
      </c>
      <c r="C53" s="6">
        <f>View_Table[[#This Row],[Rank Previous]]-View_Table[[#This Row],[Rank]]</f>
        <v>-2</v>
      </c>
      <c r="D53" s="7">
        <f>_xlfn.RANK.EQ(View_Table[[#This Row],[Weighted Win%]], View_Table[Weighted Win%], 0)</f>
        <v>39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37</v>
      </c>
    </row>
    <row r="54" spans="2:16" hidden="1" x14ac:dyDescent="0.45">
      <c r="B54" s="3" t="s">
        <v>38</v>
      </c>
      <c r="C54" s="6">
        <f>View_Table[[#This Row],[Rank Previous]]-View_Table[[#This Row],[Rank]]</f>
        <v>-2</v>
      </c>
      <c r="D54" s="7">
        <f>_xlfn.RANK.EQ(View_Table[[#This Row],[Weighted Win%]], View_Table[Weighted Win%], 0)</f>
        <v>39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37</v>
      </c>
    </row>
    <row r="55" spans="2:16" hidden="1" x14ac:dyDescent="0.45">
      <c r="B55" s="3" t="s">
        <v>48</v>
      </c>
      <c r="C55" s="6">
        <f>View_Table[[#This Row],[Rank Previous]]-View_Table[[#This Row],[Rank]]</f>
        <v>-2</v>
      </c>
      <c r="D55" s="7">
        <f>_xlfn.RANK.EQ(View_Table[[#This Row],[Weighted Win%]], View_Table[Weighted Win%], 0)</f>
        <v>39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37</v>
      </c>
    </row>
    <row r="56" spans="2:16" hidden="1" x14ac:dyDescent="0.45">
      <c r="B56" s="3" t="s">
        <v>608</v>
      </c>
      <c r="C56" s="6">
        <f>View_Table[[#This Row],[Rank Previous]]-View_Table[[#This Row],[Rank]]</f>
        <v>16</v>
      </c>
      <c r="D56" s="7">
        <f>_xlfn.RANK.EQ(View_Table[[#This Row],[Weighted Win%]], View_Table[Weighted Win%], 0)</f>
        <v>21</v>
      </c>
      <c r="E56" s="9">
        <f>_xlfn.LET(_xlpm.g,View_Table[[#This Row],[Games]], _xlpm.w,(View_Table[[#This Row],[Wins]] + View_Table[[#This Row],[Draws]] * 0.25), _xlpm.fake, MAX(0,25-_xlpm.g), IF(_xlpm.g=0,0,(_xlpm.w + _xlpm.fake*0.25)/(_xlpm.g + _xlpm.fake)))</f>
        <v>0.23</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2</v>
      </c>
      <c r="I56" s="5">
        <f>IFERROR(
    GETPIVOTDATA(
        "Result",
        'Pivot Table'!$A$3,
        "Player",View_Table[[#This Row],[Player]],
        "Result","Draw"
    ),
    0
)</f>
        <v>0</v>
      </c>
      <c r="J56" s="5">
        <f>View_Table[[#This Row],[Wins]]+View_Table[[#This Row],[Losses]]+View_Table[[#This Row],[Draws]]</f>
        <v>2</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37</v>
      </c>
    </row>
    <row r="57" spans="2:16" hidden="1" x14ac:dyDescent="0.45">
      <c r="B57" s="3" t="s">
        <v>62</v>
      </c>
      <c r="C57" s="6">
        <f>View_Table[[#This Row],[Rank Previous]]-View_Table[[#This Row],[Rank]]</f>
        <v>-2</v>
      </c>
      <c r="D57" s="7">
        <f>_xlfn.RANK.EQ(View_Table[[#This Row],[Weighted Win%]], View_Table[Weighted Win%], 0)</f>
        <v>39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37</v>
      </c>
    </row>
    <row r="58" spans="2:16" hidden="1" x14ac:dyDescent="0.45">
      <c r="B58" s="3" t="s">
        <v>54</v>
      </c>
      <c r="C58" s="6">
        <f>View_Table[[#This Row],[Rank Previous]]-View_Table[[#This Row],[Rank]]</f>
        <v>-2</v>
      </c>
      <c r="D58" s="7">
        <f>_xlfn.RANK.EQ(View_Table[[#This Row],[Weighted Win%]], View_Table[Weighted Win%], 0)</f>
        <v>39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37</v>
      </c>
    </row>
    <row r="59" spans="2:16" hidden="1" x14ac:dyDescent="0.45">
      <c r="B59" s="3" t="s">
        <v>60</v>
      </c>
      <c r="C59" s="6">
        <f>View_Table[[#This Row],[Rank Previous]]-View_Table[[#This Row],[Rank]]</f>
        <v>-2</v>
      </c>
      <c r="D59" s="7">
        <f>_xlfn.RANK.EQ(View_Table[[#This Row],[Weighted Win%]], View_Table[Weighted Win%], 0)</f>
        <v>39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37</v>
      </c>
    </row>
    <row r="60" spans="2:16" hidden="1" x14ac:dyDescent="0.45">
      <c r="B60" s="3" t="s">
        <v>85</v>
      </c>
      <c r="C60" s="6">
        <f>View_Table[[#This Row],[Rank Previous]]-View_Table[[#This Row],[Rank]]</f>
        <v>-2</v>
      </c>
      <c r="D60" s="7">
        <f>_xlfn.RANK.EQ(View_Table[[#This Row],[Weighted Win%]], View_Table[Weighted Win%], 0)</f>
        <v>39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37</v>
      </c>
    </row>
    <row r="61" spans="2:16" hidden="1" x14ac:dyDescent="0.45">
      <c r="B61" s="3" t="s">
        <v>47</v>
      </c>
      <c r="C61" s="6">
        <f>View_Table[[#This Row],[Rank Previous]]-View_Table[[#This Row],[Rank]]</f>
        <v>-2</v>
      </c>
      <c r="D61" s="7">
        <f>_xlfn.RANK.EQ(View_Table[[#This Row],[Weighted Win%]], View_Table[Weighted Win%], 0)</f>
        <v>39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37</v>
      </c>
    </row>
    <row r="62" spans="2:16" hidden="1" x14ac:dyDescent="0.45">
      <c r="B62" s="3" t="s">
        <v>50</v>
      </c>
      <c r="C62" s="6">
        <f>View_Table[[#This Row],[Rank Previous]]-View_Table[[#This Row],[Rank]]</f>
        <v>-2</v>
      </c>
      <c r="D62" s="7">
        <f>_xlfn.RANK.EQ(View_Table[[#This Row],[Weighted Win%]], View_Table[Weighted Win%], 0)</f>
        <v>39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37</v>
      </c>
    </row>
    <row r="63" spans="2:16" hidden="1" x14ac:dyDescent="0.45">
      <c r="B63" s="3" t="s">
        <v>53</v>
      </c>
      <c r="C63" s="6">
        <f>View_Table[[#This Row],[Rank Previous]]-View_Table[[#This Row],[Rank]]</f>
        <v>-2</v>
      </c>
      <c r="D63" s="7">
        <f>_xlfn.RANK.EQ(View_Table[[#This Row],[Weighted Win%]], View_Table[Weighted Win%], 0)</f>
        <v>39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37</v>
      </c>
    </row>
    <row r="64" spans="2:16" hidden="1" x14ac:dyDescent="0.45">
      <c r="B64" s="3" t="s">
        <v>56</v>
      </c>
      <c r="C64" s="6">
        <f>View_Table[[#This Row],[Rank Previous]]-View_Table[[#This Row],[Rank]]</f>
        <v>-2</v>
      </c>
      <c r="D64" s="7">
        <f>_xlfn.RANK.EQ(View_Table[[#This Row],[Weighted Win%]], View_Table[Weighted Win%], 0)</f>
        <v>39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37</v>
      </c>
    </row>
    <row r="65" spans="2:16" hidden="1" x14ac:dyDescent="0.45">
      <c r="B65" s="3" t="s">
        <v>58</v>
      </c>
      <c r="C65" s="6">
        <f>View_Table[[#This Row],[Rank Previous]]-View_Table[[#This Row],[Rank]]</f>
        <v>-2</v>
      </c>
      <c r="D65" s="7">
        <f>_xlfn.RANK.EQ(View_Table[[#This Row],[Weighted Win%]], View_Table[Weighted Win%], 0)</f>
        <v>39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37</v>
      </c>
    </row>
    <row r="66" spans="2:16" x14ac:dyDescent="0.45">
      <c r="B66" s="3" t="s">
        <v>364</v>
      </c>
      <c r="C66" s="6">
        <f>View_Table[[#This Row],[Rank Previous]]-View_Table[[#This Row],[Rank]]</f>
        <v>-8</v>
      </c>
      <c r="D66" s="7">
        <f>_xlfn.RANK.EQ(View_Table[[#This Row],[Weighted Win%]], View_Table[Weighted Win%], 0)</f>
        <v>21</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2</v>
      </c>
      <c r="J66" s="5">
        <f>View_Table[[#This Row],[Wins]]+View_Table[[#This Row],[Losses]]+View_Table[[#This Row],[Draws]]</f>
        <v>4</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2</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0.25</v>
      </c>
      <c r="P66" s="7">
        <f>_xlfn.RANK.EQ(View_Table[[#This Row],[Weighted Win% Previous]], View_Table[Weighted Win% Previous], 0)</f>
        <v>13</v>
      </c>
    </row>
    <row r="67" spans="2:16" hidden="1" x14ac:dyDescent="0.45">
      <c r="B67" s="3" t="s">
        <v>45</v>
      </c>
      <c r="C67" s="6">
        <f>View_Table[[#This Row],[Rank Previous]]-View_Table[[#This Row],[Rank]]</f>
        <v>-2</v>
      </c>
      <c r="D67" s="7">
        <f>_xlfn.RANK.EQ(View_Table[[#This Row],[Weighted Win%]], View_Table[Weighted Win%], 0)</f>
        <v>39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37</v>
      </c>
    </row>
    <row r="68" spans="2:16" hidden="1" x14ac:dyDescent="0.45">
      <c r="B68" s="3" t="s">
        <v>40</v>
      </c>
      <c r="C68" s="6">
        <f>View_Table[[#This Row],[Rank Previous]]-View_Table[[#This Row],[Rank]]</f>
        <v>-2</v>
      </c>
      <c r="D68" s="7">
        <f>_xlfn.RANK.EQ(View_Table[[#This Row],[Weighted Win%]], View_Table[Weighted Win%], 0)</f>
        <v>39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37</v>
      </c>
    </row>
    <row r="69" spans="2:16" hidden="1" x14ac:dyDescent="0.45">
      <c r="B69" s="3" t="s">
        <v>55</v>
      </c>
      <c r="C69" s="6">
        <f>View_Table[[#This Row],[Rank Previous]]-View_Table[[#This Row],[Rank]]</f>
        <v>-2</v>
      </c>
      <c r="D69" s="7">
        <f>_xlfn.RANK.EQ(View_Table[[#This Row],[Weighted Win%]], View_Table[Weighted Win%], 0)</f>
        <v>39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37</v>
      </c>
    </row>
    <row r="70" spans="2:16" hidden="1" x14ac:dyDescent="0.45">
      <c r="B70" s="3" t="s">
        <v>16</v>
      </c>
      <c r="C70" s="6">
        <f>View_Table[[#This Row],[Rank Previous]]-View_Table[[#This Row],[Rank]]</f>
        <v>-2</v>
      </c>
      <c r="D70" s="7">
        <f>_xlfn.RANK.EQ(View_Table[[#This Row],[Weighted Win%]], View_Table[Weighted Win%], 0)</f>
        <v>39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37</v>
      </c>
    </row>
    <row r="71" spans="2:16" hidden="1" x14ac:dyDescent="0.45">
      <c r="B71" s="3" t="s">
        <v>21</v>
      </c>
      <c r="C71" s="6">
        <f>View_Table[[#This Row],[Rank Previous]]-View_Table[[#This Row],[Rank]]</f>
        <v>-2</v>
      </c>
      <c r="D71" s="7">
        <f>_xlfn.RANK.EQ(View_Table[[#This Row],[Weighted Win%]], View_Table[Weighted Win%], 0)</f>
        <v>39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37</v>
      </c>
    </row>
    <row r="72" spans="2:16" hidden="1" x14ac:dyDescent="0.45">
      <c r="B72" s="3" t="s">
        <v>49</v>
      </c>
      <c r="C72" s="6">
        <f>View_Table[[#This Row],[Rank Previous]]-View_Table[[#This Row],[Rank]]</f>
        <v>-2</v>
      </c>
      <c r="D72" s="7">
        <f>_xlfn.RANK.EQ(View_Table[[#This Row],[Weighted Win%]], View_Table[Weighted Win%], 0)</f>
        <v>39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37</v>
      </c>
    </row>
    <row r="73" spans="2:16" hidden="1" x14ac:dyDescent="0.45">
      <c r="B73" s="3" t="s">
        <v>12</v>
      </c>
      <c r="C73" s="6">
        <f>View_Table[[#This Row],[Rank Previous]]-View_Table[[#This Row],[Rank]]</f>
        <v>-2</v>
      </c>
      <c r="D73" s="7">
        <f>_xlfn.RANK.EQ(View_Table[[#This Row],[Weighted Win%]], View_Table[Weighted Win%], 0)</f>
        <v>39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37</v>
      </c>
    </row>
    <row r="74" spans="2:16" hidden="1" x14ac:dyDescent="0.45">
      <c r="B74" s="3" t="s">
        <v>44</v>
      </c>
      <c r="C74" s="6">
        <f>View_Table[[#This Row],[Rank Previous]]-View_Table[[#This Row],[Rank]]</f>
        <v>-2</v>
      </c>
      <c r="D74" s="7">
        <f>_xlfn.RANK.EQ(View_Table[[#This Row],[Weighted Win%]], View_Table[Weighted Win%], 0)</f>
        <v>39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37</v>
      </c>
    </row>
    <row r="75" spans="2:16" hidden="1" x14ac:dyDescent="0.45">
      <c r="B75" s="3" t="s">
        <v>29</v>
      </c>
      <c r="C75" s="6">
        <f>View_Table[[#This Row],[Rank Previous]]-View_Table[[#This Row],[Rank]]</f>
        <v>-2</v>
      </c>
      <c r="D75" s="7">
        <f>_xlfn.RANK.EQ(View_Table[[#This Row],[Weighted Win%]], View_Table[Weighted Win%], 0)</f>
        <v>39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37</v>
      </c>
    </row>
    <row r="76" spans="2:16" hidden="1" x14ac:dyDescent="0.45">
      <c r="B76" s="3" t="s">
        <v>65</v>
      </c>
      <c r="C76" s="6">
        <f>View_Table[[#This Row],[Rank Previous]]-View_Table[[#This Row],[Rank]]</f>
        <v>-2</v>
      </c>
      <c r="D76" s="7">
        <f>_xlfn.RANK.EQ(View_Table[[#This Row],[Weighted Win%]], View_Table[Weighted Win%], 0)</f>
        <v>39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37</v>
      </c>
    </row>
    <row r="77" spans="2:16" hidden="1" x14ac:dyDescent="0.45">
      <c r="B77" s="3" t="s">
        <v>76</v>
      </c>
      <c r="C77" s="6">
        <f>View_Table[[#This Row],[Rank Previous]]-View_Table[[#This Row],[Rank]]</f>
        <v>-2</v>
      </c>
      <c r="D77" s="7">
        <f>_xlfn.RANK.EQ(View_Table[[#This Row],[Weighted Win%]], View_Table[Weighted Win%], 0)</f>
        <v>39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37</v>
      </c>
    </row>
    <row r="78" spans="2:16" hidden="1" x14ac:dyDescent="0.45">
      <c r="B78" s="3" t="s">
        <v>39</v>
      </c>
      <c r="C78" s="6">
        <f>View_Table[[#This Row],[Rank Previous]]-View_Table[[#This Row],[Rank]]</f>
        <v>-2</v>
      </c>
      <c r="D78" s="7">
        <f>_xlfn.RANK.EQ(View_Table[[#This Row],[Weighted Win%]], View_Table[Weighted Win%], 0)</f>
        <v>39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37</v>
      </c>
    </row>
    <row r="79" spans="2:16" hidden="1" x14ac:dyDescent="0.45">
      <c r="B79" s="3" t="s">
        <v>18</v>
      </c>
      <c r="C79" s="6">
        <f>View_Table[[#This Row],[Rank Previous]]-View_Table[[#This Row],[Rank]]</f>
        <v>-2</v>
      </c>
      <c r="D79" s="7">
        <f>_xlfn.RANK.EQ(View_Table[[#This Row],[Weighted Win%]], View_Table[Weighted Win%], 0)</f>
        <v>39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37</v>
      </c>
    </row>
    <row r="80" spans="2:16" hidden="1" x14ac:dyDescent="0.45">
      <c r="B80" s="3" t="s">
        <v>592</v>
      </c>
      <c r="C80" s="6">
        <f>View_Table[[#This Row],[Rank Previous]]-View_Table[[#This Row],[Rank]]</f>
        <v>-2</v>
      </c>
      <c r="D80" s="7">
        <f>_xlfn.RANK.EQ(View_Table[[#This Row],[Weighted Win%]], View_Table[Weighted Win%], 0)</f>
        <v>39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37</v>
      </c>
    </row>
    <row r="81" spans="2:16" hidden="1" x14ac:dyDescent="0.45">
      <c r="B81" s="3" t="s">
        <v>539</v>
      </c>
      <c r="C81" s="6">
        <f>View_Table[[#This Row],[Rank Previous]]-View_Table[[#This Row],[Rank]]</f>
        <v>-2</v>
      </c>
      <c r="D81" s="7">
        <f>_xlfn.RANK.EQ(View_Table[[#This Row],[Weighted Win%]], View_Table[Weighted Win%], 0)</f>
        <v>39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37</v>
      </c>
    </row>
    <row r="82" spans="2:16" x14ac:dyDescent="0.45">
      <c r="B82" s="3" t="s">
        <v>351</v>
      </c>
      <c r="C82" s="6">
        <f>View_Table[[#This Row],[Rank Previous]]-View_Table[[#This Row],[Rank]]</f>
        <v>-2</v>
      </c>
      <c r="D82" s="7">
        <f>_xlfn.RANK.EQ(View_Table[[#This Row],[Weighted Win%]], View_Table[Weighted Win%], 0)</f>
        <v>21</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0.21875</v>
      </c>
      <c r="G82" s="5">
        <f>IFERROR(
    GETPIVOTDATA(
        "Result",
        'Pivot Table'!$A$3,
        "Player",View_Table[[#This Row],[Player]],
        "Result","Win"
    ),
    0
)</f>
        <v>1</v>
      </c>
      <c r="H82" s="5">
        <f>IFERROR(
    GETPIVOTDATA(
        "Result",
        'Pivot Table'!$A$3,
        "Player",View_Table[[#This Row],[Player]],
        "Result","Loss"
    ),
    0
)</f>
        <v>5</v>
      </c>
      <c r="I82" s="5">
        <f>IFERROR(
    GETPIVOTDATA(
        "Result",
        'Pivot Table'!$A$3,
        "Player",View_Table[[#This Row],[Player]],
        "Result","Draw"
    ),
    0
)</f>
        <v>10</v>
      </c>
      <c r="J82" s="5">
        <f>View_Table[[#This Row],[Wins]]+View_Table[[#This Row],[Losses]]+View_Table[[#This Row],[Draws]]</f>
        <v>16</v>
      </c>
      <c r="K82" s="7">
        <f>IFERROR(
    GETPIVOTDATA(
        "Result",
        'Pivot Table Previous'!$A$3,
        "Player",View_Table[[#This Row],[Player]],
        "Result","Win"
    ),
    0
)</f>
        <v>1</v>
      </c>
      <c r="L82" s="5">
        <f>IFERROR(
    GETPIVOTDATA(
        "Result",
        'Pivot Table Previous'!$A$3,
        "Player",View_Table[[#This Row],[Player]],
        "Result","Loss"
    ),
    0
)</f>
        <v>5</v>
      </c>
      <c r="M82" s="5">
        <f>IFERROR(
    GETPIVOTDATA(
        "Result",
        'Pivot Table Previous'!$A$3,
        "Player",View_Table[[#This Row],[Player]],
        "Result","Draw"
    ),
    0
)</f>
        <v>8</v>
      </c>
      <c r="N82" s="5">
        <f>View_Table[[#This Row],[Wins Previous]]+View_Table[[#This Row],[Losses Previous]]+View_Table[[#This Row],[Draws Previous]]</f>
        <v>14</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19</v>
      </c>
    </row>
    <row r="83" spans="2:16" x14ac:dyDescent="0.45">
      <c r="B83" s="3" t="s">
        <v>435</v>
      </c>
      <c r="C83" s="6">
        <f>View_Table[[#This Row],[Rank Previous]]-View_Table[[#This Row],[Rank]]</f>
        <v>-2</v>
      </c>
      <c r="D83" s="7">
        <f>_xlfn.RANK.EQ(View_Table[[#This Row],[Weighted Win%]], View_Table[Weighted Win%], 0)</f>
        <v>21</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19</v>
      </c>
    </row>
    <row r="84" spans="2:16" hidden="1" x14ac:dyDescent="0.45">
      <c r="B84" s="3" t="s">
        <v>579</v>
      </c>
      <c r="C84" s="6">
        <f>View_Table[[#This Row],[Rank Previous]]-View_Table[[#This Row],[Rank]]</f>
        <v>-2</v>
      </c>
      <c r="D84" s="7">
        <f>_xlfn.RANK.EQ(View_Table[[#This Row],[Weighted Win%]], View_Table[Weighted Win%], 0)</f>
        <v>39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37</v>
      </c>
    </row>
    <row r="85" spans="2:16" hidden="1" x14ac:dyDescent="0.45">
      <c r="B85" s="3" t="s">
        <v>590</v>
      </c>
      <c r="C85" s="6">
        <f>View_Table[[#This Row],[Rank Previous]]-View_Table[[#This Row],[Rank]]</f>
        <v>-2</v>
      </c>
      <c r="D85" s="7">
        <f>_xlfn.RANK.EQ(View_Table[[#This Row],[Weighted Win%]], View_Table[Weighted Win%], 0)</f>
        <v>39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37</v>
      </c>
    </row>
    <row r="86" spans="2:16" hidden="1" x14ac:dyDescent="0.45">
      <c r="B86" s="3" t="s">
        <v>551</v>
      </c>
      <c r="C86" s="6">
        <f>View_Table[[#This Row],[Rank Previous]]-View_Table[[#This Row],[Rank]]</f>
        <v>-2</v>
      </c>
      <c r="D86" s="7">
        <f>_xlfn.RANK.EQ(View_Table[[#This Row],[Weighted Win%]], View_Table[Weighted Win%], 0)</f>
        <v>39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37</v>
      </c>
    </row>
    <row r="87" spans="2:16" hidden="1" x14ac:dyDescent="0.45">
      <c r="B87" s="3" t="s">
        <v>552</v>
      </c>
      <c r="C87" s="6">
        <f>View_Table[[#This Row],[Rank Previous]]-View_Table[[#This Row],[Rank]]</f>
        <v>-2</v>
      </c>
      <c r="D87" s="7">
        <f>_xlfn.RANK.EQ(View_Table[[#This Row],[Weighted Win%]], View_Table[Weighted Win%], 0)</f>
        <v>39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37</v>
      </c>
    </row>
    <row r="88" spans="2:16" hidden="1" x14ac:dyDescent="0.45">
      <c r="B88" s="3" t="s">
        <v>553</v>
      </c>
      <c r="C88" s="6">
        <f>View_Table[[#This Row],[Rank Previous]]-View_Table[[#This Row],[Rank]]</f>
        <v>-2</v>
      </c>
      <c r="D88" s="7">
        <f>_xlfn.RANK.EQ(View_Table[[#This Row],[Weighted Win%]], View_Table[Weighted Win%], 0)</f>
        <v>39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37</v>
      </c>
    </row>
    <row r="89" spans="2:16" hidden="1" x14ac:dyDescent="0.45">
      <c r="B89" s="3" t="s">
        <v>554</v>
      </c>
      <c r="C89" s="6">
        <f>View_Table[[#This Row],[Rank Previous]]-View_Table[[#This Row],[Rank]]</f>
        <v>-2</v>
      </c>
      <c r="D89" s="7">
        <f>_xlfn.RANK.EQ(View_Table[[#This Row],[Weighted Win%]], View_Table[Weighted Win%], 0)</f>
        <v>39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37</v>
      </c>
    </row>
    <row r="90" spans="2:16" x14ac:dyDescent="0.45">
      <c r="B90" s="3" t="s">
        <v>605</v>
      </c>
      <c r="C90" s="6">
        <f>View_Table[[#This Row],[Rank Previous]]-View_Table[[#This Row],[Rank]]</f>
        <v>-2</v>
      </c>
      <c r="D90" s="7">
        <f>_xlfn.RANK.EQ(View_Table[[#This Row],[Weighted Win%]], View_Table[Weighted Win%], 0)</f>
        <v>21</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19</v>
      </c>
    </row>
    <row r="91" spans="2:16" x14ac:dyDescent="0.45">
      <c r="B91" s="3" t="s">
        <v>723</v>
      </c>
      <c r="C91" s="6">
        <f>View_Table[[#This Row],[Rank Previous]]-View_Table[[#This Row],[Rank]]</f>
        <v>-2</v>
      </c>
      <c r="D91" s="7">
        <f>_xlfn.RANK.EQ(View_Table[[#This Row],[Weighted Win%]], View_Table[Weighted Win%], 0)</f>
        <v>21</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0.125</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2</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19</v>
      </c>
    </row>
    <row r="92" spans="2:16" x14ac:dyDescent="0.45">
      <c r="B92" s="3" t="s">
        <v>567</v>
      </c>
      <c r="C92" s="6">
        <f>View_Table[[#This Row],[Rank Previous]]-View_Table[[#This Row],[Rank]]</f>
        <v>-4</v>
      </c>
      <c r="D92" s="7">
        <f>_xlfn.RANK.EQ(View_Table[[#This Row],[Weighted Win%]], View_Table[Weighted Win%], 0)</f>
        <v>28</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6.25E-2</v>
      </c>
      <c r="G92" s="5">
        <f>IFERROR(
    GETPIVOTDATA(
        "Result",
        'Pivot Table'!$A$3,
        "Player",View_Table[[#This Row],[Player]],
        "Result","Win"
    ),
    0
)</f>
        <v>0</v>
      </c>
      <c r="H92" s="5">
        <f>IFERROR(
    GETPIVOTDATA(
        "Result",
        'Pivot Table'!$A$3,
        "Player",View_Table[[#This Row],[Player]],
        "Result","Loss"
    ),
    0
)</f>
        <v>3</v>
      </c>
      <c r="I92" s="5">
        <f>IFERROR(
    GETPIVOTDATA(
        "Result",
        'Pivot Table'!$A$3,
        "Player",View_Table[[#This Row],[Player]],
        "Result","Draw"
    ),
    0
)</f>
        <v>1</v>
      </c>
      <c r="J92" s="5">
        <f>View_Table[[#This Row],[Wins]]+View_Table[[#This Row],[Losses]]+View_Table[[#This Row],[Draws]]</f>
        <v>4</v>
      </c>
      <c r="K92" s="7">
        <f>IFERROR(
    GETPIVOTDATA(
        "Result",
        'Pivot Table Previous'!$A$3,
        "Player",View_Table[[#This Row],[Player]],
        "Result","Win"
    ),
    0
)</f>
        <v>0</v>
      </c>
      <c r="L92" s="5">
        <f>IFERROR(
    GETPIVOTDATA(
        "Result",
        'Pivot Table Previous'!$A$3,
        "Player",View_Table[[#This Row],[Player]],
        "Result","Loss"
    ),
    0
)</f>
        <v>3</v>
      </c>
      <c r="M92" s="5">
        <f>IFERROR(
    GETPIVOTDATA(
        "Result",
        'Pivot Table Previous'!$A$3,
        "Player",View_Table[[#This Row],[Player]],
        "Result","Draw"
    ),
    0
)</f>
        <v>1</v>
      </c>
      <c r="N92" s="5">
        <f>View_Table[[#This Row],[Wins Previous]]+View_Table[[#This Row],[Losses Previous]]+View_Table[[#This Row],[Draws Previous]]</f>
        <v>4</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24</v>
      </c>
    </row>
    <row r="93" spans="2:16" x14ac:dyDescent="0.45">
      <c r="B93" s="3" t="s">
        <v>17</v>
      </c>
      <c r="C93" s="6">
        <f>View_Table[[#This Row],[Rank Previous]]-View_Table[[#This Row],[Rank]]</f>
        <v>-5</v>
      </c>
      <c r="D93" s="7">
        <f>_xlfn.RANK.EQ(View_Table[[#This Row],[Weighted Win%]], View_Table[Weighted Win%], 0)</f>
        <v>29</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0.2</v>
      </c>
      <c r="G93" s="5">
        <f>IFERROR(
    GETPIVOTDATA(
        "Result",
        'Pivot Table'!$A$3,
        "Player",View_Table[[#This Row],[Player]],
        "Result","Win"
    ),
    0
)</f>
        <v>2</v>
      </c>
      <c r="H93" s="5">
        <f>IFERROR(
    GETPIVOTDATA(
        "Result",
        'Pivot Table'!$A$3,
        "Player",View_Table[[#This Row],[Player]],
        "Result","Loss"
    ),
    0
)</f>
        <v>10</v>
      </c>
      <c r="I93" s="5">
        <f>IFERROR(
    GETPIVOTDATA(
        "Result",
        'Pivot Table'!$A$3,
        "Player",View_Table[[#This Row],[Player]],
        "Result","Draw"
    ),
    0
)</f>
        <v>8</v>
      </c>
      <c r="J93" s="5">
        <f>View_Table[[#This Row],[Wins]]+View_Table[[#This Row],[Losses]]+View_Table[[#This Row],[Draws]]</f>
        <v>20</v>
      </c>
      <c r="K93" s="5">
        <f>IFERROR(
    GETPIVOTDATA(
        "Result",
        'Pivot Table Previous'!$A$3,
        "Player",View_Table[[#This Row],[Player]],
        "Result","Win"
    ),
    0
)</f>
        <v>2</v>
      </c>
      <c r="L93" s="5">
        <f>IFERROR(
    GETPIVOTDATA(
        "Result",
        'Pivot Table Previous'!$A$3,
        "Player",View_Table[[#This Row],[Player]],
        "Result","Loss"
    ),
    0
)</f>
        <v>9</v>
      </c>
      <c r="M93" s="5">
        <f>IFERROR(
    GETPIVOTDATA(
        "Result",
        'Pivot Table Previous'!$A$3,
        "Player",View_Table[[#This Row],[Player]],
        "Result","Draw"
    ),
    0
)</f>
        <v>7</v>
      </c>
      <c r="N93" s="5">
        <f>View_Table[[#This Row],[Wins Previous]]+View_Table[[#This Row],[Losses Previous]]+View_Table[[#This Row],[Draws Previous]]</f>
        <v>18</v>
      </c>
      <c r="O93" s="9">
        <f>_xlfn.LET(_xlpm.g,View_Table[[#This Row],[Games Previous]], _xlpm.w,(View_Table[[#This Row],[Wins Previous]] + View_Table[[#This Row],[Draws Previous]] * 0.25), _xlpm.fake, MAX(0,25-_xlpm.g), IF(_xlpm.g=0,0,(_xlpm.w + _xlpm.fake*0.25)/(_xlpm.g + _xlpm.fake)))</f>
        <v>0.22</v>
      </c>
      <c r="P93" s="7">
        <f>IF(View_Table[[#This Row],[Games Previous]]=0,
    View_Table[[#This Row],[Rank]],
    _xlfn.RANK.EQ(View_Table[[#This Row],[Weighted Win% Previous]], View_Table[Weighted Win% Previous], 0)
)</f>
        <v>24</v>
      </c>
    </row>
    <row r="94" spans="2:16" hidden="1" x14ac:dyDescent="0.45">
      <c r="B94" s="3" t="s">
        <v>606</v>
      </c>
      <c r="C94" s="6">
        <f>View_Table[[#This Row],[Rank Previous]]-View_Table[[#This Row],[Rank]]</f>
        <v>-2</v>
      </c>
      <c r="D94" s="7">
        <f>_xlfn.RANK.EQ(View_Table[[#This Row],[Weighted Win%]], View_Table[Weighted Win%], 0)</f>
        <v>39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37</v>
      </c>
    </row>
    <row r="95" spans="2:16" x14ac:dyDescent="0.45">
      <c r="B95" s="3" t="s">
        <v>325</v>
      </c>
      <c r="C95" s="6">
        <f>View_Table[[#This Row],[Rank Previous]]-View_Table[[#This Row],[Rank]]</f>
        <v>-2</v>
      </c>
      <c r="D95" s="7">
        <f>_xlfn.RANK.EQ(View_Table[[#This Row],[Weighted Win%]], View_Table[Weighted Win%], 0)</f>
        <v>30</v>
      </c>
      <c r="E95" s="9">
        <f>_xlfn.LET(_xlpm.g,View_Table[[#This Row],[Games]], _xlpm.w,(View_Table[[#This Row],[Wins]] + View_Table[[#This Row],[Draws]] * 0.25), _xlpm.fake, MAX(0,25-_xlpm.g), IF(_xlpm.g=0,0,(_xlpm.w + _xlpm.fake*0.25)/(_xlpm.g + _xlpm.fake)))</f>
        <v>0.2</v>
      </c>
      <c r="F95" s="8">
        <f>IF(View_Table[[#This Row],[Games]]=0,0,(View_Table[[#This Row],[Wins]] + (View_Table[[#This Row],[Draws]] * 0.25))/View_Table[[#This Row],[Games]])</f>
        <v>0.19318181818181818</v>
      </c>
      <c r="G95" s="5">
        <f>IFERROR(
    GETPIVOTDATA(
        "Result",
        'Pivot Table'!$A$3,
        "Player",View_Table[[#This Row],[Player]],
        "Result","Win"
    ),
    0
)</f>
        <v>3</v>
      </c>
      <c r="H95" s="5">
        <f>IFERROR(
    GETPIVOTDATA(
        "Result",
        'Pivot Table'!$A$3,
        "Player",View_Table[[#This Row],[Player]],
        "Result","Loss"
    ),
    0
)</f>
        <v>14</v>
      </c>
      <c r="I95" s="5">
        <f>IFERROR(
    GETPIVOTDATA(
        "Result",
        'Pivot Table'!$A$3,
        "Player",View_Table[[#This Row],[Player]],
        "Result","Draw"
    ),
    0
)</f>
        <v>5</v>
      </c>
      <c r="J95" s="5">
        <f>View_Table[[#This Row],[Wins]]+View_Table[[#This Row],[Losses]]+View_Table[[#This Row],[Draws]]</f>
        <v>22</v>
      </c>
      <c r="K95" s="7">
        <f>IFERROR(
    GETPIVOTDATA(
        "Result",
        'Pivot Table Previous'!$A$3,
        "Player",View_Table[[#This Row],[Player]],
        "Result","Win"
    ),
    0
)</f>
        <v>3</v>
      </c>
      <c r="L95" s="5">
        <f>IFERROR(
    GETPIVOTDATA(
        "Result",
        'Pivot Table Previous'!$A$3,
        "Player",View_Table[[#This Row],[Player]],
        "Result","Loss"
    ),
    0
)</f>
        <v>13</v>
      </c>
      <c r="M95" s="5">
        <f>IFERROR(
    GETPIVOTDATA(
        "Result",
        'Pivot Table Previous'!$A$3,
        "Player",View_Table[[#This Row],[Player]],
        "Result","Draw"
    ),
    0
)</f>
        <v>4</v>
      </c>
      <c r="N95" s="5">
        <f>View_Table[[#This Row],[Wins Previous]]+View_Table[[#This Row],[Losses Previous]]+View_Table[[#This Row],[Draws Previous]]</f>
        <v>20</v>
      </c>
      <c r="O95" s="9">
        <f>_xlfn.LET(_xlpm.g,View_Table[[#This Row],[Games Previous]], _xlpm.w,(View_Table[[#This Row],[Wins Previous]] + View_Table[[#This Row],[Draws Previous]] * 0.25), _xlpm.fake, MAX(0,25-_xlpm.g), IF(_xlpm.g=0,0,(_xlpm.w + _xlpm.fake*0.25)/(_xlpm.g + _xlpm.fake)))</f>
        <v>0.21</v>
      </c>
      <c r="P95" s="7">
        <f>_xlfn.RANK.EQ(View_Table[[#This Row],[Weighted Win% Previous]], View_Table[Weighted Win% Previous], 0)</f>
        <v>28</v>
      </c>
    </row>
    <row r="96" spans="2:16" x14ac:dyDescent="0.45">
      <c r="B96" s="3" t="s">
        <v>540</v>
      </c>
      <c r="C96" s="6">
        <f>View_Table[[#This Row],[Rank Previous]]-View_Table[[#This Row],[Rank]]</f>
        <v>-2</v>
      </c>
      <c r="D96" s="7">
        <f>_xlfn.RANK.EQ(View_Table[[#This Row],[Weighted Win%]], View_Table[Weighted Win%], 0)</f>
        <v>30</v>
      </c>
      <c r="E96" s="9">
        <f>_xlfn.LET(_xlpm.g,View_Table[[#This Row],[Games]], _xlpm.w,(View_Table[[#This Row],[Wins]] + View_Table[[#This Row],[Draws]] * 0.25), _xlpm.fake, MAX(0,25-_xlpm.g), IF(_xlpm.g=0,0,(_xlpm.w + _xlpm.fake*0.25)/(_xlpm.g + _xlpm.fake)))</f>
        <v>0.2</v>
      </c>
      <c r="F96" s="8">
        <f>IF(View_Table[[#This Row],[Games]]=0,0,(View_Table[[#This Row],[Wins]] + (View_Table[[#This Row],[Draws]] * 0.25))/View_Table[[#This Row],[Games]])</f>
        <v>9.375E-2</v>
      </c>
      <c r="G96" s="5">
        <f>IFERROR(
    GETPIVOTDATA(
        "Result",
        'Pivot Table'!$A$3,
        "Player",View_Table[[#This Row],[Player]],
        "Result","Win"
    ),
    0
)</f>
        <v>0</v>
      </c>
      <c r="H96" s="5">
        <f>IFERROR(
    GETPIVOTDATA(
        "Result",
        'Pivot Table'!$A$3,
        "Player",View_Table[[#This Row],[Player]],
        "Result","Loss"
    ),
    0
)</f>
        <v>5</v>
      </c>
      <c r="I96" s="5">
        <f>IFERROR(
    GETPIVOTDATA(
        "Result",
        'Pivot Table'!$A$3,
        "Player",View_Table[[#This Row],[Player]],
        "Result","Draw"
    ),
    0
)</f>
        <v>3</v>
      </c>
      <c r="J96" s="5">
        <f>View_Table[[#This Row],[Wins]]+View_Table[[#This Row],[Losses]]+View_Table[[#This Row],[Draws]]</f>
        <v>8</v>
      </c>
      <c r="K96" s="7">
        <f>IFERROR(
    GETPIVOTDATA(
        "Result",
        'Pivot Table Previous'!$A$3,
        "Player",View_Table[[#This Row],[Player]],
        "Result","Win"
    ),
    0
)</f>
        <v>0</v>
      </c>
      <c r="L96" s="5">
        <f>IFERROR(
    GETPIVOTDATA(
        "Result",
        'Pivot Table Previous'!$A$3,
        "Player",View_Table[[#This Row],[Player]],
        "Result","Loss"
    ),
    0
)</f>
        <v>4</v>
      </c>
      <c r="M96" s="5">
        <f>IFERROR(
    GETPIVOTDATA(
        "Result",
        'Pivot Table Previous'!$A$3,
        "Player",View_Table[[#This Row],[Player]],
        "Result","Draw"
    ),
    0
)</f>
        <v>2</v>
      </c>
      <c r="N96" s="5">
        <f>View_Table[[#This Row],[Wins Previous]]+View_Table[[#This Row],[Losses Previous]]+View_Table[[#This Row],[Draws Previous]]</f>
        <v>6</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28</v>
      </c>
    </row>
    <row r="97" spans="2:16" x14ac:dyDescent="0.45">
      <c r="B97" s="3" t="s">
        <v>41</v>
      </c>
      <c r="C97" s="6">
        <f>View_Table[[#This Row],[Rank Previous]]-View_Table[[#This Row],[Rank]]</f>
        <v>1</v>
      </c>
      <c r="D97" s="7">
        <f>_xlfn.RANK.EQ(View_Table[[#This Row],[Weighted Win%]], View_Table[Weighted Win%], 0)</f>
        <v>30</v>
      </c>
      <c r="E97" s="9">
        <f>_xlfn.LET(_xlpm.g,View_Table[[#This Row],[Games]], _xlpm.w,(View_Table[[#This Row],[Wins]] + View_Table[[#This Row],[Draws]] * 0.25), _xlpm.fake, MAX(0,25-_xlpm.g), IF(_xlpm.g=0,0,(_xlpm.w + _xlpm.fake*0.25)/(_xlpm.g + _xlpm.fake)))</f>
        <v>0.2</v>
      </c>
      <c r="F97" s="8">
        <f>IF(View_Table[[#This Row],[Games]]=0,0,(View_Table[[#This Row],[Wins]] + (View_Table[[#This Row],[Draws]] * 0.25))/View_Table[[#This Row],[Games]])</f>
        <v>0.16071428571428573</v>
      </c>
      <c r="G97" s="5">
        <f>IFERROR(
    GETPIVOTDATA(
        "Result",
        'Pivot Table'!$A$3,
        "Player",View_Table[[#This Row],[Player]],
        "Result","Win"
    ),
    0
)</f>
        <v>2</v>
      </c>
      <c r="H97" s="5">
        <f>IFERROR(
    GETPIVOTDATA(
        "Result",
        'Pivot Table'!$A$3,
        "Player",View_Table[[#This Row],[Player]],
        "Result","Loss"
    ),
    0
)</f>
        <v>11</v>
      </c>
      <c r="I97" s="5">
        <f>IFERROR(
    GETPIVOTDATA(
        "Result",
        'Pivot Table'!$A$3,
        "Player",View_Table[[#This Row],[Player]],
        "Result","Draw"
    ),
    0
)</f>
        <v>1</v>
      </c>
      <c r="J97" s="5">
        <f>View_Table[[#This Row],[Wins]]+View_Table[[#This Row],[Losses]]+View_Table[[#This Row],[Draws]]</f>
        <v>14</v>
      </c>
      <c r="K97" s="5">
        <f>IFERROR(
    GETPIVOTDATA(
        "Result",
        'Pivot Table Previous'!$A$3,
        "Player",View_Table[[#This Row],[Player]],
        "Result","Win"
    ),
    0
)</f>
        <v>2</v>
      </c>
      <c r="L97" s="5">
        <f>IFERROR(
    GETPIVOTDATA(
        "Result",
        'Pivot Table Previous'!$A$3,
        "Player",View_Table[[#This Row],[Player]],
        "Result","Loss"
    ),
    0
)</f>
        <v>11</v>
      </c>
      <c r="M97" s="5">
        <f>IFERROR(
    GETPIVOTDATA(
        "Result",
        'Pivot Table Previous'!$A$3,
        "Player",View_Table[[#This Row],[Player]],
        "Result","Draw"
    ),
    0
)</f>
        <v>1</v>
      </c>
      <c r="N97" s="5">
        <f>View_Table[[#This Row],[Wins Previous]]+View_Table[[#This Row],[Losses Previous]]+View_Table[[#This Row],[Draws Previous]]</f>
        <v>14</v>
      </c>
      <c r="O97" s="9">
        <f>_xlfn.LET(_xlpm.g,View_Table[[#This Row],[Games Previous]], _xlpm.w,(View_Table[[#This Row],[Wins Previous]] + View_Table[[#This Row],[Draws Previous]] * 0.25), _xlpm.fake, MAX(0,25-_xlpm.g), IF(_xlpm.g=0,0,(_xlpm.w + _xlpm.fake*0.25)/(_xlpm.g + _xlpm.fake)))</f>
        <v>0.2</v>
      </c>
      <c r="P97" s="7">
        <f>IF(View_Table[[#This Row],[Games Previous]]=0,
    View_Table[[#This Row],[Rank]],
    _xlfn.RANK.EQ(View_Table[[#This Row],[Weighted Win% Previous]], View_Table[Weighted Win% Previous], 0)
)</f>
        <v>31</v>
      </c>
    </row>
    <row r="98" spans="2:16" x14ac:dyDescent="0.45">
      <c r="B98" s="3" t="s">
        <v>519</v>
      </c>
      <c r="C98" s="6">
        <f>View_Table[[#This Row],[Rank Previous]]-View_Table[[#This Row],[Rank]]</f>
        <v>-5</v>
      </c>
      <c r="D98" s="7">
        <f>_xlfn.RANK.EQ(View_Table[[#This Row],[Weighted Win%]], View_Table[Weighted Win%], 0)</f>
        <v>33</v>
      </c>
      <c r="E98" s="9">
        <f>_xlfn.LET(_xlpm.g,View_Table[[#This Row],[Games]], _xlpm.w,(View_Table[[#This Row],[Wins]] + View_Table[[#This Row],[Draws]] * 0.25), _xlpm.fake, MAX(0,25-_xlpm.g), IF(_xlpm.g=0,0,(_xlpm.w + _xlpm.fake*0.25)/(_xlpm.g + _xlpm.fake)))</f>
        <v>0.19</v>
      </c>
      <c r="F98" s="8">
        <f>IF(View_Table[[#This Row],[Games]]=0,0,(View_Table[[#This Row],[Wins]] + (View_Table[[#This Row],[Draws]] * 0.25))/View_Table[[#This Row],[Games]])</f>
        <v>0.125</v>
      </c>
      <c r="G98" s="5">
        <f>IFERROR(
    GETPIVOTDATA(
        "Result",
        'Pivot Table'!$A$3,
        "Player",View_Table[[#This Row],[Player]],
        "Result","Win"
    ),
    0
)</f>
        <v>1</v>
      </c>
      <c r="H98" s="5">
        <f>IFERROR(
    GETPIVOTDATA(
        "Result",
        'Pivot Table'!$A$3,
        "Player",View_Table[[#This Row],[Player]],
        "Result","Loss"
    ),
    0
)</f>
        <v>9</v>
      </c>
      <c r="I98" s="5">
        <f>IFERROR(
    GETPIVOTDATA(
        "Result",
        'Pivot Table'!$A$3,
        "Player",View_Table[[#This Row],[Player]],
        "Result","Draw"
    ),
    0
)</f>
        <v>2</v>
      </c>
      <c r="J98" s="5">
        <f>View_Table[[#This Row],[Wins]]+View_Table[[#This Row],[Losses]]+View_Table[[#This Row],[Draws]]</f>
        <v>12</v>
      </c>
      <c r="K98" s="7">
        <f>IFERROR(
    GETPIVOTDATA(
        "Result",
        'Pivot Table Previous'!$A$3,
        "Player",View_Table[[#This Row],[Player]],
        "Result","Win"
    ),
    0
)</f>
        <v>1</v>
      </c>
      <c r="L98" s="5">
        <f>IFERROR(
    GETPIVOTDATA(
        "Result",
        'Pivot Table Previous'!$A$3,
        "Player",View_Table[[#This Row],[Player]],
        "Result","Loss"
    ),
    0
)</f>
        <v>7</v>
      </c>
      <c r="M98" s="5">
        <f>IFERROR(
    GETPIVOTDATA(
        "Result",
        'Pivot Table Previous'!$A$3,
        "Player",View_Table[[#This Row],[Player]],
        "Result","Draw"
    ),
    0
)</f>
        <v>2</v>
      </c>
      <c r="N98" s="5">
        <f>View_Table[[#This Row],[Wins Previous]]+View_Table[[#This Row],[Losses Previous]]+View_Table[[#This Row],[Draws Previous]]</f>
        <v>10</v>
      </c>
      <c r="O98" s="9">
        <f>_xlfn.LET(_xlpm.g,View_Table[[#This Row],[Games Previous]], _xlpm.w,(View_Table[[#This Row],[Wins Previous]] + View_Table[[#This Row],[Draws Previous]] * 0.25), _xlpm.fake, MAX(0,25-_xlpm.g), IF(_xlpm.g=0,0,(_xlpm.w + _xlpm.fake*0.25)/(_xlpm.g + _xlpm.fake)))</f>
        <v>0.21</v>
      </c>
      <c r="P98" s="7">
        <f>_xlfn.RANK.EQ(View_Table[[#This Row],[Weighted Win% Previous]], View_Table[Weighted Win% Previous], 0)</f>
        <v>28</v>
      </c>
    </row>
    <row r="99" spans="2:16" x14ac:dyDescent="0.45">
      <c r="B99" s="3" t="s">
        <v>13</v>
      </c>
      <c r="C99" s="6">
        <f>View_Table[[#This Row],[Rank Previous]]-View_Table[[#This Row],[Rank]]</f>
        <v>-3</v>
      </c>
      <c r="D99" s="7">
        <f>_xlfn.RANK.EQ(View_Table[[#This Row],[Weighted Win%]], View_Table[Weighted Win%], 0)</f>
        <v>34</v>
      </c>
      <c r="E99" s="9">
        <f>_xlfn.LET(_xlpm.g,View_Table[[#This Row],[Games]], _xlpm.w,(View_Table[[#This Row],[Wins]] + View_Table[[#This Row],[Draws]] * 0.25), _xlpm.fake, MAX(0,25-_xlpm.g), IF(_xlpm.g=0,0,(_xlpm.w + _xlpm.fake*0.25)/(_xlpm.g + _xlpm.fake)))</f>
        <v>0.18</v>
      </c>
      <c r="F99" s="8">
        <f>IF(View_Table[[#This Row],[Games]]=0,0,(View_Table[[#This Row],[Wins]] + (View_Table[[#This Row],[Draws]] * 0.25))/View_Table[[#This Row],[Games]])</f>
        <v>0.17708333333333334</v>
      </c>
      <c r="G99" s="5">
        <f>IFERROR(
    GETPIVOTDATA(
        "Result",
        'Pivot Table'!$A$3,
        "Player",View_Table[[#This Row],[Player]],
        "Result","Win"
    ),
    0
)</f>
        <v>2</v>
      </c>
      <c r="H99" s="5">
        <f>IFERROR(
    GETPIVOTDATA(
        "Result",
        'Pivot Table'!$A$3,
        "Player",View_Table[[#This Row],[Player]],
        "Result","Loss"
    ),
    0
)</f>
        <v>13</v>
      </c>
      <c r="I99" s="5">
        <f>IFERROR(
    GETPIVOTDATA(
        "Result",
        'Pivot Table'!$A$3,
        "Player",View_Table[[#This Row],[Player]],
        "Result","Draw"
    ),
    0
)</f>
        <v>9</v>
      </c>
      <c r="J99" s="5">
        <f>View_Table[[#This Row],[Wins]]+View_Table[[#This Row],[Losses]]+View_Table[[#This Row],[Draws]]</f>
        <v>24</v>
      </c>
      <c r="K99" s="5">
        <f>IFERROR(
    GETPIVOTDATA(
        "Result",
        'Pivot Table Previous'!$A$3,
        "Player",View_Table[[#This Row],[Player]],
        "Result","Win"
    ),
    0
)</f>
        <v>2</v>
      </c>
      <c r="L99" s="5">
        <f>IFERROR(
    GETPIVOTDATA(
        "Result",
        'Pivot Table Previous'!$A$3,
        "Player",View_Table[[#This Row],[Player]],
        "Result","Loss"
    ),
    0
)</f>
        <v>11</v>
      </c>
      <c r="M99" s="5">
        <f>IFERROR(
    GETPIVOTDATA(
        "Result",
        'Pivot Table Previous'!$A$3,
        "Player",View_Table[[#This Row],[Player]],
        "Result","Draw"
    ),
    0
)</f>
        <v>9</v>
      </c>
      <c r="N99" s="5">
        <f>View_Table[[#This Row],[Wins Previous]]+View_Table[[#This Row],[Losses Previous]]+View_Table[[#This Row],[Draws Previous]]</f>
        <v>22</v>
      </c>
      <c r="O99" s="9">
        <f>_xlfn.LET(_xlpm.g,View_Table[[#This Row],[Games Previous]], _xlpm.w,(View_Table[[#This Row],[Wins Previous]] + View_Table[[#This Row],[Draws Previous]] * 0.25), _xlpm.fake, MAX(0,25-_xlpm.g), IF(_xlpm.g=0,0,(_xlpm.w + _xlpm.fake*0.25)/(_xlpm.g + _xlpm.fake)))</f>
        <v>0.2</v>
      </c>
      <c r="P99" s="7">
        <f>IF(View_Table[[#This Row],[Games Previous]]=0,
    View_Table[[#This Row],[Rank]],
    _xlfn.RANK.EQ(View_Table[[#This Row],[Weighted Win% Previous]], View_Table[Weighted Win% Previous], 0)
)</f>
        <v>31</v>
      </c>
    </row>
    <row r="100" spans="2:16" hidden="1" x14ac:dyDescent="0.45">
      <c r="B100" s="3" t="s">
        <v>436</v>
      </c>
      <c r="C100" s="6">
        <f>View_Table[[#This Row],[Rank Previous]]-View_Table[[#This Row],[Rank]]</f>
        <v>-2</v>
      </c>
      <c r="D100" s="7">
        <f>_xlfn.RANK.EQ(View_Table[[#This Row],[Weighted Win%]], View_Table[Weighted Win%], 0)</f>
        <v>39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37</v>
      </c>
    </row>
    <row r="101" spans="2:16" hidden="1" x14ac:dyDescent="0.45">
      <c r="B101" s="3" t="s">
        <v>363</v>
      </c>
      <c r="C101" s="6">
        <f>View_Table[[#This Row],[Rank Previous]]-View_Table[[#This Row],[Rank]]</f>
        <v>-2</v>
      </c>
      <c r="D101" s="7">
        <f>_xlfn.RANK.EQ(View_Table[[#This Row],[Weighted Win%]], View_Table[Weighted Win%], 0)</f>
        <v>39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37</v>
      </c>
    </row>
    <row r="102" spans="2:16" hidden="1" x14ac:dyDescent="0.45">
      <c r="B102" s="3" t="s">
        <v>52</v>
      </c>
      <c r="C102" s="6">
        <f>View_Table[[#This Row],[Rank Previous]]-View_Table[[#This Row],[Rank]]</f>
        <v>-2</v>
      </c>
      <c r="D102" s="7">
        <f>_xlfn.RANK.EQ(View_Table[[#This Row],[Weighted Win%]], View_Table[Weighted Win%], 0)</f>
        <v>39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37</v>
      </c>
    </row>
    <row r="103" spans="2:16" x14ac:dyDescent="0.45">
      <c r="B103" s="3" t="s">
        <v>433</v>
      </c>
      <c r="C103" s="6">
        <f>View_Table[[#This Row],[Rank Previous]]-View_Table[[#This Row],[Rank]]</f>
        <v>0</v>
      </c>
      <c r="D103" s="7">
        <f>_xlfn.RANK.EQ(View_Table[[#This Row],[Weighted Win%]], View_Table[Weighted Win%], 0)</f>
        <v>34</v>
      </c>
      <c r="E103" s="9">
        <f>_xlfn.LET(_xlpm.g,View_Table[[#This Row],[Games]], _xlpm.w,(View_Table[[#This Row],[Wins]] + View_Table[[#This Row],[Draws]] * 0.25), _xlpm.fake, MAX(0,25-_xlpm.g), IF(_xlpm.g=0,0,(_xlpm.w + _xlpm.fake*0.25)/(_xlpm.g + _xlpm.fake)))</f>
        <v>0.18</v>
      </c>
      <c r="F103" s="8">
        <f>IF(View_Table[[#This Row],[Games]]=0,0,(View_Table[[#This Row],[Wins]] + (View_Table[[#This Row],[Draws]] * 0.25))/View_Table[[#This Row],[Games]])</f>
        <v>7.4999999999999997E-2</v>
      </c>
      <c r="G103" s="5">
        <f>IFERROR(
    GETPIVOTDATA(
        "Result",
        'Pivot Table'!$A$3,
        "Player",View_Table[[#This Row],[Player]],
        "Result","Win"
    ),
    0
)</f>
        <v>0</v>
      </c>
      <c r="H103" s="5">
        <f>IFERROR(
    GETPIVOTDATA(
        "Result",
        'Pivot Table'!$A$3,
        "Player",View_Table[[#This Row],[Player]],
        "Result","Loss"
    ),
    0
)</f>
        <v>7</v>
      </c>
      <c r="I103" s="5">
        <f>IFERROR(
    GETPIVOTDATA(
        "Result",
        'Pivot Table'!$A$3,
        "Player",View_Table[[#This Row],[Player]],
        "Result","Draw"
    ),
    0
)</f>
        <v>3</v>
      </c>
      <c r="J103" s="5">
        <f>View_Table[[#This Row],[Wins]]+View_Table[[#This Row],[Losses]]+View_Table[[#This Row],[Draws]]</f>
        <v>10</v>
      </c>
      <c r="K103" s="7">
        <f>IFERROR(
    GETPIVOTDATA(
        "Result",
        'Pivot Table Previous'!$A$3,
        "Player",View_Table[[#This Row],[Player]],
        "Result","Win"
    ),
    0
)</f>
        <v>0</v>
      </c>
      <c r="L103" s="5">
        <f>IFERROR(
    GETPIVOTDATA(
        "Result",
        'Pivot Table Previous'!$A$3,
        "Player",View_Table[[#This Row],[Player]],
        "Result","Loss"
    ),
    0
)</f>
        <v>7</v>
      </c>
      <c r="M103" s="5">
        <f>IFERROR(
    GETPIVOTDATA(
        "Result",
        'Pivot Table Previous'!$A$3,
        "Player",View_Table[[#This Row],[Player]],
        "Result","Draw"
    ),
    0
)</f>
        <v>3</v>
      </c>
      <c r="N103" s="5">
        <f>View_Table[[#This Row],[Wins Previous]]+View_Table[[#This Row],[Losses Previous]]+View_Table[[#This Row],[Draws Previous]]</f>
        <v>10</v>
      </c>
      <c r="O103" s="9">
        <f>_xlfn.LET(_xlpm.g,View_Table[[#This Row],[Games Previous]], _xlpm.w,(View_Table[[#This Row],[Wins Previous]] + View_Table[[#This Row],[Draws Previous]] * 0.25), _xlpm.fake, MAX(0,25-_xlpm.g), IF(_xlpm.g=0,0,(_xlpm.w + _xlpm.fake*0.25)/(_xlpm.g + _xlpm.fake)))</f>
        <v>0.18</v>
      </c>
      <c r="P103" s="7">
        <f>_xlfn.RANK.EQ(View_Table[[#This Row],[Weighted Win% Previous]], View_Table[Weighted Win% Previous], 0)</f>
        <v>34</v>
      </c>
    </row>
    <row r="104" spans="2:16" hidden="1" x14ac:dyDescent="0.45">
      <c r="B104" s="3" t="s">
        <v>465</v>
      </c>
      <c r="C104" s="6">
        <f>View_Table[[#This Row],[Rank Previous]]-View_Table[[#This Row],[Rank]]</f>
        <v>-2</v>
      </c>
      <c r="D104" s="7">
        <f>_xlfn.RANK.EQ(View_Table[[#This Row],[Weighted Win%]], View_Table[Weighted Win%], 0)</f>
        <v>39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37</v>
      </c>
    </row>
    <row r="105" spans="2:16" x14ac:dyDescent="0.45">
      <c r="B105" s="3" t="s">
        <v>609</v>
      </c>
      <c r="C105" s="6">
        <f>View_Table[[#This Row],[Rank Previous]]-View_Table[[#This Row],[Rank]]</f>
        <v>-3</v>
      </c>
      <c r="D105" s="7">
        <f>_xlfn.RANK.EQ(View_Table[[#This Row],[Weighted Win%]], View_Table[Weighted Win%], 0)</f>
        <v>36</v>
      </c>
      <c r="E105" s="9">
        <f>_xlfn.LET(_xlpm.g,View_Table[[#This Row],[Games]], _xlpm.w,(View_Table[[#This Row],[Wins]] + View_Table[[#This Row],[Draws]] * 0.25), _xlpm.fake, MAX(0,25-_xlpm.g), IF(_xlpm.g=0,0,(_xlpm.w + _xlpm.fake*0.25)/(_xlpm.g + _xlpm.fake)))</f>
        <v>0.17</v>
      </c>
      <c r="F105" s="8">
        <f>IF(View_Table[[#This Row],[Games]]=0,0,(View_Table[[#This Row],[Wins]] + (View_Table[[#This Row],[Draws]] * 0.25))/View_Table[[#This Row],[Games]])</f>
        <v>0.125</v>
      </c>
      <c r="G105" s="5">
        <f>IFERROR(
    GETPIVOTDATA(
        "Result",
        'Pivot Table'!$A$3,
        "Player",View_Table[[#This Row],[Player]],
        "Result","Win"
    ),
    0
)</f>
        <v>1</v>
      </c>
      <c r="H105" s="5">
        <f>IFERROR(
    GETPIVOTDATA(
        "Result",
        'Pivot Table'!$A$3,
        "Player",View_Table[[#This Row],[Player]],
        "Result","Loss"
    ),
    0
)</f>
        <v>11</v>
      </c>
      <c r="I105" s="5">
        <f>IFERROR(
    GETPIVOTDATA(
        "Result",
        'Pivot Table'!$A$3,
        "Player",View_Table[[#This Row],[Player]],
        "Result","Draw"
    ),
    0
)</f>
        <v>4</v>
      </c>
      <c r="J105" s="5">
        <f>View_Table[[#This Row],[Wins]]+View_Table[[#This Row],[Losses]]+View_Table[[#This Row],[Draws]]</f>
        <v>16</v>
      </c>
      <c r="K105" s="7">
        <f>IFERROR(
    GETPIVOTDATA(
        "Result",
        'Pivot Table Previous'!$A$3,
        "Player",View_Table[[#This Row],[Player]],
        "Result","Win"
    ),
    0
)</f>
        <v>1</v>
      </c>
      <c r="L105" s="5">
        <f>IFERROR(
    GETPIVOTDATA(
        "Result",
        'Pivot Table Previous'!$A$3,
        "Player",View_Table[[#This Row],[Player]],
        "Result","Loss"
    ),
    0
)</f>
        <v>9</v>
      </c>
      <c r="M105" s="5">
        <f>IFERROR(
    GETPIVOTDATA(
        "Result",
        'Pivot Table Previous'!$A$3,
        "Player",View_Table[[#This Row],[Player]],
        "Result","Draw"
    ),
    0
)</f>
        <v>4</v>
      </c>
      <c r="N105" s="5">
        <f>View_Table[[#This Row],[Wins Previous]]+View_Table[[#This Row],[Losses Previous]]+View_Table[[#This Row],[Draws Previous]]</f>
        <v>14</v>
      </c>
      <c r="O105" s="9">
        <f>_xlfn.LET(_xlpm.g,View_Table[[#This Row],[Games Previous]], _xlpm.w,(View_Table[[#This Row],[Wins Previous]] + View_Table[[#This Row],[Draws Previous]] * 0.25), _xlpm.fake, MAX(0,25-_xlpm.g), IF(_xlpm.g=0,0,(_xlpm.w + _xlpm.fake*0.25)/(_xlpm.g + _xlpm.fake)))</f>
        <v>0.19</v>
      </c>
      <c r="P105" s="7">
        <f>_xlfn.RANK.EQ(View_Table[[#This Row],[Weighted Win% Previous]], View_Table[Weighted Win% Previous], 0)</f>
        <v>33</v>
      </c>
    </row>
    <row r="106" spans="2:16" x14ac:dyDescent="0.45">
      <c r="B106" s="3" t="s">
        <v>51</v>
      </c>
      <c r="C106" s="6">
        <f>View_Table[[#This Row],[Rank Previous]]-View_Table[[#This Row],[Rank]]</f>
        <v>-1</v>
      </c>
      <c r="D106" s="7">
        <f>_xlfn.RANK.EQ(View_Table[[#This Row],[Weighted Win%]], View_Table[Weighted Win%], 0)</f>
        <v>36</v>
      </c>
      <c r="E106" s="9">
        <f>_xlfn.LET(_xlpm.g,View_Table[[#This Row],[Games]], _xlpm.w,(View_Table[[#This Row],[Wins]] + View_Table[[#This Row],[Draws]] * 0.25), _xlpm.fake, MAX(0,25-_xlpm.g), IF(_xlpm.g=0,0,(_xlpm.w + _xlpm.fake*0.25)/(_xlpm.g + _xlpm.fake)))</f>
        <v>0.17</v>
      </c>
      <c r="F106" s="8">
        <f>IF(View_Table[[#This Row],[Games]]=0,0,(View_Table[[#This Row],[Wins]] + (View_Table[[#This Row],[Draws]] * 0.25))/View_Table[[#This Row],[Games]])</f>
        <v>0.10714285714285714</v>
      </c>
      <c r="G106" s="5">
        <f>IFERROR(
    GETPIVOTDATA(
        "Result",
        'Pivot Table'!$A$3,
        "Player",View_Table[[#This Row],[Player]],
        "Result","Win"
    ),
    0
)</f>
        <v>0</v>
      </c>
      <c r="H106" s="5">
        <f>IFERROR(
    GETPIVOTDATA(
        "Result",
        'Pivot Table'!$A$3,
        "Player",View_Table[[#This Row],[Player]],
        "Result","Loss"
    ),
    0
)</f>
        <v>8</v>
      </c>
      <c r="I106" s="5">
        <f>IFERROR(
    GETPIVOTDATA(
        "Result",
        'Pivot Table'!$A$3,
        "Player",View_Table[[#This Row],[Player]],
        "Result","Draw"
    ),
    0
)</f>
        <v>6</v>
      </c>
      <c r="J106" s="5">
        <f>View_Table[[#This Row],[Wins]]+View_Table[[#This Row],[Losses]]+View_Table[[#This Row],[Draws]]</f>
        <v>14</v>
      </c>
      <c r="K106" s="7">
        <f>IFERROR(
    GETPIVOTDATA(
        "Result",
        'Pivot Table Previous'!$A$3,
        "Player",View_Table[[#This Row],[Player]],
        "Result","Win"
    ),
    0
)</f>
        <v>0</v>
      </c>
      <c r="L106" s="5">
        <f>IFERROR(
    GETPIVOTDATA(
        "Result",
        'Pivot Table Previous'!$A$3,
        "Player",View_Table[[#This Row],[Player]],
        "Result","Loss"
    ),
    0
)</f>
        <v>8</v>
      </c>
      <c r="M106" s="5">
        <f>IFERROR(
    GETPIVOTDATA(
        "Result",
        'Pivot Table Previous'!$A$3,
        "Player",View_Table[[#This Row],[Player]],
        "Result","Draw"
    ),
    0
)</f>
        <v>6</v>
      </c>
      <c r="N106" s="5">
        <f>View_Table[[#This Row],[Wins Previous]]+View_Table[[#This Row],[Losses Previous]]+View_Table[[#This Row],[Draws Previous]]</f>
        <v>14</v>
      </c>
      <c r="O106" s="9">
        <f>_xlfn.LET(_xlpm.g,View_Table[[#This Row],[Games Previous]], _xlpm.w,(View_Table[[#This Row],[Wins Previous]] + View_Table[[#This Row],[Draws Previous]] * 0.25), _xlpm.fake, MAX(0,25-_xlpm.g), IF(_xlpm.g=0,0,(_xlpm.w + _xlpm.fake*0.25)/(_xlpm.g + _xlpm.fake)))</f>
        <v>0.17</v>
      </c>
      <c r="P106" s="7">
        <f>_xlfn.RANK.EQ(View_Table[[#This Row],[Weighted Win% Previous]], View_Table[Weighted Win% Previous], 0)</f>
        <v>35</v>
      </c>
    </row>
    <row r="107" spans="2:16" x14ac:dyDescent="0.45">
      <c r="B107" s="3" t="s">
        <v>10</v>
      </c>
      <c r="C107" s="6">
        <f>View_Table[[#This Row],[Rank Previous]]-View_Table[[#This Row],[Rank]]</f>
        <v>-2</v>
      </c>
      <c r="D107" s="7">
        <f>_xlfn.RANK.EQ(View_Table[[#This Row],[Weighted Win%]], View_Table[Weighted Win%], 0)</f>
        <v>38</v>
      </c>
      <c r="E107" s="9">
        <f>_xlfn.LET(_xlpm.g,View_Table[[#This Row],[Games]], _xlpm.w,(View_Table[[#This Row],[Wins]] + View_Table[[#This Row],[Draws]] * 0.25), _xlpm.fake, MAX(0,25-_xlpm.g), IF(_xlpm.g=0,0,(_xlpm.w + _xlpm.fake*0.25)/(_xlpm.g + _xlpm.fake)))</f>
        <v>0.14000000000000001</v>
      </c>
      <c r="F107" s="8">
        <f>IF(View_Table[[#This Row],[Games]]=0,0,(View_Table[[#This Row],[Wins]] + (View_Table[[#This Row],[Draws]] * 0.25))/View_Table[[#This Row],[Games]])</f>
        <v>9.7222222222222224E-2</v>
      </c>
      <c r="G107" s="5">
        <f>IFERROR(
    GETPIVOTDATA(
        "Result",
        'Pivot Table'!$A$3,
        "Player",View_Table[[#This Row],[Player]],
        "Result","Win"
    ),
    0
)</f>
        <v>0</v>
      </c>
      <c r="H107" s="5">
        <f>IFERROR(
    GETPIVOTDATA(
        "Result",
        'Pivot Table'!$A$3,
        "Player",View_Table[[#This Row],[Player]],
        "Result","Loss"
    ),
    0
)</f>
        <v>11</v>
      </c>
      <c r="I107" s="5">
        <f>IFERROR(
    GETPIVOTDATA(
        "Result",
        'Pivot Table'!$A$3,
        "Player",View_Table[[#This Row],[Player]],
        "Result","Draw"
    ),
    0
)</f>
        <v>7</v>
      </c>
      <c r="J107" s="5">
        <f>View_Table[[#This Row],[Wins]]+View_Table[[#This Row],[Losses]]+View_Table[[#This Row],[Draws]]</f>
        <v>18</v>
      </c>
      <c r="K107" s="7">
        <f>IFERROR(
    GETPIVOTDATA(
        "Result",
        'Pivot Table Previous'!$A$3,
        "Player",View_Table[[#This Row],[Player]],
        "Result","Win"
    ),
    0
)</f>
        <v>0</v>
      </c>
      <c r="L107" s="5">
        <f>IFERROR(
    GETPIVOTDATA(
        "Result",
        'Pivot Table Previous'!$A$3,
        "Player",View_Table[[#This Row],[Player]],
        "Result","Loss"
    ),
    0
)</f>
        <v>9</v>
      </c>
      <c r="M107" s="5">
        <f>IFERROR(
    GETPIVOTDATA(
        "Result",
        'Pivot Table Previous'!$A$3,
        "Player",View_Table[[#This Row],[Player]],
        "Result","Draw"
    ),
    0
)</f>
        <v>7</v>
      </c>
      <c r="N107" s="5">
        <f>View_Table[[#This Row],[Wins Previous]]+View_Table[[#This Row],[Losses Previous]]+View_Table[[#This Row],[Draws Previous]]</f>
        <v>16</v>
      </c>
      <c r="O107" s="9">
        <f>_xlfn.LET(_xlpm.g,View_Table[[#This Row],[Games Previous]], _xlpm.w,(View_Table[[#This Row],[Wins Previous]] + View_Table[[#This Row],[Draws Previous]] * 0.25), _xlpm.fake, MAX(0,25-_xlpm.g), IF(_xlpm.g=0,0,(_xlpm.w + _xlpm.fake*0.25)/(_xlpm.g + _xlpm.fake)))</f>
        <v>0.16</v>
      </c>
      <c r="P107" s="7">
        <f>_xlfn.RANK.EQ(View_Table[[#This Row],[Weighted Win% Previous]], View_Table[Weighted Win% Previous], 0)</f>
        <v>36</v>
      </c>
    </row>
  </sheetData>
  <phoneticPr fontId="4" type="noConversion"/>
  <conditionalFormatting sqref="J5:J107">
    <cfRule type="colorScale" priority="1921">
      <colorScale>
        <cfvo type="min"/>
        <cfvo type="percentile" val="50"/>
        <cfvo type="num" val="25"/>
        <color rgb="FFF8696B"/>
        <color rgb="FFFFEB84"/>
        <color rgb="FF63BE7B"/>
      </colorScale>
    </cfRule>
  </conditionalFormatting>
  <conditionalFormatting sqref="D5:D107">
    <cfRule type="top10" dxfId="11" priority="1922" bottom="1" rank="5"/>
    <cfRule type="cellIs" dxfId="10" priority="1923" operator="between">
      <formula>1</formula>
      <formula>16</formula>
    </cfRule>
    <cfRule type="top10" dxfId="9" priority="1924" bottom="1" rank="1"/>
  </conditionalFormatting>
  <conditionalFormatting sqref="G5:G107">
    <cfRule type="colorScale" priority="1925">
      <colorScale>
        <cfvo type="min"/>
        <cfvo type="percentile" val="70"/>
        <cfvo type="max"/>
        <color rgb="FFFF6600"/>
        <color theme="9" tint="0.59999389629810485"/>
        <color theme="9" tint="0.39997558519241921"/>
      </colorScale>
    </cfRule>
  </conditionalFormatting>
  <conditionalFormatting sqref="H5:H107">
    <cfRule type="colorScale" priority="1926">
      <colorScale>
        <cfvo type="min"/>
        <cfvo type="percentile" val="90"/>
        <cfvo type="max"/>
        <color theme="9" tint="0.59999389629810485"/>
        <color theme="9" tint="0.79998168889431442"/>
        <color rgb="FFFF6600"/>
      </colorScale>
    </cfRule>
  </conditionalFormatting>
  <conditionalFormatting sqref="F5:F107">
    <cfRule type="colorScale" priority="1927">
      <colorScale>
        <cfvo type="min"/>
        <cfvo type="num" val="0.25"/>
        <cfvo type="max"/>
        <color rgb="FFF8696B"/>
        <color theme="9" tint="0.59999389629810485"/>
        <color rgb="FF00B050"/>
      </colorScale>
    </cfRule>
  </conditionalFormatting>
  <conditionalFormatting sqref="I5:I107">
    <cfRule type="colorScale" priority="1928">
      <colorScale>
        <cfvo type="min"/>
        <cfvo type="max"/>
        <color theme="9" tint="0.79998168889431442"/>
        <color rgb="FFBF95DF"/>
      </colorScale>
    </cfRule>
  </conditionalFormatting>
  <conditionalFormatting sqref="N5:N107">
    <cfRule type="colorScale" priority="1929">
      <colorScale>
        <cfvo type="min"/>
        <cfvo type="percentile" val="50"/>
        <cfvo type="num" val="25"/>
        <color rgb="FFF8696B"/>
        <color rgb="FFFFEB84"/>
        <color rgb="FF63BE7B"/>
      </colorScale>
    </cfRule>
  </conditionalFormatting>
  <conditionalFormatting sqref="L5:L107">
    <cfRule type="colorScale" priority="1930">
      <colorScale>
        <cfvo type="min"/>
        <cfvo type="percentile" val="90"/>
        <cfvo type="max"/>
        <color theme="9" tint="0.59999389629810485"/>
        <color theme="9" tint="0.79998168889431442"/>
        <color rgb="FFFF6600"/>
      </colorScale>
    </cfRule>
  </conditionalFormatting>
  <conditionalFormatting sqref="M5:M107">
    <cfRule type="colorScale" priority="1931">
      <colorScale>
        <cfvo type="min"/>
        <cfvo type="max"/>
        <color theme="9" tint="0.79998168889431442"/>
        <color rgb="FFBF95DF"/>
      </colorScale>
    </cfRule>
  </conditionalFormatting>
  <conditionalFormatting sqref="K5:K107">
    <cfRule type="colorScale" priority="1932">
      <colorScale>
        <cfvo type="min"/>
        <cfvo type="percentile" val="70"/>
        <cfvo type="max"/>
        <color rgb="FFFF6600"/>
        <color theme="9" tint="0.59999389629810485"/>
        <color theme="9" tint="0.39997558519241921"/>
      </colorScale>
    </cfRule>
  </conditionalFormatting>
  <conditionalFormatting sqref="P5:P107">
    <cfRule type="top10" dxfId="8" priority="1933" bottom="1" rank="5"/>
    <cfRule type="top10" dxfId="7"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64</v>
      </c>
      <c r="C6" s="19">
        <v>92</v>
      </c>
      <c r="D6" s="19">
        <v>5</v>
      </c>
      <c r="E6" s="19">
        <v>161</v>
      </c>
    </row>
    <row r="7" spans="1:5" x14ac:dyDescent="0.45">
      <c r="A7" s="3">
        <v>2</v>
      </c>
      <c r="B7" s="19">
        <v>39</v>
      </c>
      <c r="C7" s="19">
        <v>91</v>
      </c>
      <c r="D7" s="19">
        <v>6</v>
      </c>
      <c r="E7" s="19">
        <v>136</v>
      </c>
    </row>
    <row r="8" spans="1:5" x14ac:dyDescent="0.45">
      <c r="A8" s="3">
        <v>3</v>
      </c>
      <c r="B8" s="19">
        <v>38</v>
      </c>
      <c r="C8" s="19">
        <v>63</v>
      </c>
      <c r="D8" s="19">
        <v>6</v>
      </c>
      <c r="E8" s="19">
        <v>107</v>
      </c>
    </row>
    <row r="9" spans="1:5" x14ac:dyDescent="0.45">
      <c r="A9" s="3">
        <v>4</v>
      </c>
      <c r="B9" s="19"/>
      <c r="C9" s="19">
        <v>61</v>
      </c>
      <c r="D9" s="19">
        <v>6</v>
      </c>
      <c r="E9" s="19">
        <v>67</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141</v>
      </c>
      <c r="C12" s="19">
        <v>313</v>
      </c>
      <c r="D12" s="19">
        <v>29</v>
      </c>
      <c r="E12" s="19">
        <v>483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0.26842013888888894</v>
      </c>
    </row>
    <row r="4" spans="2:7" x14ac:dyDescent="0.45">
      <c r="B4" t="s">
        <v>2</v>
      </c>
      <c r="C4" t="s">
        <v>75</v>
      </c>
      <c r="D4" t="s">
        <v>70</v>
      </c>
      <c r="F4" t="s">
        <v>77</v>
      </c>
      <c r="G4" t="s">
        <v>34</v>
      </c>
    </row>
    <row r="5" spans="2:7" x14ac:dyDescent="0.45">
      <c r="B5">
        <v>1</v>
      </c>
      <c r="C5">
        <f>GETPIVOTDATA("Result",Seat_Order_Pivot!$A$3,"Seat",Table3[[#This Row],[Seat]],"Result","Win")</f>
        <v>161</v>
      </c>
      <c r="D5" s="4">
        <f>Table3[[#This Row],[Count Result]]/C13</f>
        <v>0.2795138888888889</v>
      </c>
      <c r="F5">
        <v>1</v>
      </c>
      <c r="G5" s="4">
        <f>GETPIVOTDATA("Result",pivot_seat_New!$A$5,"Seat",Table411[[#This Row],[3 pods]],"Pod Size",3)/C14</f>
        <v>0.42105263157894735</v>
      </c>
    </row>
    <row r="6" spans="2:7" x14ac:dyDescent="0.45">
      <c r="B6">
        <v>2</v>
      </c>
      <c r="C6">
        <f>GETPIVOTDATA("Result",Seat_Order_Pivot!$A$3,"Seat",Table3[[#This Row],[Seat]],"Result","Win")</f>
        <v>136</v>
      </c>
      <c r="D6" s="4">
        <f>Table3[[#This Row],[Count Result]]/C13</f>
        <v>0.2361111111111111</v>
      </c>
      <c r="F6">
        <v>2</v>
      </c>
      <c r="G6" s="4">
        <f>GETPIVOTDATA("Result",pivot_seat_New!$A$5,"Seat",Table411[[#This Row],[3 pods]],"Pod Size",3)/C14</f>
        <v>0.25657894736842107</v>
      </c>
    </row>
    <row r="7" spans="2:7" x14ac:dyDescent="0.45">
      <c r="B7">
        <v>3</v>
      </c>
      <c r="C7">
        <f>GETPIVOTDATA("Result",Seat_Order_Pivot!$A$3,"Seat",Table3[[#This Row],[Seat]],"Result","Win")</f>
        <v>107</v>
      </c>
      <c r="D7" s="4">
        <f>Table3[[#This Row],[Count Result]]/C13</f>
        <v>0.1857638888888889</v>
      </c>
      <c r="F7">
        <v>3</v>
      </c>
      <c r="G7" s="4">
        <f>GETPIVOTDATA("Result",pivot_seat_New!$A$5,"Seat",Table411[[#This Row],[3 pods]],"Pod Size",3)/C14</f>
        <v>0.25</v>
      </c>
    </row>
    <row r="8" spans="2:7" x14ac:dyDescent="0.45">
      <c r="B8">
        <v>4</v>
      </c>
      <c r="C8">
        <f>GETPIVOTDATA("Result",Seat_Order_Pivot!$A$3,"Seat",Table3[[#This Row],[Seat]],"Result","Win")</f>
        <v>67</v>
      </c>
      <c r="D8" s="4">
        <f>Table3[[#This Row],[Count Result]]/(C15+C16)</f>
        <v>0.15801886792452829</v>
      </c>
      <c r="F8" t="s">
        <v>63</v>
      </c>
      <c r="G8" s="4">
        <f>1-G5-G6-G7</f>
        <v>7.2368421052631582E-2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99</v>
      </c>
      <c r="D10" s="4">
        <f>Table3[[#This Row],[Count Result]]/C13</f>
        <v>0.171875</v>
      </c>
      <c r="F10">
        <v>1</v>
      </c>
      <c r="G10" s="4">
        <f>GETPIVOTDATA("Result",pivot_seat_New!$A$5,"Seat",Table41112[[#This Row],[4 pods]],"Pod Size",4)/C15</f>
        <v>0.2340966921119593</v>
      </c>
    </row>
    <row r="11" spans="2:7" x14ac:dyDescent="0.45">
      <c r="F11">
        <v>2</v>
      </c>
      <c r="G11" s="4">
        <f>GETPIVOTDATA("Result",pivot_seat_New!$A$5,"Seat",Table41112[[#This Row],[4 pods]],"Pod Size",4)/C15</f>
        <v>0.23155216284987276</v>
      </c>
    </row>
    <row r="12" spans="2:7" x14ac:dyDescent="0.45">
      <c r="B12" t="s">
        <v>71</v>
      </c>
      <c r="C12" t="s">
        <v>69</v>
      </c>
      <c r="F12">
        <v>3</v>
      </c>
      <c r="G12" s="4">
        <f>GETPIVOTDATA("Result",pivot_seat_New!$A$5,"Seat",Table41112[[#This Row],[4 pods]],"Pod Size",4)/C15</f>
        <v>0.16030534351145037</v>
      </c>
    </row>
    <row r="13" spans="2:7" x14ac:dyDescent="0.45">
      <c r="B13" t="s">
        <v>68</v>
      </c>
      <c r="C13">
        <f>SUM(Table3[Count Result])</f>
        <v>576</v>
      </c>
      <c r="F13">
        <v>4</v>
      </c>
      <c r="G13" s="4">
        <f>GETPIVOTDATA("Result",pivot_seat_New!$A$5,"Seat",Table41112[[#This Row],[4 pods]],"Pod Size",4)/C15</f>
        <v>0.15521628498727735</v>
      </c>
    </row>
    <row r="14" spans="2:7" x14ac:dyDescent="0.45">
      <c r="B14" t="s">
        <v>72</v>
      </c>
      <c r="C14">
        <f>(C13)-((GETPIVOTDATA("Result",Seat_Order_Pivot!$A$3,"Seat",4,"Result","Win")) + (GETPIVOTDATA("Result",Seat_Order_Pivot!$A$3,"Seat",4,"Result","Loss")) + (GETPIVOTDATA("Result",Seat_Order_Pivot!$A$3,"Seat",4,"Result","Draw")))</f>
        <v>152</v>
      </c>
      <c r="F14" t="s">
        <v>63</v>
      </c>
      <c r="G14" s="4">
        <f>1-G11-G12-G13-G10</f>
        <v>0.21882951653944013</v>
      </c>
    </row>
    <row r="15" spans="2:7" x14ac:dyDescent="0.45">
      <c r="B15" t="s">
        <v>73</v>
      </c>
      <c r="C15">
        <f>C13-C14-C16</f>
        <v>393</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99</v>
      </c>
      <c r="C3" s="19">
        <v>316</v>
      </c>
      <c r="D3" s="19">
        <v>161</v>
      </c>
      <c r="E3" s="19">
        <v>576</v>
      </c>
    </row>
    <row r="4" spans="1:5" x14ac:dyDescent="0.45">
      <c r="A4" s="3">
        <v>2</v>
      </c>
      <c r="B4" s="19">
        <v>98</v>
      </c>
      <c r="C4" s="19">
        <v>341</v>
      </c>
      <c r="D4" s="19">
        <v>136</v>
      </c>
      <c r="E4" s="19">
        <v>575</v>
      </c>
    </row>
    <row r="5" spans="1:5" x14ac:dyDescent="0.45">
      <c r="A5" s="3">
        <v>3</v>
      </c>
      <c r="B5" s="19">
        <v>99</v>
      </c>
      <c r="C5" s="19">
        <v>370</v>
      </c>
      <c r="D5" s="19">
        <v>107</v>
      </c>
      <c r="E5" s="19">
        <v>576</v>
      </c>
    </row>
    <row r="6" spans="1:5" x14ac:dyDescent="0.45">
      <c r="A6" s="3">
        <v>4</v>
      </c>
      <c r="B6" s="19">
        <v>88</v>
      </c>
      <c r="C6" s="19">
        <v>269</v>
      </c>
      <c r="D6" s="19">
        <v>67</v>
      </c>
      <c r="E6" s="19">
        <v>424</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386</v>
      </c>
      <c r="C9" s="19">
        <v>1337</v>
      </c>
      <c r="D9" s="19">
        <v>483</v>
      </c>
      <c r="E9" s="19">
        <v>2206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4"/>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3</v>
      </c>
      <c r="D7" s="19">
        <v>9</v>
      </c>
    </row>
    <row r="8" spans="1:4" x14ac:dyDescent="0.45">
      <c r="A8" s="3" t="s">
        <v>19</v>
      </c>
      <c r="B8" s="19">
        <v>6</v>
      </c>
      <c r="C8" s="19">
        <v>5</v>
      </c>
      <c r="D8" s="19">
        <v>9</v>
      </c>
    </row>
    <row r="9" spans="1:4" x14ac:dyDescent="0.45">
      <c r="A9" s="3" t="s">
        <v>13</v>
      </c>
      <c r="B9" s="19">
        <v>11</v>
      </c>
      <c r="C9" s="19">
        <v>2</v>
      </c>
      <c r="D9" s="19">
        <v>9</v>
      </c>
    </row>
    <row r="10" spans="1:4" x14ac:dyDescent="0.45">
      <c r="A10" s="3" t="s">
        <v>10</v>
      </c>
      <c r="B10" s="19">
        <v>9</v>
      </c>
      <c r="C10" s="19"/>
      <c r="D10" s="19">
        <v>7</v>
      </c>
    </row>
    <row r="11" spans="1:4" x14ac:dyDescent="0.45">
      <c r="A11" s="3" t="s">
        <v>7</v>
      </c>
      <c r="B11" s="19">
        <v>7</v>
      </c>
      <c r="C11" s="19">
        <v>6</v>
      </c>
      <c r="D11" s="19">
        <v>7</v>
      </c>
    </row>
    <row r="12" spans="1:4" x14ac:dyDescent="0.45">
      <c r="A12" s="3" t="s">
        <v>20</v>
      </c>
      <c r="B12" s="19">
        <v>5</v>
      </c>
      <c r="C12" s="19">
        <v>3</v>
      </c>
      <c r="D12" s="19">
        <v>4</v>
      </c>
    </row>
    <row r="13" spans="1:4" x14ac:dyDescent="0.45">
      <c r="A13" s="3" t="s">
        <v>15</v>
      </c>
      <c r="B13" s="19">
        <v>6</v>
      </c>
      <c r="C13" s="19">
        <v>9</v>
      </c>
      <c r="D13" s="19">
        <v>5</v>
      </c>
    </row>
    <row r="14" spans="1:4" x14ac:dyDescent="0.45">
      <c r="A14" s="3" t="s">
        <v>11</v>
      </c>
      <c r="B14" s="19">
        <v>5</v>
      </c>
      <c r="C14" s="19">
        <v>3</v>
      </c>
      <c r="D14" s="19">
        <v>4</v>
      </c>
    </row>
    <row r="15" spans="1:4" x14ac:dyDescent="0.45">
      <c r="A15" s="3" t="s">
        <v>9</v>
      </c>
      <c r="B15" s="19">
        <v>5</v>
      </c>
      <c r="C15" s="19">
        <v>3</v>
      </c>
      <c r="D15" s="19">
        <v>12</v>
      </c>
    </row>
    <row r="16" spans="1:4" x14ac:dyDescent="0.45">
      <c r="A16" s="3" t="s">
        <v>17</v>
      </c>
      <c r="B16" s="19">
        <v>9</v>
      </c>
      <c r="C16" s="19">
        <v>2</v>
      </c>
      <c r="D16" s="19">
        <v>7</v>
      </c>
    </row>
    <row r="17" spans="1:4" x14ac:dyDescent="0.45">
      <c r="A17" s="3" t="s">
        <v>28</v>
      </c>
      <c r="B17" s="19">
        <v>2</v>
      </c>
      <c r="C17" s="19">
        <v>8</v>
      </c>
      <c r="D17" s="19">
        <v>8</v>
      </c>
    </row>
    <row r="18" spans="1:4" x14ac:dyDescent="0.45">
      <c r="A18" s="3" t="s">
        <v>27</v>
      </c>
      <c r="B18" s="19">
        <v>9</v>
      </c>
      <c r="C18" s="19">
        <v>2</v>
      </c>
      <c r="D18" s="19">
        <v>1</v>
      </c>
    </row>
    <row r="19" spans="1:4" x14ac:dyDescent="0.45">
      <c r="A19" s="3" t="s">
        <v>41</v>
      </c>
      <c r="B19" s="19">
        <v>11</v>
      </c>
      <c r="C19" s="19">
        <v>2</v>
      </c>
      <c r="D19" s="19">
        <v>1</v>
      </c>
    </row>
    <row r="20" spans="1:4" x14ac:dyDescent="0.45">
      <c r="A20" s="3" t="s">
        <v>42</v>
      </c>
      <c r="B20" s="19">
        <v>2</v>
      </c>
      <c r="C20" s="19"/>
      <c r="D20" s="19"/>
    </row>
    <row r="21" spans="1:4" x14ac:dyDescent="0.45">
      <c r="A21" s="3" t="s">
        <v>51</v>
      </c>
      <c r="B21" s="19">
        <v>8</v>
      </c>
      <c r="C21" s="19"/>
      <c r="D21" s="19">
        <v>6</v>
      </c>
    </row>
    <row r="22" spans="1:4" x14ac:dyDescent="0.45">
      <c r="A22" s="3" t="s">
        <v>352</v>
      </c>
      <c r="B22" s="19">
        <v>5</v>
      </c>
      <c r="C22" s="19">
        <v>3</v>
      </c>
      <c r="D22" s="19">
        <v>2</v>
      </c>
    </row>
    <row r="23" spans="1:4" x14ac:dyDescent="0.45">
      <c r="A23" s="3" t="s">
        <v>325</v>
      </c>
      <c r="B23" s="19">
        <v>13</v>
      </c>
      <c r="C23" s="19">
        <v>3</v>
      </c>
      <c r="D23" s="19">
        <v>4</v>
      </c>
    </row>
    <row r="24" spans="1:4" x14ac:dyDescent="0.45">
      <c r="A24" s="3" t="s">
        <v>326</v>
      </c>
      <c r="B24" s="19">
        <v>4</v>
      </c>
      <c r="C24" s="19">
        <v>2</v>
      </c>
      <c r="D24" s="19">
        <v>2</v>
      </c>
    </row>
    <row r="25" spans="1:4" x14ac:dyDescent="0.45">
      <c r="A25" s="3" t="s">
        <v>351</v>
      </c>
      <c r="B25" s="19">
        <v>5</v>
      </c>
      <c r="C25" s="19">
        <v>1</v>
      </c>
      <c r="D25" s="19">
        <v>8</v>
      </c>
    </row>
    <row r="26" spans="1:4" x14ac:dyDescent="0.45">
      <c r="A26" s="3" t="s">
        <v>364</v>
      </c>
      <c r="B26" s="19"/>
      <c r="C26" s="19"/>
      <c r="D26" s="19">
        <v>2</v>
      </c>
    </row>
    <row r="27" spans="1:4" x14ac:dyDescent="0.45">
      <c r="A27" s="3" t="s">
        <v>402</v>
      </c>
      <c r="B27" s="19">
        <v>3</v>
      </c>
      <c r="C27" s="19"/>
      <c r="D27" s="19">
        <v>1</v>
      </c>
    </row>
    <row r="28" spans="1:4" x14ac:dyDescent="0.45">
      <c r="A28" s="3" t="s">
        <v>404</v>
      </c>
      <c r="B28" s="19">
        <v>1</v>
      </c>
      <c r="C28" s="19"/>
      <c r="D28" s="19"/>
    </row>
    <row r="29" spans="1:4" x14ac:dyDescent="0.45">
      <c r="A29" s="3" t="s">
        <v>405</v>
      </c>
      <c r="B29" s="19">
        <v>3</v>
      </c>
      <c r="C29" s="19">
        <v>5</v>
      </c>
      <c r="D29" s="19">
        <v>6</v>
      </c>
    </row>
    <row r="30" spans="1:4" x14ac:dyDescent="0.45">
      <c r="A30" s="3" t="s">
        <v>435</v>
      </c>
      <c r="B30" s="19">
        <v>2</v>
      </c>
      <c r="C30" s="19"/>
      <c r="D30" s="19"/>
    </row>
    <row r="31" spans="1:4" x14ac:dyDescent="0.45">
      <c r="A31" s="3" t="s">
        <v>433</v>
      </c>
      <c r="B31" s="19">
        <v>7</v>
      </c>
      <c r="C31" s="19"/>
      <c r="D31" s="19">
        <v>3</v>
      </c>
    </row>
    <row r="32" spans="1:4" x14ac:dyDescent="0.45">
      <c r="A32" s="3" t="s">
        <v>438</v>
      </c>
      <c r="B32" s="19"/>
      <c r="C32" s="19">
        <v>1</v>
      </c>
      <c r="D32" s="19">
        <v>1</v>
      </c>
    </row>
    <row r="33" spans="1:4" x14ac:dyDescent="0.45">
      <c r="A33" s="3" t="s">
        <v>464</v>
      </c>
      <c r="B33" s="19"/>
      <c r="C33" s="19"/>
      <c r="D33" s="19">
        <v>2</v>
      </c>
    </row>
    <row r="34" spans="1:4" x14ac:dyDescent="0.45">
      <c r="A34" s="3" t="s">
        <v>519</v>
      </c>
      <c r="B34" s="19">
        <v>7</v>
      </c>
      <c r="C34" s="19">
        <v>1</v>
      </c>
      <c r="D34" s="19">
        <v>2</v>
      </c>
    </row>
    <row r="35" spans="1:4" x14ac:dyDescent="0.45">
      <c r="A35" s="3" t="s">
        <v>540</v>
      </c>
      <c r="B35" s="19">
        <v>4</v>
      </c>
      <c r="C35" s="19"/>
      <c r="D35" s="19">
        <v>2</v>
      </c>
    </row>
    <row r="36" spans="1:4" x14ac:dyDescent="0.45">
      <c r="A36" s="3" t="s">
        <v>567</v>
      </c>
      <c r="B36" s="19">
        <v>3</v>
      </c>
      <c r="C36" s="19"/>
      <c r="D36" s="19">
        <v>1</v>
      </c>
    </row>
    <row r="37" spans="1:4" x14ac:dyDescent="0.45">
      <c r="A37" s="3" t="s">
        <v>578</v>
      </c>
      <c r="B37" s="19">
        <v>7</v>
      </c>
      <c r="C37" s="19">
        <v>5</v>
      </c>
      <c r="D37" s="19">
        <v>8</v>
      </c>
    </row>
    <row r="38" spans="1:4" x14ac:dyDescent="0.45">
      <c r="A38" s="3" t="s">
        <v>605</v>
      </c>
      <c r="B38" s="19">
        <v>2</v>
      </c>
      <c r="C38" s="19"/>
      <c r="D38" s="19"/>
    </row>
    <row r="39" spans="1:4" x14ac:dyDescent="0.45">
      <c r="A39" s="3" t="s">
        <v>609</v>
      </c>
      <c r="B39" s="19">
        <v>9</v>
      </c>
      <c r="C39" s="19">
        <v>1</v>
      </c>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723</v>
      </c>
      <c r="B43" s="19">
        <v>2</v>
      </c>
      <c r="C43" s="19"/>
      <c r="D43" s="19"/>
    </row>
    <row r="44" spans="1:4" x14ac:dyDescent="0.45">
      <c r="A44" s="3" t="s">
        <v>24</v>
      </c>
      <c r="B44" s="19">
        <v>190</v>
      </c>
      <c r="C44" s="19">
        <v>72</v>
      </c>
      <c r="D44" s="19">
        <v>139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4"/>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23</v>
      </c>
      <c r="C4" s="19">
        <v>10</v>
      </c>
      <c r="D4" s="19">
        <v>2</v>
      </c>
      <c r="E4" s="4">
        <f t="shared" ref="E4:E41" si="0">IFERROR(C4/B4, "")</f>
        <v>0.43478260869565216</v>
      </c>
      <c r="F4" s="4">
        <f t="shared" ref="F4:F41" si="1">IFERROR(D4/B4, "")</f>
        <v>8.6956521739130432E-2</v>
      </c>
      <c r="G4" s="4">
        <f>IFERROR(1-Table5[[#This Row],[Loss % Against]]-Table5[[#This Row],[Win% Against]],"")</f>
        <v>0.47826086956521746</v>
      </c>
      <c r="H4" s="16">
        <f>IFERROR(IF(B4=0,"",
 IF(Table5[[#This Row],[Win% Against]] &gt; Table5[[#This Row],[Loss % Against]], 1,
 IF(Table5[[#This Row],[Win% Against]] &lt; Table5[[#This Row],[Loss % Against]], -1, 0))), "")</f>
        <v>1</v>
      </c>
    </row>
    <row r="5" spans="1:8" x14ac:dyDescent="0.4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45">
      <c r="A6" s="3" t="s">
        <v>28</v>
      </c>
      <c r="B6" s="19">
        <v>17</v>
      </c>
      <c r="C6" s="19">
        <v>6</v>
      </c>
      <c r="D6" s="19">
        <v>4</v>
      </c>
      <c r="E6" s="4">
        <f t="shared" si="0"/>
        <v>0.35294117647058826</v>
      </c>
      <c r="F6" s="4">
        <f t="shared" si="1"/>
        <v>0.23529411764705882</v>
      </c>
      <c r="G6" s="4">
        <f>IFERROR(1-Table5[[#This Row],[Loss % Against]]-Table5[[#This Row],[Win% Against]],"")</f>
        <v>0.41176470588235287</v>
      </c>
      <c r="H6" s="16">
        <f>IFERROR(IF(B6=0,"",
 IF(Table5[[#This Row],[Win% Against]] &gt; Table5[[#This Row],[Loss % Against]], 1,
 IF(Table5[[#This Row],[Win% Against]] &lt; Table5[[#This Row],[Loss % Against]], -1, 0))), "")</f>
        <v>1</v>
      </c>
    </row>
    <row r="7" spans="1:8" x14ac:dyDescent="0.45">
      <c r="A7" s="3" t="s">
        <v>14</v>
      </c>
      <c r="B7" s="19">
        <v>17</v>
      </c>
      <c r="C7" s="19">
        <v>7</v>
      </c>
      <c r="D7" s="19">
        <v>3</v>
      </c>
      <c r="E7" s="4">
        <f t="shared" si="0"/>
        <v>0.41176470588235292</v>
      </c>
      <c r="F7" s="4">
        <f t="shared" si="1"/>
        <v>0.17647058823529413</v>
      </c>
      <c r="G7" s="4">
        <f>IFERROR(1-Table5[[#This Row],[Loss % Against]]-Table5[[#This Row],[Win% Against]],"")</f>
        <v>0.41176470588235292</v>
      </c>
      <c r="H7" s="16">
        <f>IFERROR(IF(B7=0,"",
 IF(Table5[[#This Row],[Win% Against]] &gt; Table5[[#This Row],[Loss % Against]], 1,
 IF(Table5[[#This Row],[Win% Against]] &lt; Table5[[#This Row],[Loss % Against]], -1, 0))), "")</f>
        <v>1</v>
      </c>
    </row>
    <row r="8" spans="1:8" x14ac:dyDescent="0.45">
      <c r="A8" s="3" t="s">
        <v>10</v>
      </c>
      <c r="B8" s="19">
        <v>16</v>
      </c>
      <c r="C8" s="19">
        <v>5</v>
      </c>
      <c r="D8" s="19">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15</v>
      </c>
      <c r="B9" s="19">
        <v>15</v>
      </c>
      <c r="C9" s="19">
        <v>7</v>
      </c>
      <c r="D9" s="19">
        <v>2</v>
      </c>
      <c r="E9" s="4">
        <f t="shared" si="0"/>
        <v>0.46666666666666667</v>
      </c>
      <c r="F9" s="4">
        <f t="shared" si="1"/>
        <v>0.13333333333333333</v>
      </c>
      <c r="G9" s="4">
        <f>IFERROR(1-Table5[[#This Row],[Loss % Against]]-Table5[[#This Row],[Win% Against]],"")</f>
        <v>0.4</v>
      </c>
      <c r="H9" s="16">
        <f>IFERROR(IF(B9=0,"",
 IF(Table5[[#This Row],[Win% Against]] &gt; Table5[[#This Row],[Loss % Against]], 1,
 IF(Table5[[#This Row],[Win% Against]] &lt; Table5[[#This Row],[Loss % Against]], -1, 0))), "")</f>
        <v>1</v>
      </c>
    </row>
    <row r="10" spans="1:8" x14ac:dyDescent="0.45">
      <c r="A10" s="3" t="s">
        <v>19</v>
      </c>
      <c r="B10" s="19">
        <v>14</v>
      </c>
      <c r="C10" s="19">
        <v>4</v>
      </c>
      <c r="D10" s="19">
        <v>3</v>
      </c>
      <c r="E10" s="4">
        <f t="shared" si="0"/>
        <v>0.2857142857142857</v>
      </c>
      <c r="F10" s="4">
        <f t="shared" si="1"/>
        <v>0.21428571428571427</v>
      </c>
      <c r="G10" s="4">
        <f>IFERROR(1-Table5[[#This Row],[Loss % Against]]-Table5[[#This Row],[Win% Against]],"")</f>
        <v>0.5</v>
      </c>
      <c r="H10" s="16">
        <f>IFERROR(IF(B10=0,"",
 IF(Table5[[#This Row],[Win% Against]] &gt; Table5[[#This Row],[Loss % Against]], 1,
 IF(Table5[[#This Row],[Win% Against]] &lt; Table5[[#This Row],[Loss % Against]], -1, 0))), "")</f>
        <v>1</v>
      </c>
    </row>
    <row r="11" spans="1:8" x14ac:dyDescent="0.45">
      <c r="A11" s="3" t="s">
        <v>13</v>
      </c>
      <c r="B11" s="19">
        <v>14</v>
      </c>
      <c r="C11" s="19">
        <v>3</v>
      </c>
      <c r="D11" s="19">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s="19">
        <v>13</v>
      </c>
      <c r="C12" s="19">
        <v>9</v>
      </c>
      <c r="D12" s="19">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s="19">
        <v>11</v>
      </c>
      <c r="C15" s="19">
        <v>4</v>
      </c>
      <c r="D15" s="19">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45">
      <c r="A18" s="3" t="s">
        <v>11</v>
      </c>
      <c r="B18" s="19">
        <v>9</v>
      </c>
      <c r="C18" s="19">
        <v>3</v>
      </c>
      <c r="D18" s="19">
        <v>3</v>
      </c>
      <c r="E18" s="4">
        <f t="shared" si="0"/>
        <v>0.33333333333333331</v>
      </c>
      <c r="F18" s="4">
        <f t="shared" si="1"/>
        <v>0.33333333333333331</v>
      </c>
      <c r="G18" s="4">
        <f>IFERROR(1-Table5[[#This Row],[Loss % Against]]-Table5[[#This Row],[Win% Against]],"")</f>
        <v>0.33333333333333343</v>
      </c>
      <c r="H18" s="16">
        <f>IFERROR(IF(B18=0,"",
 IF(Table5[[#This Row],[Win% Against]] &gt; Table5[[#This Row],[Loss % Against]], 1,
 IF(Table5[[#This Row],[Win% Against]] &lt; Table5[[#This Row],[Loss % Against]], -1, 0))), "")</f>
        <v>0</v>
      </c>
    </row>
    <row r="19" spans="1:8" x14ac:dyDescent="0.45">
      <c r="A19" s="3" t="s">
        <v>27</v>
      </c>
      <c r="B19" s="19">
        <v>8</v>
      </c>
      <c r="C19" s="19">
        <v>3</v>
      </c>
      <c r="D19" s="19">
        <v>0</v>
      </c>
      <c r="E19" s="4">
        <f t="shared" si="0"/>
        <v>0.375</v>
      </c>
      <c r="F19" s="4">
        <f t="shared" si="1"/>
        <v>0</v>
      </c>
      <c r="G19" s="4">
        <f>IFERROR(1-Table5[[#This Row],[Loss % Against]]-Table5[[#This Row],[Win% Against]],"")</f>
        <v>0.625</v>
      </c>
      <c r="H19" s="16">
        <f>IFERROR(IF(B19=0,"",
 IF(Table5[[#This Row],[Win% Against]] &gt; Table5[[#This Row],[Loss % Against]], 1,
 IF(Table5[[#This Row],[Win% Against]] &lt; Table5[[#This Row],[Loss % Against]], -1, 0))), "")</f>
        <v>1</v>
      </c>
    </row>
    <row r="20" spans="1:8" x14ac:dyDescent="0.45">
      <c r="A20" s="3" t="s">
        <v>51</v>
      </c>
      <c r="B20" s="19">
        <v>8</v>
      </c>
      <c r="C20" s="19">
        <v>4</v>
      </c>
      <c r="D20" s="19">
        <v>0</v>
      </c>
      <c r="E20" s="4">
        <f t="shared" si="0"/>
        <v>0.5</v>
      </c>
      <c r="F20" s="4">
        <f t="shared" si="1"/>
        <v>0</v>
      </c>
      <c r="G20" s="4">
        <f>IFERROR(1-Table5[[#This Row],[Loss % Against]]-Table5[[#This Row],[Win% Against]],"")</f>
        <v>0.5</v>
      </c>
      <c r="H20" s="16">
        <f>IFERROR(IF(B20=0,"",
 IF(Table5[[#This Row],[Win% Against]] &gt; Table5[[#This Row],[Loss % Against]], 1,
 IF(Table5[[#This Row],[Win% Against]] &lt; Table5[[#This Row],[Loss % Against]], -1, 0))), "")</f>
        <v>1</v>
      </c>
    </row>
    <row r="21" spans="1:8" x14ac:dyDescent="0.4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4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4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325</v>
      </c>
      <c r="B24" s="19">
        <v>5</v>
      </c>
      <c r="C24" s="19">
        <v>1</v>
      </c>
      <c r="D24" s="19">
        <v>1</v>
      </c>
      <c r="E24" s="4">
        <f t="shared" si="0"/>
        <v>0.2</v>
      </c>
      <c r="F24" s="4">
        <f t="shared" si="1"/>
        <v>0.2</v>
      </c>
      <c r="G24" s="4">
        <f>IFERROR(1-Table5[[#This Row],[Loss % Against]]-Table5[[#This Row],[Win% Against]],"")</f>
        <v>0.60000000000000009</v>
      </c>
      <c r="H24" s="16">
        <f>IFERROR(IF(B24=0,"",
 IF(Table5[[#This Row],[Win% Against]] &gt; Table5[[#This Row],[Loss % Against]], 1,
 IF(Table5[[#This Row],[Win% Against]] &lt; Table5[[#This Row],[Loss % Against]], -1, 0))), "")</f>
        <v>0</v>
      </c>
    </row>
    <row r="25" spans="1:8" x14ac:dyDescent="0.45">
      <c r="A25" s="3" t="s">
        <v>44</v>
      </c>
      <c r="B25" s="19">
        <v>4</v>
      </c>
      <c r="C25" s="19">
        <v>3</v>
      </c>
      <c r="D25" s="19">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4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433</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22</v>
      </c>
      <c r="B28" s="19">
        <v>4</v>
      </c>
      <c r="C28" s="19">
        <v>1</v>
      </c>
      <c r="D28" s="19">
        <v>1</v>
      </c>
      <c r="E28" s="4">
        <f t="shared" si="0"/>
        <v>0.25</v>
      </c>
      <c r="F28" s="4">
        <f t="shared" si="1"/>
        <v>0.25</v>
      </c>
      <c r="G28" s="4">
        <f>IFERROR(1-Table5[[#This Row],[Loss % Against]]-Table5[[#This Row],[Win% Against]],"")</f>
        <v>0.5</v>
      </c>
      <c r="H28" s="16">
        <f>IFERROR(IF(B28=0,"",
 IF(Table5[[#This Row],[Win% Against]] &gt; Table5[[#This Row],[Loss % Against]], 1,
 IF(Table5[[#This Row],[Win% Against]] &lt; Table5[[#This Row],[Loss % Against]], -1, 0))), "")</f>
        <v>0</v>
      </c>
    </row>
    <row r="29" spans="1:8" x14ac:dyDescent="0.45">
      <c r="A29" s="3" t="s">
        <v>519</v>
      </c>
      <c r="B29" s="19">
        <v>4</v>
      </c>
      <c r="C29" s="19">
        <v>2</v>
      </c>
      <c r="D29" s="1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76</v>
      </c>
      <c r="B30" s="19">
        <v>4</v>
      </c>
      <c r="C30" s="19">
        <v>2</v>
      </c>
      <c r="D30" s="19">
        <v>0</v>
      </c>
      <c r="E30" s="4">
        <f t="shared" si="0"/>
        <v>0.5</v>
      </c>
      <c r="F30" s="4">
        <f t="shared" si="1"/>
        <v>0</v>
      </c>
      <c r="G30" s="4">
        <f>IFERROR(1-Table5[[#This Row],[Loss % Against]]-Table5[[#This Row],[Win% Against]],"")</f>
        <v>0.5</v>
      </c>
      <c r="H30" s="16">
        <f>IFERROR(IF(B30=0,"",
 IF(Table5[[#This Row],[Win% Against]] &gt; Table5[[#This Row],[Loss % Against]], 1,
 IF(Table5[[#This Row],[Win% Against]] &lt; Table5[[#This Row],[Loss % Against]], -1, 0))), "")</f>
        <v>1</v>
      </c>
    </row>
    <row r="31" spans="1:8" x14ac:dyDescent="0.45">
      <c r="A31" s="3" t="s">
        <v>326</v>
      </c>
      <c r="B31" s="19">
        <v>4</v>
      </c>
      <c r="C31" s="19">
        <v>2</v>
      </c>
      <c r="D31" s="19">
        <v>1</v>
      </c>
      <c r="E31" s="4">
        <f t="shared" si="0"/>
        <v>0.5</v>
      </c>
      <c r="F31" s="4">
        <f t="shared" si="1"/>
        <v>0.25</v>
      </c>
      <c r="G31" s="4">
        <f>IFERROR(1-Table5[[#This Row],[Loss % Against]]-Table5[[#This Row],[Win% Against]],"")</f>
        <v>0.25</v>
      </c>
      <c r="H31" s="16">
        <f>IFERROR(IF(B31=0,"",
 IF(Table5[[#This Row],[Win% Against]] &gt; Table5[[#This Row],[Loss % Against]], 1,
 IF(Table5[[#This Row],[Win% Against]] &lt; Table5[[#This Row],[Loss % Against]], -1, 0))), "")</f>
        <v>1</v>
      </c>
    </row>
    <row r="32" spans="1:8" x14ac:dyDescent="0.45">
      <c r="A32" s="3" t="s">
        <v>578</v>
      </c>
      <c r="B32" s="19">
        <v>3</v>
      </c>
      <c r="C32" s="19">
        <v>0</v>
      </c>
      <c r="D32" s="19">
        <v>1</v>
      </c>
      <c r="E32" s="4">
        <f t="shared" si="0"/>
        <v>0</v>
      </c>
      <c r="F32" s="4">
        <f t="shared" si="1"/>
        <v>0.33333333333333331</v>
      </c>
      <c r="G32" s="4">
        <f>IFERROR(1-Table5[[#This Row],[Loss % Against]]-Table5[[#This Row],[Win% Against]],"")</f>
        <v>0.66666666666666674</v>
      </c>
      <c r="H32" s="16">
        <f>IFERROR(IF(B32=0,"",
 IF(Table5[[#This Row],[Win% Against]] &gt; Table5[[#This Row],[Loss % Against]], 1,
 IF(Table5[[#This Row],[Win% Against]] &lt; Table5[[#This Row],[Loss % Against]], -1, 0))), "")</f>
        <v>-1</v>
      </c>
    </row>
    <row r="33" spans="1:8" x14ac:dyDescent="0.45">
      <c r="A33" s="3" t="s">
        <v>364</v>
      </c>
      <c r="B33" s="19">
        <v>3</v>
      </c>
      <c r="C33" s="19">
        <v>0</v>
      </c>
      <c r="D33" s="19">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45">
      <c r="A34" s="3" t="s">
        <v>30</v>
      </c>
      <c r="B34" s="19">
        <v>3</v>
      </c>
      <c r="C34" s="19">
        <v>1</v>
      </c>
      <c r="D34" s="19">
        <v>1</v>
      </c>
      <c r="E34" s="4">
        <f t="shared" si="0"/>
        <v>0.33333333333333331</v>
      </c>
      <c r="F34" s="4">
        <f t="shared" si="1"/>
        <v>0.33333333333333331</v>
      </c>
      <c r="G34" s="4">
        <f>IFERROR(1-Table5[[#This Row],[Loss % Against]]-Table5[[#This Row],[Win% Against]],"")</f>
        <v>0.33333333333333343</v>
      </c>
      <c r="H34" s="16">
        <f>IFERROR(IF(B34=0,"",
 IF(Table5[[#This Row],[Win% Against]] &gt; Table5[[#This Row],[Loss % Against]], 1,
 IF(Table5[[#This Row],[Win% Against]] &lt; Table5[[#This Row],[Loss % Against]], -1, 0))), "")</f>
        <v>0</v>
      </c>
    </row>
    <row r="35" spans="1:8" x14ac:dyDescent="0.45">
      <c r="A35" s="3" t="s">
        <v>609</v>
      </c>
      <c r="B35" s="19">
        <v>3</v>
      </c>
      <c r="C35" s="19">
        <v>2</v>
      </c>
      <c r="D35" s="19">
        <v>0</v>
      </c>
      <c r="E35" s="4">
        <f t="shared" si="0"/>
        <v>0.66666666666666663</v>
      </c>
      <c r="F35" s="4">
        <f t="shared" si="1"/>
        <v>0</v>
      </c>
      <c r="G35" s="4">
        <f>IFERROR(1-Table5[[#This Row],[Loss % Against]]-Table5[[#This Row],[Win% Against]],"")</f>
        <v>0.33333333333333337</v>
      </c>
      <c r="H35" s="16">
        <f>IFERROR(IF(B35=0,"",
 IF(Table5[[#This Row],[Win% Against]] &gt; Table5[[#This Row],[Loss % Against]], 1,
 IF(Table5[[#This Row],[Win% Against]] &lt; Table5[[#This Row],[Loss % Against]], -1, 0))), "")</f>
        <v>1</v>
      </c>
    </row>
    <row r="36" spans="1:8" x14ac:dyDescent="0.45">
      <c r="A36" s="3" t="s">
        <v>56</v>
      </c>
      <c r="B36" s="19">
        <v>2</v>
      </c>
      <c r="C36" s="19">
        <v>2</v>
      </c>
      <c r="D36" s="19">
        <v>0</v>
      </c>
      <c r="E36" s="4">
        <f t="shared" si="0"/>
        <v>1</v>
      </c>
      <c r="F36" s="4">
        <f t="shared" si="1"/>
        <v>0</v>
      </c>
      <c r="G36" s="4">
        <f>IFERROR(1-Table5[[#This Row],[Loss % Against]]-Table5[[#This Row],[Win% Against]],"")</f>
        <v>0</v>
      </c>
      <c r="H36" s="16">
        <f>IFERROR(IF(B36=0,"",
 IF(Table5[[#This Row],[Win% Against]] &gt; Table5[[#This Row],[Loss % Against]], 1,
 IF(Table5[[#This Row],[Win% Against]] &lt; Table5[[#This Row],[Loss % Against]], -1, 0))), "")</f>
        <v>1</v>
      </c>
    </row>
    <row r="37" spans="1:8" x14ac:dyDescent="0.4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45">
      <c r="A38" s="3" t="s">
        <v>57</v>
      </c>
      <c r="B38" s="19">
        <v>2</v>
      </c>
      <c r="C38" s="19">
        <v>0</v>
      </c>
      <c r="D38" s="19">
        <v>1</v>
      </c>
      <c r="E38" s="4">
        <f t="shared" si="0"/>
        <v>0</v>
      </c>
      <c r="F38" s="4">
        <f t="shared" si="1"/>
        <v>0.5</v>
      </c>
      <c r="G38" s="4">
        <f>IFERROR(1-Table5[[#This Row],[Loss % Against]]-Table5[[#This Row],[Win% Against]],"")</f>
        <v>0.5</v>
      </c>
      <c r="H38" s="16">
        <f>IFERROR(IF(B38=0,"",
 IF(Table5[[#This Row],[Win% Against]] &gt; Table5[[#This Row],[Loss % Against]], 1,
 IF(Table5[[#This Row],[Win% Against]] &lt; Table5[[#This Row],[Loss % Against]], -1, 0))), "")</f>
        <v>-1</v>
      </c>
    </row>
    <row r="39" spans="1:8" x14ac:dyDescent="0.45">
      <c r="A39" s="3" t="s">
        <v>16</v>
      </c>
      <c r="B39" s="19">
        <v>2</v>
      </c>
      <c r="C39" s="19">
        <v>1</v>
      </c>
      <c r="D39" s="19">
        <v>0</v>
      </c>
      <c r="E39" s="4">
        <f t="shared" si="0"/>
        <v>0.5</v>
      </c>
      <c r="F39" s="4">
        <f t="shared" si="1"/>
        <v>0</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4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45">
      <c r="A42" s="3" t="s">
        <v>567</v>
      </c>
      <c r="B42" s="19">
        <v>2</v>
      </c>
      <c r="C42" s="19">
        <v>1</v>
      </c>
      <c r="D42" s="19">
        <v>1</v>
      </c>
      <c r="E42" s="4">
        <f t="shared" ref="E42:E53" si="2">IFERROR(C42/B42, "")</f>
        <v>0.5</v>
      </c>
      <c r="F42" s="4">
        <f t="shared" ref="F42:F53" si="3">IFERROR(D42/B42, "")</f>
        <v>0.5</v>
      </c>
      <c r="G42" s="4">
        <f>IFERROR(1-Table5[[#This Row],[Loss % Against]]-Table5[[#This Row],[Win% Against]],"")</f>
        <v>0</v>
      </c>
      <c r="H42" s="16">
        <f>IFERROR(IF(B42=0,"",
 IF(Table5[[#This Row],[Win% Against]] &gt; Table5[[#This Row],[Loss % Against]], 1,
 IF(Table5[[#This Row],[Win% Against]] &lt; Table5[[#This Row],[Loss % Against]], -1, 0))), "")</f>
        <v>0</v>
      </c>
    </row>
    <row r="43" spans="1:8" x14ac:dyDescent="0.45">
      <c r="A43" s="3" t="s">
        <v>421</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45">
      <c r="A44" s="3" t="s">
        <v>438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434</v>
      </c>
      <c r="B45" s="19">
        <v>1</v>
      </c>
      <c r="C45" s="19">
        <v>0</v>
      </c>
      <c r="D45" s="19">
        <v>1</v>
      </c>
      <c r="E45" s="4">
        <f t="shared" si="2"/>
        <v>0</v>
      </c>
      <c r="F45" s="4">
        <f t="shared" si="3"/>
        <v>1</v>
      </c>
      <c r="G45" s="4">
        <f>IFERROR(1-Table5[[#This Row],[Loss % Against]]-Table5[[#This Row],[Win% Against]],"")</f>
        <v>0</v>
      </c>
      <c r="H45" s="16">
        <f>IFERROR(IF(B45=0,"",
 IF(Table5[[#This Row],[Win% Against]] &gt; Table5[[#This Row],[Loss % Against]], 1,
 IF(Table5[[#This Row],[Win% Against]] &lt; Table5[[#This Row],[Loss % Against]], -1, 0))), "")</f>
        <v>-1</v>
      </c>
    </row>
    <row r="46" spans="1:8" x14ac:dyDescent="0.45">
      <c r="A46" s="3" t="s">
        <v>47</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29</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61</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45">
      <c r="A49" s="3" t="s">
        <v>693</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540</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45">
      <c r="A51" s="3" t="s">
        <v>437</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55</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478</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45">
      <c r="A54" s="3" t="s">
        <v>622</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53</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46</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590</v>
      </c>
      <c r="B57" s="19">
        <v>1</v>
      </c>
      <c r="C57" s="19">
        <v>0</v>
      </c>
      <c r="D57" s="19">
        <v>0</v>
      </c>
    </row>
    <row r="58" spans="1:8" x14ac:dyDescent="0.45">
      <c r="A58" s="3" t="s">
        <v>579</v>
      </c>
      <c r="B58" s="19">
        <v>1</v>
      </c>
      <c r="C58" s="19">
        <v>0</v>
      </c>
      <c r="D58" s="19">
        <v>0</v>
      </c>
    </row>
    <row r="59" spans="1:8" x14ac:dyDescent="0.45">
      <c r="A59" s="3" t="s">
        <v>40</v>
      </c>
      <c r="B59" s="19">
        <v>1</v>
      </c>
      <c r="C59" s="19">
        <v>1</v>
      </c>
      <c r="D59" s="19">
        <v>0</v>
      </c>
    </row>
    <row r="60" spans="1:8" x14ac:dyDescent="0.45">
      <c r="A60" s="3" t="s">
        <v>404</v>
      </c>
      <c r="B60" s="19">
        <v>1</v>
      </c>
      <c r="C60" s="19">
        <v>0</v>
      </c>
      <c r="D60" s="19">
        <v>0</v>
      </c>
    </row>
    <row r="61" spans="1:8" x14ac:dyDescent="0.45">
      <c r="A61" s="3" t="s">
        <v>365</v>
      </c>
      <c r="B61" s="19">
        <v>1</v>
      </c>
      <c r="C61" s="19">
        <v>0</v>
      </c>
      <c r="D61" s="19">
        <v>0</v>
      </c>
    </row>
    <row r="62" spans="1:8" x14ac:dyDescent="0.45">
      <c r="A62" s="3" t="s">
        <v>402</v>
      </c>
      <c r="B62" s="19">
        <v>1</v>
      </c>
      <c r="C62" s="19">
        <v>0</v>
      </c>
      <c r="D62" s="19">
        <v>0</v>
      </c>
    </row>
    <row r="63" spans="1:8" x14ac:dyDescent="0.45">
      <c r="A63" s="3" t="s">
        <v>59</v>
      </c>
      <c r="B63" s="19">
        <v>1</v>
      </c>
      <c r="C63" s="19">
        <v>0</v>
      </c>
      <c r="D63" s="19">
        <v>0</v>
      </c>
    </row>
    <row r="64" spans="1:8" x14ac:dyDescent="0.45">
      <c r="A64" s="3" t="s">
        <v>322</v>
      </c>
      <c r="B64" s="19">
        <v>1</v>
      </c>
      <c r="C64" s="19">
        <v>0</v>
      </c>
      <c r="D64"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5"/>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4</v>
      </c>
      <c r="D6" s="19">
        <v>10</v>
      </c>
    </row>
    <row r="7" spans="1:4" x14ac:dyDescent="0.45">
      <c r="A7" s="3" t="s">
        <v>19</v>
      </c>
      <c r="B7" s="19">
        <v>8</v>
      </c>
      <c r="C7" s="19">
        <v>5</v>
      </c>
      <c r="D7" s="19">
        <v>9</v>
      </c>
    </row>
    <row r="8" spans="1:4" x14ac:dyDescent="0.45">
      <c r="A8" s="3" t="s">
        <v>13</v>
      </c>
      <c r="B8" s="19">
        <v>13</v>
      </c>
      <c r="C8" s="19">
        <v>2</v>
      </c>
      <c r="D8" s="19">
        <v>9</v>
      </c>
    </row>
    <row r="9" spans="1:4" x14ac:dyDescent="0.45">
      <c r="A9" s="3" t="s">
        <v>10</v>
      </c>
      <c r="B9" s="19">
        <v>11</v>
      </c>
      <c r="C9" s="19"/>
      <c r="D9" s="19">
        <v>7</v>
      </c>
    </row>
    <row r="10" spans="1:4" x14ac:dyDescent="0.45">
      <c r="A10" s="3" t="s">
        <v>7</v>
      </c>
      <c r="B10" s="19">
        <v>7</v>
      </c>
      <c r="C10" s="19">
        <v>7</v>
      </c>
      <c r="D10" s="19">
        <v>8</v>
      </c>
    </row>
    <row r="11" spans="1:4" x14ac:dyDescent="0.45">
      <c r="A11" s="3" t="s">
        <v>20</v>
      </c>
      <c r="B11" s="19">
        <v>5</v>
      </c>
      <c r="C11" s="19">
        <v>5</v>
      </c>
      <c r="D11" s="19">
        <v>4</v>
      </c>
    </row>
    <row r="12" spans="1:4" x14ac:dyDescent="0.45">
      <c r="A12" s="3" t="s">
        <v>15</v>
      </c>
      <c r="B12" s="19">
        <v>6</v>
      </c>
      <c r="C12" s="19">
        <v>10</v>
      </c>
      <c r="D12" s="19">
        <v>6</v>
      </c>
    </row>
    <row r="13" spans="1:4" x14ac:dyDescent="0.45">
      <c r="A13" s="3" t="s">
        <v>11</v>
      </c>
      <c r="B13" s="19">
        <v>5</v>
      </c>
      <c r="C13" s="19">
        <v>3</v>
      </c>
      <c r="D13" s="19">
        <v>6</v>
      </c>
    </row>
    <row r="14" spans="1:4" x14ac:dyDescent="0.45">
      <c r="A14" s="3" t="s">
        <v>9</v>
      </c>
      <c r="B14" s="19">
        <v>6</v>
      </c>
      <c r="C14" s="19">
        <v>3</v>
      </c>
      <c r="D14" s="19">
        <v>13</v>
      </c>
    </row>
    <row r="15" spans="1:4" x14ac:dyDescent="0.45">
      <c r="A15" s="3" t="s">
        <v>17</v>
      </c>
      <c r="B15" s="19">
        <v>10</v>
      </c>
      <c r="C15" s="19">
        <v>2</v>
      </c>
      <c r="D15" s="19">
        <v>8</v>
      </c>
    </row>
    <row r="16" spans="1:4" x14ac:dyDescent="0.45">
      <c r="A16" s="3" t="s">
        <v>28</v>
      </c>
      <c r="B16" s="19">
        <v>3</v>
      </c>
      <c r="C16" s="19">
        <v>8</v>
      </c>
      <c r="D16" s="19">
        <v>9</v>
      </c>
    </row>
    <row r="17" spans="1:4" x14ac:dyDescent="0.45">
      <c r="A17" s="3" t="s">
        <v>27</v>
      </c>
      <c r="B17" s="19">
        <v>10</v>
      </c>
      <c r="C17" s="19">
        <v>3</v>
      </c>
      <c r="D17" s="19">
        <v>1</v>
      </c>
    </row>
    <row r="18" spans="1:4" x14ac:dyDescent="0.45">
      <c r="A18" s="3" t="s">
        <v>41</v>
      </c>
      <c r="B18" s="19">
        <v>11</v>
      </c>
      <c r="C18" s="19">
        <v>2</v>
      </c>
      <c r="D18" s="19">
        <v>1</v>
      </c>
    </row>
    <row r="19" spans="1:4" x14ac:dyDescent="0.45">
      <c r="A19" s="3" t="s">
        <v>42</v>
      </c>
      <c r="B19" s="19">
        <v>2</v>
      </c>
      <c r="C19" s="19"/>
      <c r="D19" s="19"/>
    </row>
    <row r="20" spans="1:4" x14ac:dyDescent="0.45">
      <c r="A20" s="3" t="s">
        <v>51</v>
      </c>
      <c r="B20" s="19">
        <v>8</v>
      </c>
      <c r="C20" s="19"/>
      <c r="D20" s="19">
        <v>6</v>
      </c>
    </row>
    <row r="21" spans="1:4" x14ac:dyDescent="0.45">
      <c r="A21" s="3" t="s">
        <v>352</v>
      </c>
      <c r="B21" s="19">
        <v>5</v>
      </c>
      <c r="C21" s="19">
        <v>3</v>
      </c>
      <c r="D21" s="19">
        <v>2</v>
      </c>
    </row>
    <row r="22" spans="1:4" x14ac:dyDescent="0.45">
      <c r="A22" s="3" t="s">
        <v>325</v>
      </c>
      <c r="B22" s="19">
        <v>14</v>
      </c>
      <c r="C22" s="19">
        <v>3</v>
      </c>
      <c r="D22" s="19">
        <v>5</v>
      </c>
    </row>
    <row r="23" spans="1:4" x14ac:dyDescent="0.45">
      <c r="A23" s="3" t="s">
        <v>326</v>
      </c>
      <c r="B23" s="19">
        <v>4</v>
      </c>
      <c r="C23" s="19">
        <v>2</v>
      </c>
      <c r="D23" s="19">
        <v>2</v>
      </c>
    </row>
    <row r="24" spans="1:4" x14ac:dyDescent="0.45">
      <c r="A24" s="3" t="s">
        <v>351</v>
      </c>
      <c r="B24" s="19">
        <v>5</v>
      </c>
      <c r="C24" s="19">
        <v>1</v>
      </c>
      <c r="D24" s="19">
        <v>10</v>
      </c>
    </row>
    <row r="25" spans="1:4" x14ac:dyDescent="0.45">
      <c r="A25" s="3" t="s">
        <v>364</v>
      </c>
      <c r="B25" s="19">
        <v>2</v>
      </c>
      <c r="C25" s="19"/>
      <c r="D25" s="19">
        <v>2</v>
      </c>
    </row>
    <row r="26" spans="1:4" x14ac:dyDescent="0.45">
      <c r="A26" s="3" t="s">
        <v>402</v>
      </c>
      <c r="B26" s="19">
        <v>3</v>
      </c>
      <c r="C26" s="19">
        <v>1</v>
      </c>
      <c r="D26" s="19">
        <v>2</v>
      </c>
    </row>
    <row r="27" spans="1:4" x14ac:dyDescent="0.45">
      <c r="A27" s="3" t="s">
        <v>404</v>
      </c>
      <c r="B27" s="19">
        <v>1</v>
      </c>
      <c r="C27" s="19"/>
      <c r="D27" s="19"/>
    </row>
    <row r="28" spans="1:4" x14ac:dyDescent="0.45">
      <c r="A28" s="3" t="s">
        <v>405</v>
      </c>
      <c r="B28" s="19">
        <v>3</v>
      </c>
      <c r="C28" s="19">
        <v>5</v>
      </c>
      <c r="D28" s="19">
        <v>6</v>
      </c>
    </row>
    <row r="29" spans="1:4" x14ac:dyDescent="0.45">
      <c r="A29" s="3" t="s">
        <v>435</v>
      </c>
      <c r="B29" s="19">
        <v>2</v>
      </c>
      <c r="C29" s="19"/>
      <c r="D29" s="19"/>
    </row>
    <row r="30" spans="1:4" x14ac:dyDescent="0.45">
      <c r="A30" s="3" t="s">
        <v>433</v>
      </c>
      <c r="B30" s="19">
        <v>7</v>
      </c>
      <c r="C30" s="19"/>
      <c r="D30" s="19">
        <v>3</v>
      </c>
    </row>
    <row r="31" spans="1:4" x14ac:dyDescent="0.45">
      <c r="A31" s="3" t="s">
        <v>438</v>
      </c>
      <c r="B31" s="19"/>
      <c r="C31" s="19">
        <v>1</v>
      </c>
      <c r="D31" s="19">
        <v>1</v>
      </c>
    </row>
    <row r="32" spans="1:4" x14ac:dyDescent="0.45">
      <c r="A32" s="3" t="s">
        <v>464</v>
      </c>
      <c r="B32" s="19"/>
      <c r="C32" s="19"/>
      <c r="D32" s="19">
        <v>2</v>
      </c>
    </row>
    <row r="33" spans="1:4" x14ac:dyDescent="0.45">
      <c r="A33" s="3" t="s">
        <v>519</v>
      </c>
      <c r="B33" s="19">
        <v>9</v>
      </c>
      <c r="C33" s="19">
        <v>1</v>
      </c>
      <c r="D33" s="19">
        <v>2</v>
      </c>
    </row>
    <row r="34" spans="1:4" x14ac:dyDescent="0.45">
      <c r="A34" s="3" t="s">
        <v>540</v>
      </c>
      <c r="B34" s="19">
        <v>5</v>
      </c>
      <c r="C34" s="19"/>
      <c r="D34" s="19">
        <v>3</v>
      </c>
    </row>
    <row r="35" spans="1:4" x14ac:dyDescent="0.45">
      <c r="A35" s="3" t="s">
        <v>567</v>
      </c>
      <c r="B35" s="19">
        <v>3</v>
      </c>
      <c r="C35" s="19"/>
      <c r="D35" s="19">
        <v>1</v>
      </c>
    </row>
    <row r="36" spans="1:4" x14ac:dyDescent="0.45">
      <c r="A36" s="3" t="s">
        <v>578</v>
      </c>
      <c r="B36" s="19">
        <v>8</v>
      </c>
      <c r="C36" s="19">
        <v>6</v>
      </c>
      <c r="D36" s="19">
        <v>8</v>
      </c>
    </row>
    <row r="37" spans="1:4" x14ac:dyDescent="0.45">
      <c r="A37" s="3" t="s">
        <v>605</v>
      </c>
      <c r="B37" s="19">
        <v>2</v>
      </c>
      <c r="C37" s="19"/>
      <c r="D37" s="19"/>
    </row>
    <row r="38" spans="1:4" x14ac:dyDescent="0.45">
      <c r="A38" s="3" t="s">
        <v>608</v>
      </c>
      <c r="B38" s="19">
        <v>2</v>
      </c>
      <c r="C38" s="19"/>
      <c r="D38" s="19"/>
    </row>
    <row r="39" spans="1:4" x14ac:dyDescent="0.45">
      <c r="A39" s="3" t="s">
        <v>609</v>
      </c>
      <c r="B39" s="19">
        <v>11</v>
      </c>
      <c r="C39" s="19">
        <v>1</v>
      </c>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723</v>
      </c>
      <c r="B43" s="19">
        <v>2</v>
      </c>
      <c r="C43" s="19"/>
      <c r="D43" s="19">
        <v>2</v>
      </c>
    </row>
    <row r="44" spans="1:4" x14ac:dyDescent="0.45">
      <c r="A44" s="3" t="s">
        <v>734</v>
      </c>
      <c r="B44" s="19">
        <v>1</v>
      </c>
      <c r="C44" s="19"/>
      <c r="D44" s="19">
        <v>1</v>
      </c>
    </row>
    <row r="45" spans="1:4" x14ac:dyDescent="0.45">
      <c r="A45" s="3" t="s">
        <v>24</v>
      </c>
      <c r="B45" s="19">
        <v>212</v>
      </c>
      <c r="C45" s="19">
        <v>80</v>
      </c>
      <c r="D45" s="19">
        <v>155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207"/>
  <sheetViews>
    <sheetView topLeftCell="A2088" workbookViewId="0">
      <selection activeCell="A2139" sqref="A2139"/>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Previous</v>
      </c>
    </row>
    <row r="2127" spans="1:1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Previous</v>
      </c>
    </row>
    <row r="2128" spans="1:1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Previous</v>
      </c>
    </row>
    <row r="2129" spans="1:1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Previous</v>
      </c>
    </row>
    <row r="2130" spans="1:1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Previous</v>
      </c>
    </row>
    <row r="2131" spans="1:1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Previous</v>
      </c>
    </row>
    <row r="2132" spans="1:1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Previous</v>
      </c>
    </row>
    <row r="2133" spans="1:1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Previous</v>
      </c>
    </row>
    <row r="2134" spans="1:1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Previous</v>
      </c>
    </row>
    <row r="2135" spans="1:1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Previous</v>
      </c>
    </row>
    <row r="2136" spans="1:1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Previous</v>
      </c>
    </row>
    <row r="2137" spans="1:1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Previous</v>
      </c>
    </row>
    <row r="2138" spans="1:1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Previous</v>
      </c>
    </row>
    <row r="2139" spans="1:1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Previous</v>
      </c>
    </row>
    <row r="2140" spans="1:1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Previous</v>
      </c>
    </row>
    <row r="2141" spans="1:1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Previous</v>
      </c>
    </row>
    <row r="2142" spans="1:1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Previous</v>
      </c>
    </row>
    <row r="2143" spans="1:1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Previous</v>
      </c>
    </row>
    <row r="2144" spans="1:1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Previous</v>
      </c>
    </row>
    <row r="2145" spans="1:1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Previous</v>
      </c>
    </row>
    <row r="2146" spans="1:1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Previous</v>
      </c>
    </row>
    <row r="2147" spans="1:1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Previous</v>
      </c>
    </row>
    <row r="2148" spans="1:1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Previous</v>
      </c>
    </row>
    <row r="2149" spans="1:1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Previous</v>
      </c>
    </row>
    <row r="2150" spans="1:1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Previous</v>
      </c>
    </row>
    <row r="2151" spans="1:1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Previous</v>
      </c>
    </row>
    <row r="2152" spans="1:1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Previous</v>
      </c>
    </row>
    <row r="2153" spans="1:1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Previous</v>
      </c>
    </row>
    <row r="2154" spans="1:1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Previous</v>
      </c>
    </row>
    <row r="2155" spans="1:1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Previous</v>
      </c>
    </row>
    <row r="2156" spans="1:1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Previous</v>
      </c>
    </row>
    <row r="2157" spans="1:1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Previous</v>
      </c>
    </row>
    <row r="2158" spans="1:1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Previous</v>
      </c>
    </row>
    <row r="2159" spans="1:1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Previous</v>
      </c>
    </row>
    <row r="2160" spans="1:1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Previous</v>
      </c>
    </row>
    <row r="2161" spans="1:1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Previous</v>
      </c>
    </row>
    <row r="2162" spans="1:11" x14ac:dyDescent="0.45">
      <c r="A2162" t="s">
        <v>519</v>
      </c>
      <c r="B2162" t="s">
        <v>6</v>
      </c>
      <c r="C2162">
        <v>1</v>
      </c>
      <c r="D2162">
        <v>1</v>
      </c>
      <c r="E2162">
        <v>1</v>
      </c>
      <c r="F2162" s="1">
        <v>46286</v>
      </c>
      <c r="G2162" s="11" t="str">
        <f>_xlfn.TEXTJOIN("|",TRUE,D2162,TEXT(INT(E2162),"yyyymmdd"),F2162)</f>
        <v>1|19000101|46286</v>
      </c>
      <c r="H2162" s="19">
        <f>COUNTIF(GameLog[Pod ID],GameLog[[#This Row],[Pod ID]])</f>
        <v>4</v>
      </c>
      <c r="I2162" s="19">
        <f>YEAR(GameLog[[#This Row],[Date]])</f>
        <v>2026</v>
      </c>
      <c r="J2162" s="19">
        <f>MONTH(GameLog[[#This Row],[Date]])</f>
        <v>9</v>
      </c>
      <c r="K2162" s="19" t="str">
        <f>IF(GameLog[[#This Row],[Date]]=MAX(GameLog[Date]),"Current","Previous")</f>
        <v>Current</v>
      </c>
    </row>
    <row r="2163" spans="1:11" x14ac:dyDescent="0.45">
      <c r="A2163" t="s">
        <v>15</v>
      </c>
      <c r="B2163" t="s">
        <v>8</v>
      </c>
      <c r="C2163">
        <v>2</v>
      </c>
      <c r="D2163">
        <v>1</v>
      </c>
      <c r="E2163">
        <v>1</v>
      </c>
      <c r="F2163" s="1">
        <v>46286</v>
      </c>
      <c r="G2163" s="11" t="str">
        <f>_xlfn.TEXTJOIN("|",TRUE,D2163,TEXT(INT(E2163),"yyyymmdd"),F2163)</f>
        <v>1|19000101|46286</v>
      </c>
      <c r="H2163" s="19">
        <f>COUNTIF(GameLog[Pod ID],GameLog[[#This Row],[Pod ID]])</f>
        <v>4</v>
      </c>
      <c r="I2163" s="19">
        <f>YEAR(GameLog[[#This Row],[Date]])</f>
        <v>2026</v>
      </c>
      <c r="J2163" s="19">
        <f>MONTH(GameLog[[#This Row],[Date]])</f>
        <v>9</v>
      </c>
      <c r="K2163" s="19" t="str">
        <f>IF(GameLog[[#This Row],[Date]]=MAX(GameLog[Date]),"Current","Previous")</f>
        <v>Current</v>
      </c>
    </row>
    <row r="2164" spans="1:11" x14ac:dyDescent="0.45">
      <c r="A2164" t="s">
        <v>27</v>
      </c>
      <c r="B2164" t="s">
        <v>6</v>
      </c>
      <c r="C2164">
        <v>3</v>
      </c>
      <c r="D2164">
        <v>1</v>
      </c>
      <c r="E2164">
        <v>1</v>
      </c>
      <c r="F2164" s="1">
        <v>46286</v>
      </c>
      <c r="G2164" s="11" t="str">
        <f>_xlfn.TEXTJOIN("|",TRUE,D2164,TEXT(INT(E2164),"yyyymmdd"),F2164)</f>
        <v>1|19000101|46286</v>
      </c>
      <c r="H2164" s="19">
        <f>COUNTIF(GameLog[Pod ID],GameLog[[#This Row],[Pod ID]])</f>
        <v>4</v>
      </c>
      <c r="I2164" s="19">
        <f>YEAR(GameLog[[#This Row],[Date]])</f>
        <v>2026</v>
      </c>
      <c r="J2164" s="19">
        <f>MONTH(GameLog[[#This Row],[Date]])</f>
        <v>9</v>
      </c>
      <c r="K2164" s="19" t="str">
        <f>IF(GameLog[[#This Row],[Date]]=MAX(GameLog[Date]),"Current","Previous")</f>
        <v>Current</v>
      </c>
    </row>
    <row r="2165" spans="1:11" x14ac:dyDescent="0.45">
      <c r="A2165" t="s">
        <v>19</v>
      </c>
      <c r="B2165" t="s">
        <v>6</v>
      </c>
      <c r="C2165">
        <v>4</v>
      </c>
      <c r="D2165">
        <v>1</v>
      </c>
      <c r="E2165">
        <v>1</v>
      </c>
      <c r="F2165" s="1">
        <v>46286</v>
      </c>
      <c r="G2165" s="11" t="str">
        <f>_xlfn.TEXTJOIN("|",TRUE,D2165,TEXT(INT(E2165),"yyyymmdd"),F2165)</f>
        <v>1|19000101|46286</v>
      </c>
      <c r="H2165" s="19">
        <f>COUNTIF(GameLog[Pod ID],GameLog[[#This Row],[Pod ID]])</f>
        <v>4</v>
      </c>
      <c r="I2165" s="19">
        <f>YEAR(GameLog[[#This Row],[Date]])</f>
        <v>2026</v>
      </c>
      <c r="J2165" s="19">
        <f>MONTH(GameLog[[#This Row],[Date]])</f>
        <v>9</v>
      </c>
      <c r="K2165" s="19" t="str">
        <f>IF(GameLog[[#This Row],[Date]]=MAX(GameLog[Date]),"Current","Previous")</f>
        <v>Current</v>
      </c>
    </row>
    <row r="2166" spans="1:11" x14ac:dyDescent="0.45">
      <c r="A2166" t="s">
        <v>351</v>
      </c>
      <c r="B2166" t="s">
        <v>63</v>
      </c>
      <c r="C2166">
        <v>1</v>
      </c>
      <c r="D2166">
        <v>2</v>
      </c>
      <c r="E2166">
        <v>1</v>
      </c>
      <c r="F2166" s="1">
        <v>46286</v>
      </c>
      <c r="G2166" s="11" t="str">
        <f>_xlfn.TEXTJOIN("|",TRUE,D2166,TEXT(INT(E2166),"yyyymmdd"),F2166)</f>
        <v>2|19000101|46286</v>
      </c>
      <c r="H2166" s="19">
        <f>COUNTIF(GameLog[Pod ID],GameLog[[#This Row],[Pod ID]])</f>
        <v>4</v>
      </c>
      <c r="I2166" s="19">
        <f>YEAR(GameLog[[#This Row],[Date]])</f>
        <v>2026</v>
      </c>
      <c r="J2166" s="19">
        <f>MONTH(GameLog[[#This Row],[Date]])</f>
        <v>9</v>
      </c>
      <c r="K2166" s="19" t="str">
        <f>IF(GameLog[[#This Row],[Date]]=MAX(GameLog[Date]),"Current","Previous")</f>
        <v>Current</v>
      </c>
    </row>
    <row r="2167" spans="1:11" x14ac:dyDescent="0.45">
      <c r="A2167" t="s">
        <v>11</v>
      </c>
      <c r="B2167" t="s">
        <v>63</v>
      </c>
      <c r="C2167">
        <v>2</v>
      </c>
      <c r="D2167">
        <v>2</v>
      </c>
      <c r="E2167">
        <v>1</v>
      </c>
      <c r="F2167" s="1">
        <v>46286</v>
      </c>
      <c r="G2167" s="11" t="str">
        <f>_xlfn.TEXTJOIN("|",TRUE,D2167,TEXT(INT(E2167),"yyyymmdd"),F2167)</f>
        <v>2|19000101|46286</v>
      </c>
      <c r="H2167" s="19">
        <f>COUNTIF(GameLog[Pod ID],GameLog[[#This Row],[Pod ID]])</f>
        <v>4</v>
      </c>
      <c r="I2167" s="19">
        <f>YEAR(GameLog[[#This Row],[Date]])</f>
        <v>2026</v>
      </c>
      <c r="J2167" s="19">
        <f>MONTH(GameLog[[#This Row],[Date]])</f>
        <v>9</v>
      </c>
      <c r="K2167" s="19" t="str">
        <f>IF(GameLog[[#This Row],[Date]]=MAX(GameLog[Date]),"Current","Previous")</f>
        <v>Current</v>
      </c>
    </row>
    <row r="2168" spans="1:11" x14ac:dyDescent="0.45">
      <c r="A2168" t="s">
        <v>723</v>
      </c>
      <c r="B2168" t="s">
        <v>63</v>
      </c>
      <c r="C2168">
        <v>3</v>
      </c>
      <c r="D2168">
        <v>2</v>
      </c>
      <c r="E2168">
        <v>1</v>
      </c>
      <c r="F2168" s="1">
        <v>46286</v>
      </c>
      <c r="G2168" s="11" t="str">
        <f>_xlfn.TEXTJOIN("|",TRUE,D2168,TEXT(INT(E2168),"yyyymmdd"),F2168)</f>
        <v>2|19000101|46286</v>
      </c>
      <c r="H2168" s="19">
        <f>COUNTIF(GameLog[Pod ID],GameLog[[#This Row],[Pod ID]])</f>
        <v>4</v>
      </c>
      <c r="I2168" s="19">
        <f>YEAR(GameLog[[#This Row],[Date]])</f>
        <v>2026</v>
      </c>
      <c r="J2168" s="19">
        <f>MONTH(GameLog[[#This Row],[Date]])</f>
        <v>9</v>
      </c>
      <c r="K2168" s="19" t="str">
        <f>IF(GameLog[[#This Row],[Date]]=MAX(GameLog[Date]),"Current","Previous")</f>
        <v>Current</v>
      </c>
    </row>
    <row r="2169" spans="1:11" x14ac:dyDescent="0.45">
      <c r="A2169" t="s">
        <v>402</v>
      </c>
      <c r="B2169" t="s">
        <v>63</v>
      </c>
      <c r="C2169">
        <v>4</v>
      </c>
      <c r="D2169">
        <v>2</v>
      </c>
      <c r="E2169">
        <v>1</v>
      </c>
      <c r="F2169" s="1">
        <v>46286</v>
      </c>
      <c r="G2169" s="11" t="str">
        <f>_xlfn.TEXTJOIN("|",TRUE,D2169,TEXT(INT(E2169),"yyyymmdd"),F2169)</f>
        <v>2|19000101|46286</v>
      </c>
      <c r="H2169" s="19">
        <f>COUNTIF(GameLog[Pod ID],GameLog[[#This Row],[Pod ID]])</f>
        <v>4</v>
      </c>
      <c r="I2169" s="19">
        <f>YEAR(GameLog[[#This Row],[Date]])</f>
        <v>2026</v>
      </c>
      <c r="J2169" s="19">
        <f>MONTH(GameLog[[#This Row],[Date]])</f>
        <v>9</v>
      </c>
      <c r="K2169" s="19" t="str">
        <f>IF(GameLog[[#This Row],[Date]]=MAX(GameLog[Date]),"Current","Previous")</f>
        <v>Current</v>
      </c>
    </row>
    <row r="2170" spans="1:11" x14ac:dyDescent="0.45">
      <c r="A2170" t="s">
        <v>13</v>
      </c>
      <c r="B2170" t="s">
        <v>6</v>
      </c>
      <c r="C2170">
        <v>1</v>
      </c>
      <c r="D2170">
        <v>3</v>
      </c>
      <c r="E2170">
        <v>1</v>
      </c>
      <c r="F2170" s="1">
        <v>46286</v>
      </c>
      <c r="G2170" s="11" t="str">
        <f>_xlfn.TEXTJOIN("|",TRUE,D2170,TEXT(INT(E2170),"yyyymmdd"),F2170)</f>
        <v>3|19000101|46286</v>
      </c>
      <c r="H2170" s="19">
        <f>COUNTIF(GameLog[Pod ID],GameLog[[#This Row],[Pod ID]])</f>
        <v>4</v>
      </c>
      <c r="I2170" s="19">
        <f>YEAR(GameLog[[#This Row],[Date]])</f>
        <v>2026</v>
      </c>
      <c r="J2170" s="19">
        <f>MONTH(GameLog[[#This Row],[Date]])</f>
        <v>9</v>
      </c>
      <c r="K2170" s="19" t="str">
        <f>IF(GameLog[[#This Row],[Date]]=MAX(GameLog[Date]),"Current","Previous")</f>
        <v>Current</v>
      </c>
    </row>
    <row r="2171" spans="1:11" x14ac:dyDescent="0.45">
      <c r="A2171" t="s">
        <v>578</v>
      </c>
      <c r="B2171" t="s">
        <v>8</v>
      </c>
      <c r="C2171">
        <v>2</v>
      </c>
      <c r="D2171">
        <v>3</v>
      </c>
      <c r="E2171">
        <v>1</v>
      </c>
      <c r="F2171" s="1">
        <v>46286</v>
      </c>
      <c r="G2171" s="11" t="str">
        <f>_xlfn.TEXTJOIN("|",TRUE,D2171,TEXT(INT(E2171),"yyyymmdd"),F2171)</f>
        <v>3|19000101|46286</v>
      </c>
      <c r="H2171" s="19">
        <f>COUNTIF(GameLog[Pod ID],GameLog[[#This Row],[Pod ID]])</f>
        <v>4</v>
      </c>
      <c r="I2171" s="19">
        <f>YEAR(GameLog[[#This Row],[Date]])</f>
        <v>2026</v>
      </c>
      <c r="J2171" s="19">
        <f>MONTH(GameLog[[#This Row],[Date]])</f>
        <v>9</v>
      </c>
      <c r="K2171" s="19" t="str">
        <f>IF(GameLog[[#This Row],[Date]]=MAX(GameLog[Date]),"Current","Previous")</f>
        <v>Current</v>
      </c>
    </row>
    <row r="2172" spans="1:11" x14ac:dyDescent="0.45">
      <c r="A2172" t="s">
        <v>9</v>
      </c>
      <c r="B2172" t="s">
        <v>6</v>
      </c>
      <c r="C2172">
        <v>3</v>
      </c>
      <c r="D2172">
        <v>3</v>
      </c>
      <c r="E2172">
        <v>1</v>
      </c>
      <c r="F2172" s="1">
        <v>46286</v>
      </c>
      <c r="G2172" s="11" t="str">
        <f>_xlfn.TEXTJOIN("|",TRUE,D2172,TEXT(INT(E2172),"yyyymmdd"),F2172)</f>
        <v>3|19000101|46286</v>
      </c>
      <c r="H2172" s="19">
        <f>COUNTIF(GameLog[Pod ID],GameLog[[#This Row],[Pod ID]])</f>
        <v>4</v>
      </c>
      <c r="I2172" s="19">
        <f>YEAR(GameLog[[#This Row],[Date]])</f>
        <v>2026</v>
      </c>
      <c r="J2172" s="19">
        <f>MONTH(GameLog[[#This Row],[Date]])</f>
        <v>9</v>
      </c>
      <c r="K2172" s="19" t="str">
        <f>IF(GameLog[[#This Row],[Date]]=MAX(GameLog[Date]),"Current","Previous")</f>
        <v>Current</v>
      </c>
    </row>
    <row r="2173" spans="1:11" x14ac:dyDescent="0.45">
      <c r="A2173" t="s">
        <v>325</v>
      </c>
      <c r="B2173" t="s">
        <v>6</v>
      </c>
      <c r="C2173">
        <v>4</v>
      </c>
      <c r="D2173">
        <v>3</v>
      </c>
      <c r="E2173">
        <v>1</v>
      </c>
      <c r="F2173" s="1">
        <v>46286</v>
      </c>
      <c r="G2173" s="11" t="str">
        <f>_xlfn.TEXTJOIN("|",TRUE,D2173,TEXT(INT(E2173),"yyyymmdd"),F2173)</f>
        <v>3|19000101|46286</v>
      </c>
      <c r="H2173" s="19">
        <f>COUNTIF(GameLog[Pod ID],GameLog[[#This Row],[Pod ID]])</f>
        <v>4</v>
      </c>
      <c r="I2173" s="19">
        <f>YEAR(GameLog[[#This Row],[Date]])</f>
        <v>2026</v>
      </c>
      <c r="J2173" s="19">
        <f>MONTH(GameLog[[#This Row],[Date]])</f>
        <v>9</v>
      </c>
      <c r="K2173" s="19" t="str">
        <f>IF(GameLog[[#This Row],[Date]]=MAX(GameLog[Date]),"Current","Previous")</f>
        <v>Current</v>
      </c>
    </row>
    <row r="2174" spans="1:11" x14ac:dyDescent="0.45">
      <c r="A2174" t="s">
        <v>609</v>
      </c>
      <c r="B2174" t="s">
        <v>6</v>
      </c>
      <c r="C2174">
        <v>1</v>
      </c>
      <c r="D2174">
        <v>4</v>
      </c>
      <c r="E2174">
        <v>1</v>
      </c>
      <c r="F2174" s="1">
        <v>46286</v>
      </c>
      <c r="G2174" s="11" t="str">
        <f>_xlfn.TEXTJOIN("|",TRUE,D2174,TEXT(INT(E2174),"yyyymmdd"),F2174)</f>
        <v>4|19000101|46286</v>
      </c>
      <c r="H2174" s="19">
        <f>COUNTIF(GameLog[Pod ID],GameLog[[#This Row],[Pod ID]])</f>
        <v>4</v>
      </c>
      <c r="I2174" s="19">
        <f>YEAR(GameLog[[#This Row],[Date]])</f>
        <v>2026</v>
      </c>
      <c r="J2174" s="19">
        <f>MONTH(GameLog[[#This Row],[Date]])</f>
        <v>9</v>
      </c>
      <c r="K2174" s="19" t="str">
        <f>IF(GameLog[[#This Row],[Date]]=MAX(GameLog[Date]),"Current","Previous")</f>
        <v>Current</v>
      </c>
    </row>
    <row r="2175" spans="1:11" x14ac:dyDescent="0.45">
      <c r="A2175" t="s">
        <v>10</v>
      </c>
      <c r="B2175" t="s">
        <v>6</v>
      </c>
      <c r="C2175">
        <v>2</v>
      </c>
      <c r="D2175">
        <v>4</v>
      </c>
      <c r="E2175">
        <v>1</v>
      </c>
      <c r="F2175" s="1">
        <v>46286</v>
      </c>
      <c r="G2175" s="11" t="str">
        <f>_xlfn.TEXTJOIN("|",TRUE,D2175,TEXT(INT(E2175),"yyyymmdd"),F2175)</f>
        <v>4|19000101|46286</v>
      </c>
      <c r="H2175" s="19">
        <f>COUNTIF(GameLog[Pod ID],GameLog[[#This Row],[Pod ID]])</f>
        <v>4</v>
      </c>
      <c r="I2175" s="19">
        <f>YEAR(GameLog[[#This Row],[Date]])</f>
        <v>2026</v>
      </c>
      <c r="J2175" s="19">
        <f>MONTH(GameLog[[#This Row],[Date]])</f>
        <v>9</v>
      </c>
      <c r="K2175" s="19" t="str">
        <f>IF(GameLog[[#This Row],[Date]]=MAX(GameLog[Date]),"Current","Previous")</f>
        <v>Current</v>
      </c>
    </row>
    <row r="2176" spans="1:11" x14ac:dyDescent="0.45">
      <c r="A2176" t="s">
        <v>540</v>
      </c>
      <c r="B2176" t="s">
        <v>6</v>
      </c>
      <c r="C2176">
        <v>3</v>
      </c>
      <c r="D2176">
        <v>4</v>
      </c>
      <c r="E2176">
        <v>1</v>
      </c>
      <c r="F2176" s="1">
        <v>46286</v>
      </c>
      <c r="G2176" s="11" t="str">
        <f>_xlfn.TEXTJOIN("|",TRUE,D2176,TEXT(INT(E2176),"yyyymmdd"),F2176)</f>
        <v>4|19000101|46286</v>
      </c>
      <c r="H2176" s="19">
        <f>COUNTIF(GameLog[Pod ID],GameLog[[#This Row],[Pod ID]])</f>
        <v>4</v>
      </c>
      <c r="I2176" s="19">
        <f>YEAR(GameLog[[#This Row],[Date]])</f>
        <v>2026</v>
      </c>
      <c r="J2176" s="19">
        <f>MONTH(GameLog[[#This Row],[Date]])</f>
        <v>9</v>
      </c>
      <c r="K2176" s="19" t="str">
        <f>IF(GameLog[[#This Row],[Date]]=MAX(GameLog[Date]),"Current","Previous")</f>
        <v>Current</v>
      </c>
    </row>
    <row r="2177" spans="1:11" x14ac:dyDescent="0.45">
      <c r="A2177" t="s">
        <v>14</v>
      </c>
      <c r="B2177" t="s">
        <v>8</v>
      </c>
      <c r="C2177">
        <v>4</v>
      </c>
      <c r="D2177">
        <v>4</v>
      </c>
      <c r="E2177">
        <v>1</v>
      </c>
      <c r="F2177" s="1">
        <v>46286</v>
      </c>
      <c r="G2177" s="11" t="str">
        <f>_xlfn.TEXTJOIN("|",TRUE,D2177,TEXT(INT(E2177),"yyyymmdd"),F2177)</f>
        <v>4|19000101|46286</v>
      </c>
      <c r="H2177" s="19">
        <f>COUNTIF(GameLog[Pod ID],GameLog[[#This Row],[Pod ID]])</f>
        <v>4</v>
      </c>
      <c r="I2177" s="19">
        <f>YEAR(GameLog[[#This Row],[Date]])</f>
        <v>2026</v>
      </c>
      <c r="J2177" s="19">
        <f>MONTH(GameLog[[#This Row],[Date]])</f>
        <v>9</v>
      </c>
      <c r="K2177" s="19" t="str">
        <f>IF(GameLog[[#This Row],[Date]]=MAX(GameLog[Date]),"Current","Previous")</f>
        <v>Current</v>
      </c>
    </row>
    <row r="2178" spans="1:11" x14ac:dyDescent="0.45">
      <c r="A2178" t="s">
        <v>608</v>
      </c>
      <c r="B2178" t="s">
        <v>6</v>
      </c>
      <c r="C2178">
        <v>1</v>
      </c>
      <c r="D2178">
        <v>5</v>
      </c>
      <c r="E2178">
        <v>1</v>
      </c>
      <c r="F2178" s="1">
        <v>46286</v>
      </c>
      <c r="G2178" s="11" t="str">
        <f>_xlfn.TEXTJOIN("|",TRUE,D2178,TEXT(INT(E2178),"yyyymmdd"),F2178)</f>
        <v>5|19000101|46286</v>
      </c>
      <c r="H2178" s="19">
        <f>COUNTIF(GameLog[Pod ID],GameLog[[#This Row],[Pod ID]])</f>
        <v>4</v>
      </c>
      <c r="I2178" s="19">
        <f>YEAR(GameLog[[#This Row],[Date]])</f>
        <v>2026</v>
      </c>
      <c r="J2178" s="19">
        <f>MONTH(GameLog[[#This Row],[Date]])</f>
        <v>9</v>
      </c>
      <c r="K2178" s="19" t="str">
        <f>IF(GameLog[[#This Row],[Date]]=MAX(GameLog[Date]),"Current","Previous")</f>
        <v>Current</v>
      </c>
    </row>
    <row r="2179" spans="1:11" x14ac:dyDescent="0.45">
      <c r="A2179" t="s">
        <v>17</v>
      </c>
      <c r="B2179" t="s">
        <v>6</v>
      </c>
      <c r="C2179">
        <v>2</v>
      </c>
      <c r="D2179">
        <v>5</v>
      </c>
      <c r="E2179">
        <v>1</v>
      </c>
      <c r="F2179" s="1">
        <v>46286</v>
      </c>
      <c r="G2179" s="11" t="str">
        <f>_xlfn.TEXTJOIN("|",TRUE,D2179,TEXT(INT(E2179),"yyyymmdd"),F2179)</f>
        <v>5|19000101|46286</v>
      </c>
      <c r="H2179" s="19">
        <f>COUNTIF(GameLog[Pod ID],GameLog[[#This Row],[Pod ID]])</f>
        <v>4</v>
      </c>
      <c r="I2179" s="19">
        <f>YEAR(GameLog[[#This Row],[Date]])</f>
        <v>2026</v>
      </c>
      <c r="J2179" s="19">
        <f>MONTH(GameLog[[#This Row],[Date]])</f>
        <v>9</v>
      </c>
      <c r="K2179" s="19" t="str">
        <f>IF(GameLog[[#This Row],[Date]]=MAX(GameLog[Date]),"Current","Previous")</f>
        <v>Current</v>
      </c>
    </row>
    <row r="2180" spans="1:11" x14ac:dyDescent="0.45">
      <c r="A2180" t="s">
        <v>364</v>
      </c>
      <c r="B2180" t="s">
        <v>6</v>
      </c>
      <c r="C2180">
        <v>3</v>
      </c>
      <c r="D2180">
        <v>5</v>
      </c>
      <c r="E2180">
        <v>1</v>
      </c>
      <c r="F2180" s="1">
        <v>46286</v>
      </c>
      <c r="G2180" s="11" t="str">
        <f>_xlfn.TEXTJOIN("|",TRUE,D2180,TEXT(INT(E2180),"yyyymmdd"),F2180)</f>
        <v>5|19000101|46286</v>
      </c>
      <c r="H2180" s="19">
        <f>COUNTIF(GameLog[Pod ID],GameLog[[#This Row],[Pod ID]])</f>
        <v>4</v>
      </c>
      <c r="I2180" s="19">
        <f>YEAR(GameLog[[#This Row],[Date]])</f>
        <v>2026</v>
      </c>
      <c r="J2180" s="19">
        <f>MONTH(GameLog[[#This Row],[Date]])</f>
        <v>9</v>
      </c>
      <c r="K2180" s="19" t="str">
        <f>IF(GameLog[[#This Row],[Date]]=MAX(GameLog[Date]),"Current","Previous")</f>
        <v>Current</v>
      </c>
    </row>
    <row r="2181" spans="1:11" x14ac:dyDescent="0.45">
      <c r="A2181" t="s">
        <v>20</v>
      </c>
      <c r="B2181" t="s">
        <v>8</v>
      </c>
      <c r="C2181">
        <v>4</v>
      </c>
      <c r="D2181">
        <v>5</v>
      </c>
      <c r="E2181">
        <v>1</v>
      </c>
      <c r="F2181" s="1">
        <v>46286</v>
      </c>
      <c r="G2181" s="11" t="str">
        <f>_xlfn.TEXTJOIN("|",TRUE,D2181,TEXT(INT(E2181),"yyyymmdd"),F2181)</f>
        <v>5|19000101|46286</v>
      </c>
      <c r="H2181" s="19">
        <f>COUNTIF(GameLog[Pod ID],GameLog[[#This Row],[Pod ID]])</f>
        <v>4</v>
      </c>
      <c r="I2181" s="19">
        <f>YEAR(GameLog[[#This Row],[Date]])</f>
        <v>2026</v>
      </c>
      <c r="J2181" s="19">
        <f>MONTH(GameLog[[#This Row],[Date]])</f>
        <v>9</v>
      </c>
      <c r="K2181" s="19" t="str">
        <f>IF(GameLog[[#This Row],[Date]]=MAX(GameLog[Date]),"Current","Previous")</f>
        <v>Current</v>
      </c>
    </row>
    <row r="2182" spans="1:11" x14ac:dyDescent="0.45">
      <c r="A2182" t="s">
        <v>734</v>
      </c>
      <c r="B2182" t="s">
        <v>6</v>
      </c>
      <c r="C2182">
        <v>1</v>
      </c>
      <c r="D2182">
        <v>6</v>
      </c>
      <c r="E2182">
        <v>1</v>
      </c>
      <c r="F2182" s="1">
        <v>46286</v>
      </c>
      <c r="G2182" s="11" t="str">
        <f>_xlfn.TEXTJOIN("|",TRUE,D2182,TEXT(INT(E2182),"yyyymmdd"),F2182)</f>
        <v>6|19000101|46286</v>
      </c>
      <c r="H2182" s="19">
        <f>COUNTIF(GameLog[Pod ID],GameLog[[#This Row],[Pod ID]])</f>
        <v>3</v>
      </c>
      <c r="I2182" s="19">
        <f>YEAR(GameLog[[#This Row],[Date]])</f>
        <v>2026</v>
      </c>
      <c r="J2182" s="19">
        <f>MONTH(GameLog[[#This Row],[Date]])</f>
        <v>9</v>
      </c>
      <c r="K2182" s="19" t="str">
        <f>IF(GameLog[[#This Row],[Date]]=MAX(GameLog[Date]),"Current","Previous")</f>
        <v>Current</v>
      </c>
    </row>
    <row r="2183" spans="1:11" x14ac:dyDescent="0.45">
      <c r="A2183" t="s">
        <v>28</v>
      </c>
      <c r="B2183" t="s">
        <v>6</v>
      </c>
      <c r="C2183">
        <v>2</v>
      </c>
      <c r="D2183">
        <v>6</v>
      </c>
      <c r="E2183">
        <v>1</v>
      </c>
      <c r="F2183" s="1">
        <v>46286</v>
      </c>
      <c r="G2183" s="11" t="str">
        <f>_xlfn.TEXTJOIN("|",TRUE,D2183,TEXT(INT(E2183),"yyyymmdd"),F2183)</f>
        <v>6|19000101|46286</v>
      </c>
      <c r="H2183" s="19">
        <f>COUNTIF(GameLog[Pod ID],GameLog[[#This Row],[Pod ID]])</f>
        <v>3</v>
      </c>
      <c r="I2183" s="19">
        <f>YEAR(GameLog[[#This Row],[Date]])</f>
        <v>2026</v>
      </c>
      <c r="J2183" s="19">
        <f>MONTH(GameLog[[#This Row],[Date]])</f>
        <v>9</v>
      </c>
      <c r="K2183" s="19" t="str">
        <f>IF(GameLog[[#This Row],[Date]]=MAX(GameLog[Date]),"Current","Previous")</f>
        <v>Current</v>
      </c>
    </row>
    <row r="2184" spans="1:11" x14ac:dyDescent="0.45">
      <c r="A2184" t="s">
        <v>7</v>
      </c>
      <c r="B2184" t="s">
        <v>8</v>
      </c>
      <c r="C2184">
        <v>3</v>
      </c>
      <c r="D2184">
        <v>6</v>
      </c>
      <c r="E2184">
        <v>1</v>
      </c>
      <c r="F2184" s="1">
        <v>46286</v>
      </c>
      <c r="G2184" s="11" t="str">
        <f>_xlfn.TEXTJOIN("|",TRUE,D2184,TEXT(INT(E2184),"yyyymmdd"),F2184)</f>
        <v>6|19000101|46286</v>
      </c>
      <c r="H2184" s="19">
        <f>COUNTIF(GameLog[Pod ID],GameLog[[#This Row],[Pod ID]])</f>
        <v>3</v>
      </c>
      <c r="I2184" s="19">
        <f>YEAR(GameLog[[#This Row],[Date]])</f>
        <v>2026</v>
      </c>
      <c r="J2184" s="19">
        <f>MONTH(GameLog[[#This Row],[Date]])</f>
        <v>9</v>
      </c>
      <c r="K2184" s="19" t="str">
        <f>IF(GameLog[[#This Row],[Date]]=MAX(GameLog[Date]),"Current","Previous")</f>
        <v>Current</v>
      </c>
    </row>
    <row r="2185" spans="1:11" x14ac:dyDescent="0.45">
      <c r="A2185" t="s">
        <v>9</v>
      </c>
      <c r="B2185" t="s">
        <v>63</v>
      </c>
      <c r="C2185">
        <v>1</v>
      </c>
      <c r="D2185">
        <v>1</v>
      </c>
      <c r="E2185">
        <v>2</v>
      </c>
      <c r="F2185" s="1">
        <v>46286</v>
      </c>
      <c r="G2185" s="11" t="str">
        <f>_xlfn.TEXTJOIN("|",TRUE,D2185,TEXT(INT(E2185),"yyyymmdd"),F2185)</f>
        <v>1|19000102|46286</v>
      </c>
      <c r="H2185" s="19">
        <f>COUNTIF(GameLog[Pod ID],GameLog[[#This Row],[Pod ID]])</f>
        <v>4</v>
      </c>
      <c r="I2185" s="19">
        <f>YEAR(GameLog[[#This Row],[Date]])</f>
        <v>2026</v>
      </c>
      <c r="J2185" s="19">
        <f>MONTH(GameLog[[#This Row],[Date]])</f>
        <v>9</v>
      </c>
      <c r="K2185" s="19" t="str">
        <f>IF(GameLog[[#This Row],[Date]]=MAX(GameLog[Date]),"Current","Previous")</f>
        <v>Current</v>
      </c>
    </row>
    <row r="2186" spans="1:11" x14ac:dyDescent="0.45">
      <c r="A2186" t="s">
        <v>540</v>
      </c>
      <c r="B2186" t="s">
        <v>63</v>
      </c>
      <c r="C2186">
        <v>2</v>
      </c>
      <c r="D2186">
        <v>1</v>
      </c>
      <c r="E2186">
        <v>2</v>
      </c>
      <c r="F2186" s="1">
        <v>46286</v>
      </c>
      <c r="G2186" s="11" t="str">
        <f>_xlfn.TEXTJOIN("|",TRUE,D2186,TEXT(INT(E2186),"yyyymmdd"),F2186)</f>
        <v>1|19000102|46286</v>
      </c>
      <c r="H2186" s="19">
        <f>COUNTIF(GameLog[Pod ID],GameLog[[#This Row],[Pod ID]])</f>
        <v>4</v>
      </c>
      <c r="I2186" s="19">
        <f>YEAR(GameLog[[#This Row],[Date]])</f>
        <v>2026</v>
      </c>
      <c r="J2186" s="19">
        <f>MONTH(GameLog[[#This Row],[Date]])</f>
        <v>9</v>
      </c>
      <c r="K2186" s="19" t="str">
        <f>IF(GameLog[[#This Row],[Date]]=MAX(GameLog[Date]),"Current","Previous")</f>
        <v>Current</v>
      </c>
    </row>
    <row r="2187" spans="1:11" x14ac:dyDescent="0.45">
      <c r="A2187" t="s">
        <v>7</v>
      </c>
      <c r="B2187" t="s">
        <v>63</v>
      </c>
      <c r="C2187">
        <v>3</v>
      </c>
      <c r="D2187">
        <v>1</v>
      </c>
      <c r="E2187">
        <v>2</v>
      </c>
      <c r="F2187" s="1">
        <v>46286</v>
      </c>
      <c r="G2187" s="11" t="str">
        <f>_xlfn.TEXTJOIN("|",TRUE,D2187,TEXT(INT(E2187),"yyyymmdd"),F2187)</f>
        <v>1|19000102|46286</v>
      </c>
      <c r="H2187" s="19">
        <f>COUNTIF(GameLog[Pod ID],GameLog[[#This Row],[Pod ID]])</f>
        <v>4</v>
      </c>
      <c r="I2187" s="19">
        <f>YEAR(GameLog[[#This Row],[Date]])</f>
        <v>2026</v>
      </c>
      <c r="J2187" s="19">
        <f>MONTH(GameLog[[#This Row],[Date]])</f>
        <v>9</v>
      </c>
      <c r="K2187" s="19" t="str">
        <f>IF(GameLog[[#This Row],[Date]]=MAX(GameLog[Date]),"Current","Previous")</f>
        <v>Current</v>
      </c>
    </row>
    <row r="2188" spans="1:11" x14ac:dyDescent="0.45">
      <c r="A2188" t="s">
        <v>11</v>
      </c>
      <c r="B2188" t="s">
        <v>63</v>
      </c>
      <c r="C2188">
        <v>4</v>
      </c>
      <c r="D2188">
        <v>1</v>
      </c>
      <c r="E2188">
        <v>2</v>
      </c>
      <c r="F2188" s="1">
        <v>46286</v>
      </c>
      <c r="G2188" s="11" t="str">
        <f>_xlfn.TEXTJOIN("|",TRUE,D2188,TEXT(INT(E2188),"yyyymmdd"),F2188)</f>
        <v>1|19000102|46286</v>
      </c>
      <c r="H2188" s="19">
        <f>COUNTIF(GameLog[Pod ID],GameLog[[#This Row],[Pod ID]])</f>
        <v>4</v>
      </c>
      <c r="I2188" s="19">
        <f>YEAR(GameLog[[#This Row],[Date]])</f>
        <v>2026</v>
      </c>
      <c r="J2188" s="19">
        <f>MONTH(GameLog[[#This Row],[Date]])</f>
        <v>9</v>
      </c>
      <c r="K2188" s="19" t="str">
        <f>IF(GameLog[[#This Row],[Date]]=MAX(GameLog[Date]),"Current","Previous")</f>
        <v>Current</v>
      </c>
    </row>
    <row r="2189" spans="1:11" x14ac:dyDescent="0.45">
      <c r="A2189" t="s">
        <v>28</v>
      </c>
      <c r="B2189" t="s">
        <v>63</v>
      </c>
      <c r="C2189">
        <v>1</v>
      </c>
      <c r="D2189">
        <v>2</v>
      </c>
      <c r="E2189">
        <v>2</v>
      </c>
      <c r="F2189" s="1">
        <v>46286</v>
      </c>
      <c r="G2189" s="11" t="str">
        <f>_xlfn.TEXTJOIN("|",TRUE,D2189,TEXT(INT(E2189),"yyyymmdd"),F2189)</f>
        <v>2|19000102|46286</v>
      </c>
      <c r="H2189" s="19">
        <f>COUNTIF(GameLog[Pod ID],GameLog[[#This Row],[Pod ID]])</f>
        <v>4</v>
      </c>
      <c r="I2189" s="19">
        <f>YEAR(GameLog[[#This Row],[Date]])</f>
        <v>2026</v>
      </c>
      <c r="J2189" s="19">
        <f>MONTH(GameLog[[#This Row],[Date]])</f>
        <v>9</v>
      </c>
      <c r="K2189" s="19" t="str">
        <f>IF(GameLog[[#This Row],[Date]]=MAX(GameLog[Date]),"Current","Previous")</f>
        <v>Current</v>
      </c>
    </row>
    <row r="2190" spans="1:11" x14ac:dyDescent="0.45">
      <c r="A2190" t="s">
        <v>17</v>
      </c>
      <c r="B2190" t="s">
        <v>63</v>
      </c>
      <c r="C2190">
        <v>2</v>
      </c>
      <c r="D2190">
        <v>2</v>
      </c>
      <c r="E2190">
        <v>2</v>
      </c>
      <c r="F2190" s="1">
        <v>46286</v>
      </c>
      <c r="G2190" s="11" t="str">
        <f>_xlfn.TEXTJOIN("|",TRUE,D2190,TEXT(INT(E2190),"yyyymmdd"),F2190)</f>
        <v>2|19000102|46286</v>
      </c>
      <c r="H2190" s="19">
        <f>COUNTIF(GameLog[Pod ID],GameLog[[#This Row],[Pod ID]])</f>
        <v>4</v>
      </c>
      <c r="I2190" s="19">
        <f>YEAR(GameLog[[#This Row],[Date]])</f>
        <v>2026</v>
      </c>
      <c r="J2190" s="19">
        <f>MONTH(GameLog[[#This Row],[Date]])</f>
        <v>9</v>
      </c>
      <c r="K2190" s="19" t="str">
        <f>IF(GameLog[[#This Row],[Date]]=MAX(GameLog[Date]),"Current","Previous")</f>
        <v>Current</v>
      </c>
    </row>
    <row r="2191" spans="1:11" x14ac:dyDescent="0.45">
      <c r="A2191" t="s">
        <v>15</v>
      </c>
      <c r="B2191" t="s">
        <v>63</v>
      </c>
      <c r="C2191">
        <v>3</v>
      </c>
      <c r="D2191">
        <v>2</v>
      </c>
      <c r="E2191">
        <v>2</v>
      </c>
      <c r="F2191" s="1">
        <v>46286</v>
      </c>
      <c r="G2191" s="11" t="str">
        <f>_xlfn.TEXTJOIN("|",TRUE,D2191,TEXT(INT(E2191),"yyyymmdd"),F2191)</f>
        <v>2|19000102|46286</v>
      </c>
      <c r="H2191" s="19">
        <f>COUNTIF(GameLog[Pod ID],GameLog[[#This Row],[Pod ID]])</f>
        <v>4</v>
      </c>
      <c r="I2191" s="19">
        <f>YEAR(GameLog[[#This Row],[Date]])</f>
        <v>2026</v>
      </c>
      <c r="J2191" s="19">
        <f>MONTH(GameLog[[#This Row],[Date]])</f>
        <v>9</v>
      </c>
      <c r="K2191" s="19" t="str">
        <f>IF(GameLog[[#This Row],[Date]]=MAX(GameLog[Date]),"Current","Previous")</f>
        <v>Current</v>
      </c>
    </row>
    <row r="2192" spans="1:11" x14ac:dyDescent="0.45">
      <c r="A2192" t="s">
        <v>351</v>
      </c>
      <c r="B2192" t="s">
        <v>63</v>
      </c>
      <c r="C2192">
        <v>4</v>
      </c>
      <c r="D2192">
        <v>2</v>
      </c>
      <c r="E2192">
        <v>2</v>
      </c>
      <c r="F2192" s="1">
        <v>46286</v>
      </c>
      <c r="G2192" s="11" t="str">
        <f>_xlfn.TEXTJOIN("|",TRUE,D2192,TEXT(INT(E2192),"yyyymmdd"),F2192)</f>
        <v>2|19000102|46286</v>
      </c>
      <c r="H2192" s="19">
        <f>COUNTIF(GameLog[Pod ID],GameLog[[#This Row],[Pod ID]])</f>
        <v>4</v>
      </c>
      <c r="I2192" s="19">
        <f>YEAR(GameLog[[#This Row],[Date]])</f>
        <v>2026</v>
      </c>
      <c r="J2192" s="19">
        <f>MONTH(GameLog[[#This Row],[Date]])</f>
        <v>9</v>
      </c>
      <c r="K2192" s="19" t="str">
        <f>IF(GameLog[[#This Row],[Date]]=MAX(GameLog[Date]),"Current","Previous")</f>
        <v>Current</v>
      </c>
    </row>
    <row r="2193" spans="1:11" x14ac:dyDescent="0.45">
      <c r="A2193" t="s">
        <v>723</v>
      </c>
      <c r="B2193" t="s">
        <v>63</v>
      </c>
      <c r="C2193">
        <v>1</v>
      </c>
      <c r="D2193">
        <v>3</v>
      </c>
      <c r="E2193">
        <v>2</v>
      </c>
      <c r="F2193" s="1">
        <v>46286</v>
      </c>
      <c r="G2193" s="11" t="str">
        <f>_xlfn.TEXTJOIN("|",TRUE,D2193,TEXT(INT(E2193),"yyyymmdd"),F2193)</f>
        <v>3|19000102|46286</v>
      </c>
      <c r="H2193" s="19">
        <f>COUNTIF(GameLog[Pod ID],GameLog[[#This Row],[Pod ID]])</f>
        <v>4</v>
      </c>
      <c r="I2193" s="19">
        <f>YEAR(GameLog[[#This Row],[Date]])</f>
        <v>2026</v>
      </c>
      <c r="J2193" s="19">
        <f>MONTH(GameLog[[#This Row],[Date]])</f>
        <v>9</v>
      </c>
      <c r="K2193" s="19" t="str">
        <f>IF(GameLog[[#This Row],[Date]]=MAX(GameLog[Date]),"Current","Previous")</f>
        <v>Current</v>
      </c>
    </row>
    <row r="2194" spans="1:11" x14ac:dyDescent="0.45">
      <c r="A2194" t="s">
        <v>325</v>
      </c>
      <c r="B2194" t="s">
        <v>63</v>
      </c>
      <c r="C2194">
        <v>2</v>
      </c>
      <c r="D2194">
        <v>3</v>
      </c>
      <c r="E2194">
        <v>2</v>
      </c>
      <c r="F2194" s="1">
        <v>46286</v>
      </c>
      <c r="G2194" s="11" t="str">
        <f>_xlfn.TEXTJOIN("|",TRUE,D2194,TEXT(INT(E2194),"yyyymmdd"),F2194)</f>
        <v>3|19000102|46286</v>
      </c>
      <c r="H2194" s="19">
        <f>COUNTIF(GameLog[Pod ID],GameLog[[#This Row],[Pod ID]])</f>
        <v>4</v>
      </c>
      <c r="I2194" s="19">
        <f>YEAR(GameLog[[#This Row],[Date]])</f>
        <v>2026</v>
      </c>
      <c r="J2194" s="19">
        <f>MONTH(GameLog[[#This Row],[Date]])</f>
        <v>9</v>
      </c>
      <c r="K2194" s="19" t="str">
        <f>IF(GameLog[[#This Row],[Date]]=MAX(GameLog[Date]),"Current","Previous")</f>
        <v>Current</v>
      </c>
    </row>
    <row r="2195" spans="1:11" x14ac:dyDescent="0.45">
      <c r="A2195" t="s">
        <v>14</v>
      </c>
      <c r="B2195" t="s">
        <v>63</v>
      </c>
      <c r="C2195">
        <v>3</v>
      </c>
      <c r="D2195">
        <v>3</v>
      </c>
      <c r="E2195">
        <v>2</v>
      </c>
      <c r="F2195" s="1">
        <v>46286</v>
      </c>
      <c r="G2195" s="11" t="str">
        <f>_xlfn.TEXTJOIN("|",TRUE,D2195,TEXT(INT(E2195),"yyyymmdd"),F2195)</f>
        <v>3|19000102|46286</v>
      </c>
      <c r="H2195" s="19">
        <f>COUNTIF(GameLog[Pod ID],GameLog[[#This Row],[Pod ID]])</f>
        <v>4</v>
      </c>
      <c r="I2195" s="19">
        <f>YEAR(GameLog[[#This Row],[Date]])</f>
        <v>2026</v>
      </c>
      <c r="J2195" s="19">
        <f>MONTH(GameLog[[#This Row],[Date]])</f>
        <v>9</v>
      </c>
      <c r="K2195" s="19" t="str">
        <f>IF(GameLog[[#This Row],[Date]]=MAX(GameLog[Date]),"Current","Previous")</f>
        <v>Current</v>
      </c>
    </row>
    <row r="2196" spans="1:11" x14ac:dyDescent="0.45">
      <c r="A2196" t="s">
        <v>734</v>
      </c>
      <c r="B2196" t="s">
        <v>63</v>
      </c>
      <c r="C2196">
        <v>4</v>
      </c>
      <c r="D2196">
        <v>3</v>
      </c>
      <c r="E2196">
        <v>2</v>
      </c>
      <c r="F2196" s="1">
        <v>46286</v>
      </c>
      <c r="G2196" s="11" t="str">
        <f>_xlfn.TEXTJOIN("|",TRUE,D2196,TEXT(INT(E2196),"yyyymmdd"),F2196)</f>
        <v>3|19000102|46286</v>
      </c>
      <c r="H2196" s="19">
        <f>COUNTIF(GameLog[Pod ID],GameLog[[#This Row],[Pod ID]])</f>
        <v>4</v>
      </c>
      <c r="I2196" s="19">
        <f>YEAR(GameLog[[#This Row],[Date]])</f>
        <v>2026</v>
      </c>
      <c r="J2196" s="19">
        <f>MONTH(GameLog[[#This Row],[Date]])</f>
        <v>9</v>
      </c>
      <c r="K2196" s="19" t="str">
        <f>IF(GameLog[[#This Row],[Date]]=MAX(GameLog[Date]),"Current","Previous")</f>
        <v>Current</v>
      </c>
    </row>
    <row r="2197" spans="1:11" x14ac:dyDescent="0.45">
      <c r="A2197" t="s">
        <v>402</v>
      </c>
      <c r="B2197" t="s">
        <v>8</v>
      </c>
      <c r="C2197">
        <v>1</v>
      </c>
      <c r="D2197">
        <v>4</v>
      </c>
      <c r="E2197">
        <v>2</v>
      </c>
      <c r="F2197" s="1">
        <v>46286</v>
      </c>
      <c r="G2197" s="11" t="str">
        <f>_xlfn.TEXTJOIN("|",TRUE,D2197,TEXT(INT(E2197),"yyyymmdd"),F2197)</f>
        <v>4|19000102|46286</v>
      </c>
      <c r="H2197" s="19">
        <f>COUNTIF(GameLog[Pod ID],GameLog[[#This Row],[Pod ID]])</f>
        <v>4</v>
      </c>
      <c r="I2197" s="19">
        <f>YEAR(GameLog[[#This Row],[Date]])</f>
        <v>2026</v>
      </c>
      <c r="J2197" s="19">
        <f>MONTH(GameLog[[#This Row],[Date]])</f>
        <v>9</v>
      </c>
      <c r="K2197" s="19" t="str">
        <f>IF(GameLog[[#This Row],[Date]]=MAX(GameLog[Date]),"Current","Previous")</f>
        <v>Current</v>
      </c>
    </row>
    <row r="2198" spans="1:11" x14ac:dyDescent="0.45">
      <c r="A2198" t="s">
        <v>19</v>
      </c>
      <c r="B2198" t="s">
        <v>6</v>
      </c>
      <c r="C2198">
        <v>2</v>
      </c>
      <c r="D2198">
        <v>4</v>
      </c>
      <c r="E2198">
        <v>2</v>
      </c>
      <c r="F2198" s="1">
        <v>46286</v>
      </c>
      <c r="G2198" s="11" t="str">
        <f>_xlfn.TEXTJOIN("|",TRUE,D2198,TEXT(INT(E2198),"yyyymmdd"),F2198)</f>
        <v>4|19000102|46286</v>
      </c>
      <c r="H2198" s="19">
        <f>COUNTIF(GameLog[Pod ID],GameLog[[#This Row],[Pod ID]])</f>
        <v>4</v>
      </c>
      <c r="I2198" s="19">
        <f>YEAR(GameLog[[#This Row],[Date]])</f>
        <v>2026</v>
      </c>
      <c r="J2198" s="19">
        <f>MONTH(GameLog[[#This Row],[Date]])</f>
        <v>9</v>
      </c>
      <c r="K2198" s="19" t="str">
        <f>IF(GameLog[[#This Row],[Date]]=MAX(GameLog[Date]),"Current","Previous")</f>
        <v>Current</v>
      </c>
    </row>
    <row r="2199" spans="1:11" x14ac:dyDescent="0.45">
      <c r="A2199" t="s">
        <v>578</v>
      </c>
      <c r="B2199" t="s">
        <v>6</v>
      </c>
      <c r="C2199">
        <v>3</v>
      </c>
      <c r="D2199">
        <v>4</v>
      </c>
      <c r="E2199">
        <v>2</v>
      </c>
      <c r="F2199" s="1">
        <v>46286</v>
      </c>
      <c r="G2199" s="11" t="str">
        <f>_xlfn.TEXTJOIN("|",TRUE,D2199,TEXT(INT(E2199),"yyyymmdd"),F2199)</f>
        <v>4|19000102|46286</v>
      </c>
      <c r="H2199" s="19">
        <f>COUNTIF(GameLog[Pod ID],GameLog[[#This Row],[Pod ID]])</f>
        <v>4</v>
      </c>
      <c r="I2199" s="19">
        <f>YEAR(GameLog[[#This Row],[Date]])</f>
        <v>2026</v>
      </c>
      <c r="J2199" s="19">
        <f>MONTH(GameLog[[#This Row],[Date]])</f>
        <v>9</v>
      </c>
      <c r="K2199" s="19" t="str">
        <f>IF(GameLog[[#This Row],[Date]]=MAX(GameLog[Date]),"Current","Previous")</f>
        <v>Current</v>
      </c>
    </row>
    <row r="2200" spans="1:11" x14ac:dyDescent="0.45">
      <c r="A2200" t="s">
        <v>608</v>
      </c>
      <c r="B2200" t="s">
        <v>6</v>
      </c>
      <c r="C2200">
        <v>4</v>
      </c>
      <c r="D2200">
        <v>4</v>
      </c>
      <c r="E2200">
        <v>2</v>
      </c>
      <c r="F2200" s="1">
        <v>46286</v>
      </c>
      <c r="G2200" s="11" t="str">
        <f>_xlfn.TEXTJOIN("|",TRUE,D2200,TEXT(INT(E2200),"yyyymmdd"),F2200)</f>
        <v>4|19000102|46286</v>
      </c>
      <c r="H2200" s="19">
        <f>COUNTIF(GameLog[Pod ID],GameLog[[#This Row],[Pod ID]])</f>
        <v>4</v>
      </c>
      <c r="I2200" s="19">
        <f>YEAR(GameLog[[#This Row],[Date]])</f>
        <v>2026</v>
      </c>
      <c r="J2200" s="19">
        <f>MONTH(GameLog[[#This Row],[Date]])</f>
        <v>9</v>
      </c>
      <c r="K2200" s="19" t="str">
        <f>IF(GameLog[[#This Row],[Date]]=MAX(GameLog[Date]),"Current","Previous")</f>
        <v>Current</v>
      </c>
    </row>
    <row r="2201" spans="1:11" x14ac:dyDescent="0.45">
      <c r="A2201" t="s">
        <v>20</v>
      </c>
      <c r="B2201" t="s">
        <v>8</v>
      </c>
      <c r="C2201">
        <v>1</v>
      </c>
      <c r="D2201">
        <v>5</v>
      </c>
      <c r="E2201">
        <v>2</v>
      </c>
      <c r="F2201" s="1">
        <v>46286</v>
      </c>
      <c r="G2201" s="11" t="str">
        <f>_xlfn.TEXTJOIN("|",TRUE,D2201,TEXT(INT(E2201),"yyyymmdd"),F2201)</f>
        <v>5|19000102|46286</v>
      </c>
      <c r="H2201" s="19">
        <f>COUNTIF(GameLog[Pod ID],GameLog[[#This Row],[Pod ID]])</f>
        <v>4</v>
      </c>
      <c r="I2201" s="19">
        <f>YEAR(GameLog[[#This Row],[Date]])</f>
        <v>2026</v>
      </c>
      <c r="J2201" s="19">
        <f>MONTH(GameLog[[#This Row],[Date]])</f>
        <v>9</v>
      </c>
      <c r="K2201" s="19" t="str">
        <f>IF(GameLog[[#This Row],[Date]]=MAX(GameLog[Date]),"Current","Previous")</f>
        <v>Current</v>
      </c>
    </row>
    <row r="2202" spans="1:11" x14ac:dyDescent="0.45">
      <c r="A2202" t="s">
        <v>10</v>
      </c>
      <c r="B2202" t="s">
        <v>6</v>
      </c>
      <c r="C2202">
        <v>2</v>
      </c>
      <c r="D2202">
        <v>5</v>
      </c>
      <c r="E2202">
        <v>2</v>
      </c>
      <c r="F2202" s="1">
        <v>46286</v>
      </c>
      <c r="G2202" s="11" t="str">
        <f>_xlfn.TEXTJOIN("|",TRUE,D2202,TEXT(INT(E2202),"yyyymmdd"),F2202)</f>
        <v>5|19000102|46286</v>
      </c>
      <c r="H2202" s="19">
        <f>COUNTIF(GameLog[Pod ID],GameLog[[#This Row],[Pod ID]])</f>
        <v>4</v>
      </c>
      <c r="I2202" s="19">
        <f>YEAR(GameLog[[#This Row],[Date]])</f>
        <v>2026</v>
      </c>
      <c r="J2202" s="19">
        <f>MONTH(GameLog[[#This Row],[Date]])</f>
        <v>9</v>
      </c>
      <c r="K2202" s="19" t="str">
        <f>IF(GameLog[[#This Row],[Date]]=MAX(GameLog[Date]),"Current","Previous")</f>
        <v>Current</v>
      </c>
    </row>
    <row r="2203" spans="1:11" x14ac:dyDescent="0.45">
      <c r="A2203" t="s">
        <v>13</v>
      </c>
      <c r="B2203" t="s">
        <v>6</v>
      </c>
      <c r="C2203">
        <v>3</v>
      </c>
      <c r="D2203">
        <v>5</v>
      </c>
      <c r="E2203">
        <v>2</v>
      </c>
      <c r="F2203" s="1">
        <v>46286</v>
      </c>
      <c r="G2203" s="11" t="str">
        <f>_xlfn.TEXTJOIN("|",TRUE,D2203,TEXT(INT(E2203),"yyyymmdd"),F2203)</f>
        <v>5|19000102|46286</v>
      </c>
      <c r="H2203" s="19">
        <f>COUNTIF(GameLog[Pod ID],GameLog[[#This Row],[Pod ID]])</f>
        <v>4</v>
      </c>
      <c r="I2203" s="19">
        <f>YEAR(GameLog[[#This Row],[Date]])</f>
        <v>2026</v>
      </c>
      <c r="J2203" s="19">
        <f>MONTH(GameLog[[#This Row],[Date]])</f>
        <v>9</v>
      </c>
      <c r="K2203" s="19" t="str">
        <f>IF(GameLog[[#This Row],[Date]]=MAX(GameLog[Date]),"Current","Previous")</f>
        <v>Current</v>
      </c>
    </row>
    <row r="2204" spans="1:11" x14ac:dyDescent="0.45">
      <c r="A2204" t="s">
        <v>519</v>
      </c>
      <c r="B2204" t="s">
        <v>6</v>
      </c>
      <c r="C2204">
        <v>4</v>
      </c>
      <c r="D2204">
        <v>5</v>
      </c>
      <c r="E2204">
        <v>2</v>
      </c>
      <c r="F2204" s="1">
        <v>46286</v>
      </c>
      <c r="G2204" s="11" t="str">
        <f>_xlfn.TEXTJOIN("|",TRUE,D2204,TEXT(INT(E2204),"yyyymmdd"),F2204)</f>
        <v>5|19000102|46286</v>
      </c>
      <c r="H2204" s="19">
        <f>COUNTIF(GameLog[Pod ID],GameLog[[#This Row],[Pod ID]])</f>
        <v>4</v>
      </c>
      <c r="I2204" s="19">
        <f>YEAR(GameLog[[#This Row],[Date]])</f>
        <v>2026</v>
      </c>
      <c r="J2204" s="19">
        <f>MONTH(GameLog[[#This Row],[Date]])</f>
        <v>9</v>
      </c>
      <c r="K2204" s="19" t="str">
        <f>IF(GameLog[[#This Row],[Date]]=MAX(GameLog[Date]),"Current","Previous")</f>
        <v>Current</v>
      </c>
    </row>
    <row r="2205" spans="1:11" x14ac:dyDescent="0.45">
      <c r="A2205" t="s">
        <v>364</v>
      </c>
      <c r="B2205" t="s">
        <v>6</v>
      </c>
      <c r="C2205">
        <v>1</v>
      </c>
      <c r="D2205">
        <v>6</v>
      </c>
      <c r="E2205">
        <v>2</v>
      </c>
      <c r="F2205" s="1">
        <v>46286</v>
      </c>
      <c r="G2205" s="11" t="str">
        <f>_xlfn.TEXTJOIN("|",TRUE,D2205,TEXT(INT(E2205),"yyyymmdd"),F2205)</f>
        <v>6|19000102|46286</v>
      </c>
      <c r="H2205" s="19">
        <f>COUNTIF(GameLog[Pod ID],GameLog[[#This Row],[Pod ID]])</f>
        <v>3</v>
      </c>
      <c r="I2205" s="19">
        <f>YEAR(GameLog[[#This Row],[Date]])</f>
        <v>2026</v>
      </c>
      <c r="J2205" s="19">
        <f>MONTH(GameLog[[#This Row],[Date]])</f>
        <v>9</v>
      </c>
      <c r="K2205" s="19" t="str">
        <f>IF(GameLog[[#This Row],[Date]]=MAX(GameLog[Date]),"Current","Previous")</f>
        <v>Current</v>
      </c>
    </row>
    <row r="2206" spans="1:11" x14ac:dyDescent="0.45">
      <c r="A2206" t="s">
        <v>27</v>
      </c>
      <c r="B2206" t="s">
        <v>8</v>
      </c>
      <c r="C2206">
        <v>2</v>
      </c>
      <c r="D2206">
        <v>6</v>
      </c>
      <c r="E2206">
        <v>2</v>
      </c>
      <c r="F2206" s="1">
        <v>46286</v>
      </c>
      <c r="G2206" s="11" t="str">
        <f>_xlfn.TEXTJOIN("|",TRUE,D2206,TEXT(INT(E2206),"yyyymmdd"),F2206)</f>
        <v>6|19000102|46286</v>
      </c>
      <c r="H2206" s="19">
        <f>COUNTIF(GameLog[Pod ID],GameLog[[#This Row],[Pod ID]])</f>
        <v>3</v>
      </c>
      <c r="I2206" s="19">
        <f>YEAR(GameLog[[#This Row],[Date]])</f>
        <v>2026</v>
      </c>
      <c r="J2206" s="19">
        <f>MONTH(GameLog[[#This Row],[Date]])</f>
        <v>9</v>
      </c>
      <c r="K2206" s="19" t="str">
        <f>IF(GameLog[[#This Row],[Date]]=MAX(GameLog[Date]),"Current","Previous")</f>
        <v>Current</v>
      </c>
    </row>
    <row r="2207" spans="1:11" x14ac:dyDescent="0.45">
      <c r="A2207" t="s">
        <v>609</v>
      </c>
      <c r="B2207" t="s">
        <v>6</v>
      </c>
      <c r="C2207">
        <v>3</v>
      </c>
      <c r="D2207">
        <v>6</v>
      </c>
      <c r="E2207">
        <v>2</v>
      </c>
      <c r="F2207" s="1">
        <v>46286</v>
      </c>
      <c r="G2207" s="11" t="str">
        <f>_xlfn.TEXTJOIN("|",TRUE,D2207,TEXT(INT(E2207),"yyyymmdd"),F2207)</f>
        <v>6|19000102|46286</v>
      </c>
      <c r="H2207" s="19">
        <f>COUNTIF(GameLog[Pod ID],GameLog[[#This Row],[Pod ID]])</f>
        <v>3</v>
      </c>
      <c r="I2207" s="19">
        <f>YEAR(GameLog[[#This Row],[Date]])</f>
        <v>2026</v>
      </c>
      <c r="J2207" s="19">
        <f>MONTH(GameLog[[#This Row],[Date]])</f>
        <v>9</v>
      </c>
      <c r="K2207"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295"/>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4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4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4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4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4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4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4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4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4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4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4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4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4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4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4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4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4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4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4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4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4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4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4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4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4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4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4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4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4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4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4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4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4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4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4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4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4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4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4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4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4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4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4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4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4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4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4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4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4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4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4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4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4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4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4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4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4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4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4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4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4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4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4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4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4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4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4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4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4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4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4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4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4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4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4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4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4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4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4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4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4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4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4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4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4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4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4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4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4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4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4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4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4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4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4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4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4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4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4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4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4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4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4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4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4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4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4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4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4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4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4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4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4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4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4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4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4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4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4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4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4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4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4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4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4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4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4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4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4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4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4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4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4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4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4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4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4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4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4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4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4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4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4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4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4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4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4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4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4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4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4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4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4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4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4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4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4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4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4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4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4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4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4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4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4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4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4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4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4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4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4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4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4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4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4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4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4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4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4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4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4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4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4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4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4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4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4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4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4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4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4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4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4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4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4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4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4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4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4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4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4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4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4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4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4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4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4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4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4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4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4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4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4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4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4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4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4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4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4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4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4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4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4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4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4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4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4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4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4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4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4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4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4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4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4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4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4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4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4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4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4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4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4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4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4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4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4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4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4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4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4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4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4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4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4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4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4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4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4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4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4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4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4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4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4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4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4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4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4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4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4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4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4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4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4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4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4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4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4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4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4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4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4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4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4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4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4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4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4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4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4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4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4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4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4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4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4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4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4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4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4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4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4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4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4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4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4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4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4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4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4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4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4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4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4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4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4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4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4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4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4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4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4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4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4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4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4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4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4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4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4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4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4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4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4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4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4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4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4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4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4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4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4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4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4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4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4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4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4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4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4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4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4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4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4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4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4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4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4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4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4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4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4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4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4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4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4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4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4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4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4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4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4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4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4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4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4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4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4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4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4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4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4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4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4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4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4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4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4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4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4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4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4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4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4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4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4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4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4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4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4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4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4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4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4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4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4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4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4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4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4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4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4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4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4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4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4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4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4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4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4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4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4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4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4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4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4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4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4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4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4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4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4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4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4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4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4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4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4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4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4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4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4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4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4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4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4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4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4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4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4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4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4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4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4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4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4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4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4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4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4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4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4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4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4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4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4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4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4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4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4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4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4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4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4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4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4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4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4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4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4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4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4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4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4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4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4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4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4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4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4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4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4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4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4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4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4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4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4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4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4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4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4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4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4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4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4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4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4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4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4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4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4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4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4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4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4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4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4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4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4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4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4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4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4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4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4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4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4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4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4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4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4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4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4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4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4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4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4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4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4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4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4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4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4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4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4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4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4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4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4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4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4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4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4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4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4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4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4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4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4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4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4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4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4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4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4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4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4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4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4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4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4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4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4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4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4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4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4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4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4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4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4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4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4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4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4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4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4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4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4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4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4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4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4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4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4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4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4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4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4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4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4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4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4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4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4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4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4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4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4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4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4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4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4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4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4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4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4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4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4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4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4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4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4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4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4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4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4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4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4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4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4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4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4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4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4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4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4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4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4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4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4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4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4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4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4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4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4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4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4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4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4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4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4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4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4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4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4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4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4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4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4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4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4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4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4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4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4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4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4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4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4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4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4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4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4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4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4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4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4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4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4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4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4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4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4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4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4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4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4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4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4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4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4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4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4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4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4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4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4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4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4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4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4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4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4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4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4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4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4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4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4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4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4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4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4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4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4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4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4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4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4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4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4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4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4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4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4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4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4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4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4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4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4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4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4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4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4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4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4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4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4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4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4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4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4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4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4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4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4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4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4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4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4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4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4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4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4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4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4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4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4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4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4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4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4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4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4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4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4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4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4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4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4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4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4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4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4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4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4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4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4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4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4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4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4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4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4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4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4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4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4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4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4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4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4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4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4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4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4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4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4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4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4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4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4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4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4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4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4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4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4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4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4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4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4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4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4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4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4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4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4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4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4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4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4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4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4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4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4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4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4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4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4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4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4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4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4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4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4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4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4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4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4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4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4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4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4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4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4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4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4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4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4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4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4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4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4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4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4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4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4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4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4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4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4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4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4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4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4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4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4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4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4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4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4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4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4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4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4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4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4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4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4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4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4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4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4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4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4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4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4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4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4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4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4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4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4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4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4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4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4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4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4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4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4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4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4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4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4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4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4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4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4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4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4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4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4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4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4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4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4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4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4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4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4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4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4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4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4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4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4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4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4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4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4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4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4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4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4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4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4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4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4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4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4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4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4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4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4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4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4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4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4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4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4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4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4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4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4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4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4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4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4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4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4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4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4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4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4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4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4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4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4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4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4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4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4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4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4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4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4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4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4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4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4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4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4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4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4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4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4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4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4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4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4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4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4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4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4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4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4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4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4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4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4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4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4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4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4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4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4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4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4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4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4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4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4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4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4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4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4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4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4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4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4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4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4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4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4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4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4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4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4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4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4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4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4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4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4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4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4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4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4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4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4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4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4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4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4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4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4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4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4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4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4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4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4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4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4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4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4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4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4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4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4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4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4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4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4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4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4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4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4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4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4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4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4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4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4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4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4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4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4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4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4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4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4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4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4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4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4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4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4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4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4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4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4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4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4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4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4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4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4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4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4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4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4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4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4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4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4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4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4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4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4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4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4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4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4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4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4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4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4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4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4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4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4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4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4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4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4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4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4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4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4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4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4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4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4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4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4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4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4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4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4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4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4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4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4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4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4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4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4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4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4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4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4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4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4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4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4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4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4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4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4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4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4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4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4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4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4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4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4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4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4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4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4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4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4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4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4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4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4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4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4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4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4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4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4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4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4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4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4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4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4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4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4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4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4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4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4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4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4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4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4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4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4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4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4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4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4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4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4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4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4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4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4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4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4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4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4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4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4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4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4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4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4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4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4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4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4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4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4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4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4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4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4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4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4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4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4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4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4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4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4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4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4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4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4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4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4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4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4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4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4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4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4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4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4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4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4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4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4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4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4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4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4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4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4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4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4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4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4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4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4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4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4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4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4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4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4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4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4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4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4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4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4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4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4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4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4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4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4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4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4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4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4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4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4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4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4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4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4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4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4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4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4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4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4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4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4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4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4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4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4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4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4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4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4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4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4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4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4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4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4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4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4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4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4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4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4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4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4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4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4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4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4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4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4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4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4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4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4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4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4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4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4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4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4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4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4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4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4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4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4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4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4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4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4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4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4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4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4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4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4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4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4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4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4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4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4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4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4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4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4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4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4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4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4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4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4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4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4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4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4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4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4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4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4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4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4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4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4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4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4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4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4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4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4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4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4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4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4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4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4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4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4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4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4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4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4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4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4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4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4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4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4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4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4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4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4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4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4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4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4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4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4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4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4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4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4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4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4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4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4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4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4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4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4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4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4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4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4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4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4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4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4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4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4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4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4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4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4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4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4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4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4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4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4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4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4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4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4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4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4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4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4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4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4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4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4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4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4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4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4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4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4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4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4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4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4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4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4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4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4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4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4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4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4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4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4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4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4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4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4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4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4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4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4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4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4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4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4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4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4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4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4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4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4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4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4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4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4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4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4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4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4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4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4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4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4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4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4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4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4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4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4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4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4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4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4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4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4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4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4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4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4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4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4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4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4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4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4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4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4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4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4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4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4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4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4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4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4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4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4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4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4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4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4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4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4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4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4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4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4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4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4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4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4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4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4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4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4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4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4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4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4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4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4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4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4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4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4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4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4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4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4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4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4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4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4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4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4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4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4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4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4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4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4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4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4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4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4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4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4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4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4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4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4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4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4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4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4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4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4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4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4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4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4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4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4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4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4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4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4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4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4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4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4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4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4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4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4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4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4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4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4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4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4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4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4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4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4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4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4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4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4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4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4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4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4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4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4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4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4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4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4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4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4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4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4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4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4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4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4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4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4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4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4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4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4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4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4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4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4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4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4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4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4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4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4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4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4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4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4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4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4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4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4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4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4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4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4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4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4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4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4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4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4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4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4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4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4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4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4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4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4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4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4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4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4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4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4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4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4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4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4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4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4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4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4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4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4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4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4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4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4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4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4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4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4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4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4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4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4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4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4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4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4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4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4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4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4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4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4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4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4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4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4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4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4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4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4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4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4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4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4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4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4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4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4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4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4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4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4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4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4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4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4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4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4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4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4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4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4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4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4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4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4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4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4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4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4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4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4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4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4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4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4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4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4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4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4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4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4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4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4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4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4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4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4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4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4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4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4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4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4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4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4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4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4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4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4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4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4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4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4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4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4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4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4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4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4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4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4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4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4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4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4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4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4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4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4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4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4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4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4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4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4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4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4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4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4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4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4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4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4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4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4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4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4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4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4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4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4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4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4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4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4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4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4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4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4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4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4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4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4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4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4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4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4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4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4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4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4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4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4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4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4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4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4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4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4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4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4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4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4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4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4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4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4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4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4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4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4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4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4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4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4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4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4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4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4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4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4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4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4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4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4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4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4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4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4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4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4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4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4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4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4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4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4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4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4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4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4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4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4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4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4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4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4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4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4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4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4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4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4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4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4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4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4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4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4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4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4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4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4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4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4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4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4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4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4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4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4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4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4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4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4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4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4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4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4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4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4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4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4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4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4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4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4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4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4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4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4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4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4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4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4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4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4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4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4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4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4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4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4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4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4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4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4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4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4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4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4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4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4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4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4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4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4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4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4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4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4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4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4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4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4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4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4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4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4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4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4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4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4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4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4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4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4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4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4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4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4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4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4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4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4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4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4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4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4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4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4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4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4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4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4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4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4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4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4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4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4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4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4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4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4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4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4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4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4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4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4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4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4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4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4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4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4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4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4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4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4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4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4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4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4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4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4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4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4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4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4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4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4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4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4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4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4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4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4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4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4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4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4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4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4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4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4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4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4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4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4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4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4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4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4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4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4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4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4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4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4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4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4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4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4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4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4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4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4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4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4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4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4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4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4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4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4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4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4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4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4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4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4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4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4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4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4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4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4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4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4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4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4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4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4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4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4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4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4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4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4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4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4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4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4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4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4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4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4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4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4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4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4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4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4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4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4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4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4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4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4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4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4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4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4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4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4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4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4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4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4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4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4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4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4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4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4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4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4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4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4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4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4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4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4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4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4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4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4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4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4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4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4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4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4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4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4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4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4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4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4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4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4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4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4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4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4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4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4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4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4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4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4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4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4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4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4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4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4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4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4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4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4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4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4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4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4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4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4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4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4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4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4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4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4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4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4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4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4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4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4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4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4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4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4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4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4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4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4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4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4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4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4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4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4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4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4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4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4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4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4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4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4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4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4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4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4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4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4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4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4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4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4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4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4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4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4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4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4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4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4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4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4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4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4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4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4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4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4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4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4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4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4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4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4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4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4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4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4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4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4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4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4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4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4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4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4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4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4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4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4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4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4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4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4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4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4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4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4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4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4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4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4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4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4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4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4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4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4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4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4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4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4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4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4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4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4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4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4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4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4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4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4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4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4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4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4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4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4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4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4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4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4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4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4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4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4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4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4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4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4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4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4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4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4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4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4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4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4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4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4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4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4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4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4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4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4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4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4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4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4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4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4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4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4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4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4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4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4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4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4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4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4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4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4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4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4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4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4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4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4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4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4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4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4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4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4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4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4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4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4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4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4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4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4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4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4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4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4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4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4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4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4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4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4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4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4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4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4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4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4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4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4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4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4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4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4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4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4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4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4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4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4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4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4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4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4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4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4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4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4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4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4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4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4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4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4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4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4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4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4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4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4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4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4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4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4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4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4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4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4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4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4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4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4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4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4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4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4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4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4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4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4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4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4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4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4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4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4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4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4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4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4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4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4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4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4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4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4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4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4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4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4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4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4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4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4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4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4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4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4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4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4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4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4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4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4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4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4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4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4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4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4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4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4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4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4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4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4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4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4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4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4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4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4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4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4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4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4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4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4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4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4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4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4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4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4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4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4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4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4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4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4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4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4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4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4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4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4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4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4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4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4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4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4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4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4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4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4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4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4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4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4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4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4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4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4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4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4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4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4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4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4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4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4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4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4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4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4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4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4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4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4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4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4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4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4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4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4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4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4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4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4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4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4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4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4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4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4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4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4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4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4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4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4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4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4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4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4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4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4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4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4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4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4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4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4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4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4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4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4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4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4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4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4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4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4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4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4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4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4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4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4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4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4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4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4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4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4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4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4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4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4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4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4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4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4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4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4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4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4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4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4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4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4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4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4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4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4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4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4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4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4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4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4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4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4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4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4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4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4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4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4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4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4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4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4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4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4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4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4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4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4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4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4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4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4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4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4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4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4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4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4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4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4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4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4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4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4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4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4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4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4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4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4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4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4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4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4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4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4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4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4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4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4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4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4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4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4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4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4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4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4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4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4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4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4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4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4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4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4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4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4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4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4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4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4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4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4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4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4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4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4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4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4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4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4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4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4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4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4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4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4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4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4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4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4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4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4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4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4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4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4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4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4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4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4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4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4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4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4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4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4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4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4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4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4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4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4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4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4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4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4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4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4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4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4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4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4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4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4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4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4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4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4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4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4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4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4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4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4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4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4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4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4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4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4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4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4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4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4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4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4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4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4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4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4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4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4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4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4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4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4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4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4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4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4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4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4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4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4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4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4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4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4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4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4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4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4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4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4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4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4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4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4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4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4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4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4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4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4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4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4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4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4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4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4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4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4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4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4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4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4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4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4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4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4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4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4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4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4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4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4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4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4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4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4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4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4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4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4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4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4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4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4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4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4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4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4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4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4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4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4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4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4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4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4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4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4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4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4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4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4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4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4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4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4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4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4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4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4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4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4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4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4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4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4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4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4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4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4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4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4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4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4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4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4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4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4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4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4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4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4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4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4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4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4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4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4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4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4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4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4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4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4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4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4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4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4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4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4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4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4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4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4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4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4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4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4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4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4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4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4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4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4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4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4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4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4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4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4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4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4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4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4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4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4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4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4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4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4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4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4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4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4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4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4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4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4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4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4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4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4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4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4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4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4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4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4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4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4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4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4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4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4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4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4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4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4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4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4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4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4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4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4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4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4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4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4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4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4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4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4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4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4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4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4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4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4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4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4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4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4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4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4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4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4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4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4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4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4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4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4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4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4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4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4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4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4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4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4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4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4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4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4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4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4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4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4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4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4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4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4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4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4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4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4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4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4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4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4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4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4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4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4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4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4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4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4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4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4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4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4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4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4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4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4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4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4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4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4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4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4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4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4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4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4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4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4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4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4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4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4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4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4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4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4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4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4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4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4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4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4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4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4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4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4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4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4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4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4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4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4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4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4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4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4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4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4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4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4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4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4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4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4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4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4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4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4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4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4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4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4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4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4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4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4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4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4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4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4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4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4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4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4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4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4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4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4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4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4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4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4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4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4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4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4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4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4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4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4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4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4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4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4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4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4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4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4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4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4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4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4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4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4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4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4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4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4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4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4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4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4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4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4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4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4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4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4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4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4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4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4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4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4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4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4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4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4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4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4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4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4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4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4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4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4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4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4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4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4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4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4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4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4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4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4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4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4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4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4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4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4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4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4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4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4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4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4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4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4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4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4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4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4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4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4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4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4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4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4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4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4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4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4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4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4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4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4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4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4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4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4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4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4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4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4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4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4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4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4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4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4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4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4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4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4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4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4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4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4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4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4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4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4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4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4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4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4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4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4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4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4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4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4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4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4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4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4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4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4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4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4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4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4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4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4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4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4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4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4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4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4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4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4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4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4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4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4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4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4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4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4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4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4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4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4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4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4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4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4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4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4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4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4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4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4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4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4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4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4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4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4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4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4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4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4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4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4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4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4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4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4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4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4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4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4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4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4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4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4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4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4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4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4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4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4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4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4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4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4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4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4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4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4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4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4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4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4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4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4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4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4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4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4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4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4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4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4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4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4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4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4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4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4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4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4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4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4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4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4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4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4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4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4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4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4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4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4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4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4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4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4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4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4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4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4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4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4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4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4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4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4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4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4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4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4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4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4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4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4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4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4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4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4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4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4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4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4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4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4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4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4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4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4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4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4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4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4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4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4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4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4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4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4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4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4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4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4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4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4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4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4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4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4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4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4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4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4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4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4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4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4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4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4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4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4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4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4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4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4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4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4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4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4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4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4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4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4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4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4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4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4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4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4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4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4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4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4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4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4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4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4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4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4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4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4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4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4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4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4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4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4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4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4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4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4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4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4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4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4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4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4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4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4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4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4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4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4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4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4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4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4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4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4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4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4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4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4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4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4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4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4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4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4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4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4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4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4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4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4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4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4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4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4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4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4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4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4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4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4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4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4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4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4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4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4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4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4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4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4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4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4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4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4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4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4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4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4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4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4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4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4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4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4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4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4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4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4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4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4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4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4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4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4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4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4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4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4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4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4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4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4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4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4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4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4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4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4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4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4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4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4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4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4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4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4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4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4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4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4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4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4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4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4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4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4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4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4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4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4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4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4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4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4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4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4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4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4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4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4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4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4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4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4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4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4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4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4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4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4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4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4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4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4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4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4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4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4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4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4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4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4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4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4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4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4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4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4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4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4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4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4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4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4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4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4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4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4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4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4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4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4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4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4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4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4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4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4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4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4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4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4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4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4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4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4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4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4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4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4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4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4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4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4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4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4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4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4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4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4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4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4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4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4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4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4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4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4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4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4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4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4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4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4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4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4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4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4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4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4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4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4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4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4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4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4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4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4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4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4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4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4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4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4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4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4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4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4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4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4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4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4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4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4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4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4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4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4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4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4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4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4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4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4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4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4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4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4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4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4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4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4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4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4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4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4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4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4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4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4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4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4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4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4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4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4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4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4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4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4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4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4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4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4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4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4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4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4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4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4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4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4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4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4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4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4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4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4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4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4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4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4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4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4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4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4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4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4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4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4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4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4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4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4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4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4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4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4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4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4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4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4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4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4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4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4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4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4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4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4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4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4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4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4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4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4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4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4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4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4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4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4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4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4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4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4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4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4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4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4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4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4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4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4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4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4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4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4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4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4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4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4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4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4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4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4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4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4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4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4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4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4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4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4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4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4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4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4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4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4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4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4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4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4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4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4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4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4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4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4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4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4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4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4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4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4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4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4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4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4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4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4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4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4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4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4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4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4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4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4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4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4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4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4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4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4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4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4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4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4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4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4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4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4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4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4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4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4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4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4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4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4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4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4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4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4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4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4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4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4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4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4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4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4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4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4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4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4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4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4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4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4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4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4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4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4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4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4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4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4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4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4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4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4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4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4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4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4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4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4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4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4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4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4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4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4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4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4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4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4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4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4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4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4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4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4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4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4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4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4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4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4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4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4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4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4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4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4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4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4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4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4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4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4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4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4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4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4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4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4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4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4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4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4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4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4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4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4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4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4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4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4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4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4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4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4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4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4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4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4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4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4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4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4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4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4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4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4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4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4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4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4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4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4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4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4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4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4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4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4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4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4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4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4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4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4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4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4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4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4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4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4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4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4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4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4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4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4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4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4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4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4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4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4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4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4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4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4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4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4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4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4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4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4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4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4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4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4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4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4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4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4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4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4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4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4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4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4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4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4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4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4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4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4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4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4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4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4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4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4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4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4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4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4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4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4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4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4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4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4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4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4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4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4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4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4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4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4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4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4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4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4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4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4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4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4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4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4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4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4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4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4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4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4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4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4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4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4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4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4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4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4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4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4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4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4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4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4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4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4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4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4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4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4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4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4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4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4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4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4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4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4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4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4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4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4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4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4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4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4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4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4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4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4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4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4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4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4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4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4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4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4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4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4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4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4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4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4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4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4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4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4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4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4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4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4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4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4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4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4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4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4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4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4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4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4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4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4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4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4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4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4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4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4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4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4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4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4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4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4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4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4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4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4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4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4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4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4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4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4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4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4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4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4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4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4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4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4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4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4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4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4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4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4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4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4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4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4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4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4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4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4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4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4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4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4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4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4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4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4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4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4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4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4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4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4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4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4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4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4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4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4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4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4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4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4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4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4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4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4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4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4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4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4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4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4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4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4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4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4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4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4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4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4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4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4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4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4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4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4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4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4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4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4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4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4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4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4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4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4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4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4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4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4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4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4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4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4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4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4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4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4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4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4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4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4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4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4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4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4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4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4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4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4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4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4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4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4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4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4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4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4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4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4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4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4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4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4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4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4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4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4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4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4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4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4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4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4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4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4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4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4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4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4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4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4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4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4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4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4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4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4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4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4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4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4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4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4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4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4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4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4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4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4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4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4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4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4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4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4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4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4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4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4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4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4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4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4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4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4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4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4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4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4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4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4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4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4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4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4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4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4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4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4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4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4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4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4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4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4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4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4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4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4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4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4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4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4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4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4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4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4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4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4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4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4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4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4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4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4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4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4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4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4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4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4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4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4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4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4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4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4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4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4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4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4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4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4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4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4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4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4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4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4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4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4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4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4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4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4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4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4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4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4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4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4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4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4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4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4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4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4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4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4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4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4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4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4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4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4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4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4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4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4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4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4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4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4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4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4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4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4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4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4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4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4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4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4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4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4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4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4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4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4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4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4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4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4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4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4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4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4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4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4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4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4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4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4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4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4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4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4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4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4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4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4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4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4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4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4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4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4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4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4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4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4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4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4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4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4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4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4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4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4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4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4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4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4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4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4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4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4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4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4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4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4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4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4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4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4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4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4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4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4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4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4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4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4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4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4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4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4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4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4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4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4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4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4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4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4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4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4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4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4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4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4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4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4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4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4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4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4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4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4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4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4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4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4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4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4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4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4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4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4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4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4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4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4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4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4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4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4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4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4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4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4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4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4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4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4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4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4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4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4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4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4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4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4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4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4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4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4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4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4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4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4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4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4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4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4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4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4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4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4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4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4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4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4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4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4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4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4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4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4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4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4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4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4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4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4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4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4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4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4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4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4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4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4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4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4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4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4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4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4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4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4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4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4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4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4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4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4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4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4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4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4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4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4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4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4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4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4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4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4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4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4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4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4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4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4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4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4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4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4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4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4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4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4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4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4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4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4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4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4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4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4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4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4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4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4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4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4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4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4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4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4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4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4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4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4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4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4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4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4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4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4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4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4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4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4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4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4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4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4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4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4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4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4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4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4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4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4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4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4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4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4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4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4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4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4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4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4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4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4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4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4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4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4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4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4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4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4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4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4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4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4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4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4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4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4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4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4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4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4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4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4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4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4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4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4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4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4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4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4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4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4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4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4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4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4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4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4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4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4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4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4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4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4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4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4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4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4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4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4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4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4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4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4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4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4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4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4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4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4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4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4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4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4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4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4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4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4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4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4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4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4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4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4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4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4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4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4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4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4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4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4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4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4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4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4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4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4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4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4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4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4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4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4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4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4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4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4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4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4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4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4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4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4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4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4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4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4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4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4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4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4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4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4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4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4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4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4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4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4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4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4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4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4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4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4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4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4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4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4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4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4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4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4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4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4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4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4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4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4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4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4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4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4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4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4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4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4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4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4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4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4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4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4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4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4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4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4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4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4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4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4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4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4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4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4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4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4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4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4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4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4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4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4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4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4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4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4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4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4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4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4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4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4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4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4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4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4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4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4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4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4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4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4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4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4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4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4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4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4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4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4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4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4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4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4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4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4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4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4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4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4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4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4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4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4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4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4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4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4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4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4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4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4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4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4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4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4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4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4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4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4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4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4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4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4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4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4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4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4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4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4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4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4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4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4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4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4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4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4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4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4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4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4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4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4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4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4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4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4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4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4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4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4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4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4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4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4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4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4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4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4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4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4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4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4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4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4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4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4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4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4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4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4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4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4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4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4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4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4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4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4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4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4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4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4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4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4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4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4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4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4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4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4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4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4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4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4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4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4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4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4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4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4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4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4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4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4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4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4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4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4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4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4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4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4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4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4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4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4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4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4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4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4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4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4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4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4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4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4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4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4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4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4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4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4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4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4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4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4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4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4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4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4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4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4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4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4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4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4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4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4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4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4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4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4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4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4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4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4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4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4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4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4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4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4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4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4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4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4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4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4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4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4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4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4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4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4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4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4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4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4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4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4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4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4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4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4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4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4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4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4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4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4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4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4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4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4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4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4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4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4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4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4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4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4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4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4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4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4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4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4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4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4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4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4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4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4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4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4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4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4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4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4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4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4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4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4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4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4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4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4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4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4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4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4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4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4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4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4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4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4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4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4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4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4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4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4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4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4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4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4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4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4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4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4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4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4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4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4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4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4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4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4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4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4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4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4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4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4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4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4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4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4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4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4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4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4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4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4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4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4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4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4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4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4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4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4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4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4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4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4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4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4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4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4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4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4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4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4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4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4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4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4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4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4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4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4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4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4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4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4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4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4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4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4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4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4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4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4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4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4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4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4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4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4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4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4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4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4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4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4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4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4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4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4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4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4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4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4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4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4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4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4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4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4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4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4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4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4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4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4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4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4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4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4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4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4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4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4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4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4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4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4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4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4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4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4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4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4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4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4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4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4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4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4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4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4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4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4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4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4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4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4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4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4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4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4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4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4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4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4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4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4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4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4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4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4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4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4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4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4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4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4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4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4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4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4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4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4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4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4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4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4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4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4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4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4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4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4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4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4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4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4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4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4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4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4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4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4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4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4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4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4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4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4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4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4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4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4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4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4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4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4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4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4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4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4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4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4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4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4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4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4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4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4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4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4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4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4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4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4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4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4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4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4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4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4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4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4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4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4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4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4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4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4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4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4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4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4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4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4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4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4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4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4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4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4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4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4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4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4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4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4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4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4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4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4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4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4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4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4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4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4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4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4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4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4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4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4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4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4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4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4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4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4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4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4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4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4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4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4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4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4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4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4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4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4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4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4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4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4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4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4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4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4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4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4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4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4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4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4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4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4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4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4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4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4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4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4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4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4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4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4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4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4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4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4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4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4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4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4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4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4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4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4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4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4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4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4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4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4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4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4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4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4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4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4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4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4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4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4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4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4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4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4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4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4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4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4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4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4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4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4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4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4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4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4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4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4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4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4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4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4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4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4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4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4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4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4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4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4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4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4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4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4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4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4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4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4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4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4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4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4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4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4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4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4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4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4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4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4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4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4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4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4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4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4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4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4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4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4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4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4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4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4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4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4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4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4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4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4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4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4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4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4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4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4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4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4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4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4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4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4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4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4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4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4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4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4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4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4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4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4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4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4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4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4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4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4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4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4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4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4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4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4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4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4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4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4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45">
      <c r="A5714" s="19" t="s">
        <v>11</v>
      </c>
      <c r="B5714" s="19" t="s">
        <v>6</v>
      </c>
      <c r="C5714">
        <v>1</v>
      </c>
      <c r="D5714">
        <v>4</v>
      </c>
      <c r="E5714">
        <v>1</v>
      </c>
      <c r="F5714" s="15">
        <v>46251</v>
      </c>
      <c r="G5714" s="19" t="s">
        <v>686</v>
      </c>
      <c r="H5714">
        <v>4</v>
      </c>
      <c r="I5714">
        <v>2026</v>
      </c>
      <c r="J5714">
        <v>8</v>
      </c>
      <c r="K5714" s="19" t="s">
        <v>87</v>
      </c>
      <c r="L5714" s="19" t="s">
        <v>404</v>
      </c>
      <c r="M5714" s="19" t="s">
        <v>6</v>
      </c>
      <c r="N5714" t="b">
        <v>0</v>
      </c>
      <c r="O5714">
        <v>0</v>
      </c>
      <c r="P5714">
        <v>1</v>
      </c>
      <c r="Q5714">
        <v>0</v>
      </c>
      <c r="R5714">
        <v>0</v>
      </c>
    </row>
    <row r="5715" spans="1:18" x14ac:dyDescent="0.4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4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45">
      <c r="A5717" s="19" t="s">
        <v>404</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45">
      <c r="A5718" s="19" t="s">
        <v>404</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45">
      <c r="A5719" s="19" t="s">
        <v>404</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4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45">
      <c r="A5721" s="19" t="s">
        <v>27</v>
      </c>
      <c r="B5721" s="19" t="s">
        <v>8</v>
      </c>
      <c r="C5721">
        <v>3</v>
      </c>
      <c r="D5721">
        <v>4</v>
      </c>
      <c r="E5721">
        <v>1</v>
      </c>
      <c r="F5721" s="15">
        <v>46251</v>
      </c>
      <c r="G5721" s="19" t="s">
        <v>686</v>
      </c>
      <c r="H5721">
        <v>4</v>
      </c>
      <c r="I5721">
        <v>2026</v>
      </c>
      <c r="J5721">
        <v>8</v>
      </c>
      <c r="K5721" s="19" t="s">
        <v>87</v>
      </c>
      <c r="L5721" s="19" t="s">
        <v>404</v>
      </c>
      <c r="M5721" s="19" t="s">
        <v>6</v>
      </c>
      <c r="N5721" t="b">
        <v>0</v>
      </c>
      <c r="O5721">
        <v>1</v>
      </c>
      <c r="P5721">
        <v>0</v>
      </c>
      <c r="Q5721">
        <v>0</v>
      </c>
      <c r="R5721">
        <v>0</v>
      </c>
    </row>
    <row r="5722" spans="1:18" x14ac:dyDescent="0.4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4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45">
      <c r="A5724" s="19" t="s">
        <v>14</v>
      </c>
      <c r="B5724" s="19" t="s">
        <v>6</v>
      </c>
      <c r="C5724">
        <v>4</v>
      </c>
      <c r="D5724">
        <v>4</v>
      </c>
      <c r="E5724">
        <v>1</v>
      </c>
      <c r="F5724" s="15">
        <v>46251</v>
      </c>
      <c r="G5724" s="19" t="s">
        <v>686</v>
      </c>
      <c r="H5724">
        <v>4</v>
      </c>
      <c r="I5724">
        <v>2026</v>
      </c>
      <c r="J5724">
        <v>8</v>
      </c>
      <c r="K5724" s="19" t="s">
        <v>87</v>
      </c>
      <c r="L5724" s="19" t="s">
        <v>404</v>
      </c>
      <c r="M5724" s="19" t="s">
        <v>6</v>
      </c>
      <c r="N5724" t="b">
        <v>0</v>
      </c>
      <c r="O5724">
        <v>0</v>
      </c>
      <c r="P5724">
        <v>1</v>
      </c>
      <c r="Q5724">
        <v>0</v>
      </c>
      <c r="R5724">
        <v>0</v>
      </c>
    </row>
    <row r="5725" spans="1:18" x14ac:dyDescent="0.4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4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4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4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4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4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4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4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4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4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4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4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4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4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4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4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4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4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4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4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4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4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4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4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4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4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4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4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4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4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4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4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4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4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4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4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4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4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4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4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4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4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4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4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4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4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4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4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4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4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4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4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4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4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4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45">
      <c r="A5780" s="19" t="s">
        <v>351</v>
      </c>
      <c r="B5780" s="19" t="s">
        <v>63</v>
      </c>
      <c r="C5780">
        <v>1</v>
      </c>
      <c r="D5780">
        <v>1</v>
      </c>
      <c r="E5780">
        <v>1</v>
      </c>
      <c r="F5780" s="15">
        <v>46258</v>
      </c>
      <c r="G5780" s="19" t="s">
        <v>694</v>
      </c>
      <c r="H5780">
        <v>4</v>
      </c>
      <c r="I5780">
        <v>2026</v>
      </c>
      <c r="J5780">
        <v>8</v>
      </c>
      <c r="K5780" s="19" t="s">
        <v>87</v>
      </c>
      <c r="L5780" s="19" t="s">
        <v>14</v>
      </c>
      <c r="M5780" s="19" t="s">
        <v>63</v>
      </c>
      <c r="N5780" t="b">
        <v>0</v>
      </c>
      <c r="O5780">
        <v>0</v>
      </c>
      <c r="P5780">
        <v>0</v>
      </c>
      <c r="Q5780">
        <v>1</v>
      </c>
      <c r="R5780">
        <v>0</v>
      </c>
    </row>
    <row r="5781" spans="1:18" x14ac:dyDescent="0.45">
      <c r="A5781" s="19" t="s">
        <v>351</v>
      </c>
      <c r="B5781" s="19" t="s">
        <v>63</v>
      </c>
      <c r="C5781">
        <v>1</v>
      </c>
      <c r="D5781">
        <v>1</v>
      </c>
      <c r="E5781">
        <v>1</v>
      </c>
      <c r="F5781" s="15">
        <v>46258</v>
      </c>
      <c r="G5781" s="19" t="s">
        <v>694</v>
      </c>
      <c r="H5781">
        <v>4</v>
      </c>
      <c r="I5781">
        <v>2026</v>
      </c>
      <c r="J5781">
        <v>8</v>
      </c>
      <c r="K5781" s="19" t="s">
        <v>87</v>
      </c>
      <c r="L5781" s="19" t="s">
        <v>405</v>
      </c>
      <c r="M5781" s="19" t="s">
        <v>63</v>
      </c>
      <c r="N5781" t="b">
        <v>0</v>
      </c>
      <c r="O5781">
        <v>0</v>
      </c>
      <c r="P5781">
        <v>0</v>
      </c>
      <c r="Q5781">
        <v>1</v>
      </c>
      <c r="R5781">
        <v>0</v>
      </c>
    </row>
    <row r="5782" spans="1:18" x14ac:dyDescent="0.45">
      <c r="A5782" s="19" t="s">
        <v>351</v>
      </c>
      <c r="B5782" s="19" t="s">
        <v>63</v>
      </c>
      <c r="C5782">
        <v>1</v>
      </c>
      <c r="D5782">
        <v>1</v>
      </c>
      <c r="E5782">
        <v>1</v>
      </c>
      <c r="F5782" s="15">
        <v>46258</v>
      </c>
      <c r="G5782" s="19" t="s">
        <v>694</v>
      </c>
      <c r="H5782">
        <v>4</v>
      </c>
      <c r="I5782">
        <v>2026</v>
      </c>
      <c r="J5782">
        <v>8</v>
      </c>
      <c r="K5782" s="19" t="s">
        <v>87</v>
      </c>
      <c r="L5782" s="19" t="s">
        <v>9</v>
      </c>
      <c r="M5782" s="19" t="s">
        <v>63</v>
      </c>
      <c r="N5782" t="b">
        <v>0</v>
      </c>
      <c r="O5782">
        <v>0</v>
      </c>
      <c r="P5782">
        <v>0</v>
      </c>
      <c r="Q5782">
        <v>1</v>
      </c>
      <c r="R5782">
        <v>0</v>
      </c>
    </row>
    <row r="5783" spans="1:18" x14ac:dyDescent="0.45">
      <c r="A5783" s="19" t="s">
        <v>14</v>
      </c>
      <c r="B5783" s="19" t="s">
        <v>63</v>
      </c>
      <c r="C5783">
        <v>2</v>
      </c>
      <c r="D5783">
        <v>1</v>
      </c>
      <c r="E5783">
        <v>1</v>
      </c>
      <c r="F5783" s="15">
        <v>46258</v>
      </c>
      <c r="G5783" s="19" t="s">
        <v>694</v>
      </c>
      <c r="H5783">
        <v>4</v>
      </c>
      <c r="I5783">
        <v>2026</v>
      </c>
      <c r="J5783">
        <v>8</v>
      </c>
      <c r="K5783" s="19" t="s">
        <v>87</v>
      </c>
      <c r="L5783" s="19" t="s">
        <v>351</v>
      </c>
      <c r="M5783" s="19" t="s">
        <v>63</v>
      </c>
      <c r="N5783" t="b">
        <v>0</v>
      </c>
      <c r="O5783">
        <v>0</v>
      </c>
      <c r="P5783">
        <v>0</v>
      </c>
      <c r="Q5783">
        <v>1</v>
      </c>
      <c r="R5783">
        <v>0</v>
      </c>
    </row>
    <row r="5784" spans="1:18" x14ac:dyDescent="0.45">
      <c r="A5784" s="19" t="s">
        <v>14</v>
      </c>
      <c r="B5784" s="19" t="s">
        <v>63</v>
      </c>
      <c r="C5784">
        <v>2</v>
      </c>
      <c r="D5784">
        <v>1</v>
      </c>
      <c r="E5784">
        <v>1</v>
      </c>
      <c r="F5784" s="15">
        <v>46258</v>
      </c>
      <c r="G5784" s="19" t="s">
        <v>694</v>
      </c>
      <c r="H5784">
        <v>4</v>
      </c>
      <c r="I5784">
        <v>2026</v>
      </c>
      <c r="J5784">
        <v>8</v>
      </c>
      <c r="K5784" s="19" t="s">
        <v>87</v>
      </c>
      <c r="L5784" s="19" t="s">
        <v>405</v>
      </c>
      <c r="M5784" s="19" t="s">
        <v>63</v>
      </c>
      <c r="N5784" t="b">
        <v>0</v>
      </c>
      <c r="O5784">
        <v>0</v>
      </c>
      <c r="P5784">
        <v>0</v>
      </c>
      <c r="Q5784">
        <v>1</v>
      </c>
      <c r="R5784">
        <v>0</v>
      </c>
    </row>
    <row r="5785" spans="1:18" x14ac:dyDescent="0.45">
      <c r="A5785" s="19" t="s">
        <v>14</v>
      </c>
      <c r="B5785" s="19" t="s">
        <v>63</v>
      </c>
      <c r="C5785">
        <v>2</v>
      </c>
      <c r="D5785">
        <v>1</v>
      </c>
      <c r="E5785">
        <v>1</v>
      </c>
      <c r="F5785" s="15">
        <v>46258</v>
      </c>
      <c r="G5785" s="19" t="s">
        <v>694</v>
      </c>
      <c r="H5785">
        <v>4</v>
      </c>
      <c r="I5785">
        <v>2026</v>
      </c>
      <c r="J5785">
        <v>8</v>
      </c>
      <c r="K5785" s="19" t="s">
        <v>87</v>
      </c>
      <c r="L5785" s="19" t="s">
        <v>9</v>
      </c>
      <c r="M5785" s="19" t="s">
        <v>63</v>
      </c>
      <c r="N5785" t="b">
        <v>0</v>
      </c>
      <c r="O5785">
        <v>0</v>
      </c>
      <c r="P5785">
        <v>0</v>
      </c>
      <c r="Q5785">
        <v>1</v>
      </c>
      <c r="R5785">
        <v>0</v>
      </c>
    </row>
    <row r="5786" spans="1:18" x14ac:dyDescent="0.45">
      <c r="A5786" s="19" t="s">
        <v>405</v>
      </c>
      <c r="B5786" s="19" t="s">
        <v>63</v>
      </c>
      <c r="C5786">
        <v>3</v>
      </c>
      <c r="D5786">
        <v>1</v>
      </c>
      <c r="E5786">
        <v>1</v>
      </c>
      <c r="F5786" s="15">
        <v>46258</v>
      </c>
      <c r="G5786" s="19" t="s">
        <v>694</v>
      </c>
      <c r="H5786">
        <v>4</v>
      </c>
      <c r="I5786">
        <v>2026</v>
      </c>
      <c r="J5786">
        <v>8</v>
      </c>
      <c r="K5786" s="19" t="s">
        <v>87</v>
      </c>
      <c r="L5786" s="19" t="s">
        <v>351</v>
      </c>
      <c r="M5786" s="19" t="s">
        <v>63</v>
      </c>
      <c r="N5786" t="b">
        <v>0</v>
      </c>
      <c r="O5786">
        <v>0</v>
      </c>
      <c r="P5786">
        <v>0</v>
      </c>
      <c r="Q5786">
        <v>1</v>
      </c>
      <c r="R5786">
        <v>0</v>
      </c>
    </row>
    <row r="5787" spans="1:18" x14ac:dyDescent="0.45">
      <c r="A5787" s="19" t="s">
        <v>405</v>
      </c>
      <c r="B5787" s="19" t="s">
        <v>63</v>
      </c>
      <c r="C5787">
        <v>3</v>
      </c>
      <c r="D5787">
        <v>1</v>
      </c>
      <c r="E5787">
        <v>1</v>
      </c>
      <c r="F5787" s="15">
        <v>46258</v>
      </c>
      <c r="G5787" s="19" t="s">
        <v>694</v>
      </c>
      <c r="H5787">
        <v>4</v>
      </c>
      <c r="I5787">
        <v>2026</v>
      </c>
      <c r="J5787">
        <v>8</v>
      </c>
      <c r="K5787" s="19" t="s">
        <v>87</v>
      </c>
      <c r="L5787" s="19" t="s">
        <v>14</v>
      </c>
      <c r="M5787" s="19" t="s">
        <v>63</v>
      </c>
      <c r="N5787" t="b">
        <v>0</v>
      </c>
      <c r="O5787">
        <v>0</v>
      </c>
      <c r="P5787">
        <v>0</v>
      </c>
      <c r="Q5787">
        <v>1</v>
      </c>
      <c r="R5787">
        <v>0</v>
      </c>
    </row>
    <row r="5788" spans="1:18" x14ac:dyDescent="0.45">
      <c r="A5788" s="19" t="s">
        <v>405</v>
      </c>
      <c r="B5788" s="19" t="s">
        <v>63</v>
      </c>
      <c r="C5788">
        <v>3</v>
      </c>
      <c r="D5788">
        <v>1</v>
      </c>
      <c r="E5788">
        <v>1</v>
      </c>
      <c r="F5788" s="15">
        <v>46258</v>
      </c>
      <c r="G5788" s="19" t="s">
        <v>694</v>
      </c>
      <c r="H5788">
        <v>4</v>
      </c>
      <c r="I5788">
        <v>2026</v>
      </c>
      <c r="J5788">
        <v>8</v>
      </c>
      <c r="K5788" s="19" t="s">
        <v>87</v>
      </c>
      <c r="L5788" s="19" t="s">
        <v>9</v>
      </c>
      <c r="M5788" s="19" t="s">
        <v>63</v>
      </c>
      <c r="N5788" t="b">
        <v>0</v>
      </c>
      <c r="O5788">
        <v>0</v>
      </c>
      <c r="P5788">
        <v>0</v>
      </c>
      <c r="Q5788">
        <v>1</v>
      </c>
      <c r="R5788">
        <v>0</v>
      </c>
    </row>
    <row r="5789" spans="1:18" x14ac:dyDescent="0.45">
      <c r="A5789" s="19" t="s">
        <v>9</v>
      </c>
      <c r="B5789" s="19" t="s">
        <v>63</v>
      </c>
      <c r="C5789">
        <v>4</v>
      </c>
      <c r="D5789">
        <v>1</v>
      </c>
      <c r="E5789">
        <v>1</v>
      </c>
      <c r="F5789" s="15">
        <v>46258</v>
      </c>
      <c r="G5789" s="19" t="s">
        <v>694</v>
      </c>
      <c r="H5789">
        <v>4</v>
      </c>
      <c r="I5789">
        <v>2026</v>
      </c>
      <c r="J5789">
        <v>8</v>
      </c>
      <c r="K5789" s="19" t="s">
        <v>87</v>
      </c>
      <c r="L5789" s="19" t="s">
        <v>351</v>
      </c>
      <c r="M5789" s="19" t="s">
        <v>63</v>
      </c>
      <c r="N5789" t="b">
        <v>0</v>
      </c>
      <c r="O5789">
        <v>0</v>
      </c>
      <c r="P5789">
        <v>0</v>
      </c>
      <c r="Q5789">
        <v>1</v>
      </c>
      <c r="R5789">
        <v>0</v>
      </c>
    </row>
    <row r="5790" spans="1:18" x14ac:dyDescent="0.45">
      <c r="A5790" s="19" t="s">
        <v>9</v>
      </c>
      <c r="B5790" s="19" t="s">
        <v>63</v>
      </c>
      <c r="C5790">
        <v>4</v>
      </c>
      <c r="D5790">
        <v>1</v>
      </c>
      <c r="E5790">
        <v>1</v>
      </c>
      <c r="F5790" s="15">
        <v>46258</v>
      </c>
      <c r="G5790" s="19" t="s">
        <v>694</v>
      </c>
      <c r="H5790">
        <v>4</v>
      </c>
      <c r="I5790">
        <v>2026</v>
      </c>
      <c r="J5790">
        <v>8</v>
      </c>
      <c r="K5790" s="19" t="s">
        <v>87</v>
      </c>
      <c r="L5790" s="19" t="s">
        <v>14</v>
      </c>
      <c r="M5790" s="19" t="s">
        <v>63</v>
      </c>
      <c r="N5790" t="b">
        <v>0</v>
      </c>
      <c r="O5790">
        <v>0</v>
      </c>
      <c r="P5790">
        <v>0</v>
      </c>
      <c r="Q5790">
        <v>1</v>
      </c>
      <c r="R5790">
        <v>0</v>
      </c>
    </row>
    <row r="5791" spans="1:18" x14ac:dyDescent="0.45">
      <c r="A5791" s="19" t="s">
        <v>9</v>
      </c>
      <c r="B5791" s="19" t="s">
        <v>63</v>
      </c>
      <c r="C5791">
        <v>4</v>
      </c>
      <c r="D5791">
        <v>1</v>
      </c>
      <c r="E5791">
        <v>1</v>
      </c>
      <c r="F5791" s="15">
        <v>46258</v>
      </c>
      <c r="G5791" s="19" t="s">
        <v>694</v>
      </c>
      <c r="H5791">
        <v>4</v>
      </c>
      <c r="I5791">
        <v>2026</v>
      </c>
      <c r="J5791">
        <v>8</v>
      </c>
      <c r="K5791" s="19" t="s">
        <v>87</v>
      </c>
      <c r="L5791" s="19" t="s">
        <v>405</v>
      </c>
      <c r="M5791" s="19" t="s">
        <v>63</v>
      </c>
      <c r="N5791" t="b">
        <v>0</v>
      </c>
      <c r="O5791">
        <v>0</v>
      </c>
      <c r="P5791">
        <v>0</v>
      </c>
      <c r="Q5791">
        <v>1</v>
      </c>
      <c r="R5791">
        <v>0</v>
      </c>
    </row>
    <row r="5792" spans="1:18" x14ac:dyDescent="0.45">
      <c r="A5792" s="19" t="s">
        <v>325</v>
      </c>
      <c r="B5792" s="19" t="s">
        <v>63</v>
      </c>
      <c r="C5792">
        <v>1</v>
      </c>
      <c r="D5792">
        <v>2</v>
      </c>
      <c r="E5792">
        <v>1</v>
      </c>
      <c r="F5792" s="15">
        <v>46258</v>
      </c>
      <c r="G5792" s="19" t="s">
        <v>695</v>
      </c>
      <c r="H5792">
        <v>3</v>
      </c>
      <c r="I5792">
        <v>2026</v>
      </c>
      <c r="J5792">
        <v>8</v>
      </c>
      <c r="K5792" s="19" t="s">
        <v>87</v>
      </c>
      <c r="L5792" s="19" t="s">
        <v>13</v>
      </c>
      <c r="M5792" s="19" t="s">
        <v>63</v>
      </c>
      <c r="N5792" t="b">
        <v>0</v>
      </c>
      <c r="O5792">
        <v>0</v>
      </c>
      <c r="P5792">
        <v>0</v>
      </c>
      <c r="Q5792">
        <v>1</v>
      </c>
      <c r="R5792">
        <v>0</v>
      </c>
    </row>
    <row r="5793" spans="1:18" x14ac:dyDescent="0.45">
      <c r="A5793" s="19" t="s">
        <v>325</v>
      </c>
      <c r="B5793" s="19" t="s">
        <v>63</v>
      </c>
      <c r="C5793">
        <v>1</v>
      </c>
      <c r="D5793">
        <v>2</v>
      </c>
      <c r="E5793">
        <v>1</v>
      </c>
      <c r="F5793" s="15">
        <v>46258</v>
      </c>
      <c r="G5793" s="19" t="s">
        <v>695</v>
      </c>
      <c r="H5793">
        <v>3</v>
      </c>
      <c r="I5793">
        <v>2026</v>
      </c>
      <c r="J5793">
        <v>8</v>
      </c>
      <c r="K5793" s="19" t="s">
        <v>87</v>
      </c>
      <c r="L5793" s="19" t="s">
        <v>578</v>
      </c>
      <c r="M5793" s="19" t="s">
        <v>63</v>
      </c>
      <c r="N5793" t="b">
        <v>0</v>
      </c>
      <c r="O5793">
        <v>0</v>
      </c>
      <c r="P5793">
        <v>0</v>
      </c>
      <c r="Q5793">
        <v>1</v>
      </c>
      <c r="R5793">
        <v>0</v>
      </c>
    </row>
    <row r="5794" spans="1:18" x14ac:dyDescent="0.45">
      <c r="A5794" s="19" t="s">
        <v>13</v>
      </c>
      <c r="B5794" s="19" t="s">
        <v>63</v>
      </c>
      <c r="C5794">
        <v>2</v>
      </c>
      <c r="D5794">
        <v>2</v>
      </c>
      <c r="E5794">
        <v>1</v>
      </c>
      <c r="F5794" s="15">
        <v>46258</v>
      </c>
      <c r="G5794" s="19" t="s">
        <v>695</v>
      </c>
      <c r="H5794">
        <v>3</v>
      </c>
      <c r="I5794">
        <v>2026</v>
      </c>
      <c r="J5794">
        <v>8</v>
      </c>
      <c r="K5794" s="19" t="s">
        <v>87</v>
      </c>
      <c r="L5794" s="19" t="s">
        <v>325</v>
      </c>
      <c r="M5794" s="19" t="s">
        <v>63</v>
      </c>
      <c r="N5794" t="b">
        <v>0</v>
      </c>
      <c r="O5794">
        <v>0</v>
      </c>
      <c r="P5794">
        <v>0</v>
      </c>
      <c r="Q5794">
        <v>1</v>
      </c>
      <c r="R5794">
        <v>0</v>
      </c>
    </row>
    <row r="5795" spans="1:18" x14ac:dyDescent="0.45">
      <c r="A5795" s="19" t="s">
        <v>13</v>
      </c>
      <c r="B5795" s="19" t="s">
        <v>63</v>
      </c>
      <c r="C5795">
        <v>2</v>
      </c>
      <c r="D5795">
        <v>2</v>
      </c>
      <c r="E5795">
        <v>1</v>
      </c>
      <c r="F5795" s="15">
        <v>46258</v>
      </c>
      <c r="G5795" s="19" t="s">
        <v>695</v>
      </c>
      <c r="H5795">
        <v>3</v>
      </c>
      <c r="I5795">
        <v>2026</v>
      </c>
      <c r="J5795">
        <v>8</v>
      </c>
      <c r="K5795" s="19" t="s">
        <v>87</v>
      </c>
      <c r="L5795" s="19" t="s">
        <v>578</v>
      </c>
      <c r="M5795" s="19" t="s">
        <v>63</v>
      </c>
      <c r="N5795" t="b">
        <v>0</v>
      </c>
      <c r="O5795">
        <v>0</v>
      </c>
      <c r="P5795">
        <v>0</v>
      </c>
      <c r="Q5795">
        <v>1</v>
      </c>
      <c r="R5795">
        <v>0</v>
      </c>
    </row>
    <row r="5796" spans="1:18" x14ac:dyDescent="0.45">
      <c r="A5796" s="19" t="s">
        <v>578</v>
      </c>
      <c r="B5796" s="19" t="s">
        <v>63</v>
      </c>
      <c r="C5796">
        <v>3</v>
      </c>
      <c r="D5796">
        <v>2</v>
      </c>
      <c r="E5796">
        <v>1</v>
      </c>
      <c r="F5796" s="15">
        <v>46258</v>
      </c>
      <c r="G5796" s="19" t="s">
        <v>695</v>
      </c>
      <c r="H5796">
        <v>3</v>
      </c>
      <c r="I5796">
        <v>2026</v>
      </c>
      <c r="J5796">
        <v>8</v>
      </c>
      <c r="K5796" s="19" t="s">
        <v>87</v>
      </c>
      <c r="L5796" s="19" t="s">
        <v>325</v>
      </c>
      <c r="M5796" s="19" t="s">
        <v>63</v>
      </c>
      <c r="N5796" t="b">
        <v>0</v>
      </c>
      <c r="O5796">
        <v>0</v>
      </c>
      <c r="P5796">
        <v>0</v>
      </c>
      <c r="Q5796">
        <v>1</v>
      </c>
      <c r="R5796">
        <v>0</v>
      </c>
    </row>
    <row r="5797" spans="1:18" x14ac:dyDescent="0.45">
      <c r="A5797" s="19" t="s">
        <v>578</v>
      </c>
      <c r="B5797" s="19" t="s">
        <v>63</v>
      </c>
      <c r="C5797">
        <v>3</v>
      </c>
      <c r="D5797">
        <v>2</v>
      </c>
      <c r="E5797">
        <v>1</v>
      </c>
      <c r="F5797" s="15">
        <v>46258</v>
      </c>
      <c r="G5797" s="19" t="s">
        <v>695</v>
      </c>
      <c r="H5797">
        <v>3</v>
      </c>
      <c r="I5797">
        <v>2026</v>
      </c>
      <c r="J5797">
        <v>8</v>
      </c>
      <c r="K5797" s="19" t="s">
        <v>87</v>
      </c>
      <c r="L5797" s="19" t="s">
        <v>13</v>
      </c>
      <c r="M5797" s="19" t="s">
        <v>63</v>
      </c>
      <c r="N5797" t="b">
        <v>0</v>
      </c>
      <c r="O5797">
        <v>0</v>
      </c>
      <c r="P5797">
        <v>0</v>
      </c>
      <c r="Q5797">
        <v>1</v>
      </c>
      <c r="R5797">
        <v>0</v>
      </c>
    </row>
    <row r="5798" spans="1:18" x14ac:dyDescent="0.45">
      <c r="A5798" s="19" t="s">
        <v>15</v>
      </c>
      <c r="B5798" s="19" t="s">
        <v>8</v>
      </c>
      <c r="C5798">
        <v>1</v>
      </c>
      <c r="D5798">
        <v>3</v>
      </c>
      <c r="E5798">
        <v>1</v>
      </c>
      <c r="F5798" s="15">
        <v>46258</v>
      </c>
      <c r="G5798" s="19" t="s">
        <v>696</v>
      </c>
      <c r="H5798">
        <v>4</v>
      </c>
      <c r="I5798">
        <v>2026</v>
      </c>
      <c r="J5798">
        <v>8</v>
      </c>
      <c r="K5798" s="19" t="s">
        <v>87</v>
      </c>
      <c r="L5798" s="19" t="s">
        <v>326</v>
      </c>
      <c r="M5798" s="19" t="s">
        <v>6</v>
      </c>
      <c r="N5798" t="b">
        <v>0</v>
      </c>
      <c r="O5798">
        <v>1</v>
      </c>
      <c r="P5798">
        <v>0</v>
      </c>
      <c r="Q5798">
        <v>0</v>
      </c>
      <c r="R5798">
        <v>0</v>
      </c>
    </row>
    <row r="5799" spans="1:18" x14ac:dyDescent="0.45">
      <c r="A5799" s="19" t="s">
        <v>15</v>
      </c>
      <c r="B5799" s="19" t="s">
        <v>8</v>
      </c>
      <c r="C5799">
        <v>1</v>
      </c>
      <c r="D5799">
        <v>3</v>
      </c>
      <c r="E5799">
        <v>1</v>
      </c>
      <c r="F5799" s="15">
        <v>46258</v>
      </c>
      <c r="G5799" s="19" t="s">
        <v>696</v>
      </c>
      <c r="H5799">
        <v>4</v>
      </c>
      <c r="I5799">
        <v>2026</v>
      </c>
      <c r="J5799">
        <v>8</v>
      </c>
      <c r="K5799" s="19" t="s">
        <v>87</v>
      </c>
      <c r="L5799" s="19" t="s">
        <v>41</v>
      </c>
      <c r="M5799" s="19" t="s">
        <v>6</v>
      </c>
      <c r="N5799" t="b">
        <v>0</v>
      </c>
      <c r="O5799">
        <v>1</v>
      </c>
      <c r="P5799">
        <v>0</v>
      </c>
      <c r="Q5799">
        <v>0</v>
      </c>
      <c r="R5799">
        <v>0</v>
      </c>
    </row>
    <row r="5800" spans="1:18" x14ac:dyDescent="0.45">
      <c r="A5800" s="19" t="s">
        <v>15</v>
      </c>
      <c r="B5800" s="19" t="s">
        <v>8</v>
      </c>
      <c r="C5800">
        <v>1</v>
      </c>
      <c r="D5800">
        <v>3</v>
      </c>
      <c r="E5800">
        <v>1</v>
      </c>
      <c r="F5800" s="15">
        <v>46258</v>
      </c>
      <c r="G5800" s="19" t="s">
        <v>696</v>
      </c>
      <c r="H5800">
        <v>4</v>
      </c>
      <c r="I5800">
        <v>2026</v>
      </c>
      <c r="J5800">
        <v>8</v>
      </c>
      <c r="K5800" s="19" t="s">
        <v>87</v>
      </c>
      <c r="L5800" s="19" t="s">
        <v>28</v>
      </c>
      <c r="M5800" s="19" t="s">
        <v>6</v>
      </c>
      <c r="N5800" t="b">
        <v>0</v>
      </c>
      <c r="O5800">
        <v>1</v>
      </c>
      <c r="P5800">
        <v>0</v>
      </c>
      <c r="Q5800">
        <v>0</v>
      </c>
      <c r="R5800">
        <v>0</v>
      </c>
    </row>
    <row r="5801" spans="1:18" x14ac:dyDescent="0.45">
      <c r="A5801" s="19" t="s">
        <v>326</v>
      </c>
      <c r="B5801" s="19" t="s">
        <v>6</v>
      </c>
      <c r="C5801">
        <v>2</v>
      </c>
      <c r="D5801">
        <v>3</v>
      </c>
      <c r="E5801">
        <v>1</v>
      </c>
      <c r="F5801" s="15">
        <v>46258</v>
      </c>
      <c r="G5801" s="19" t="s">
        <v>696</v>
      </c>
      <c r="H5801">
        <v>4</v>
      </c>
      <c r="I5801">
        <v>2026</v>
      </c>
      <c r="J5801">
        <v>8</v>
      </c>
      <c r="K5801" s="19" t="s">
        <v>87</v>
      </c>
      <c r="L5801" s="19" t="s">
        <v>15</v>
      </c>
      <c r="M5801" s="19" t="s">
        <v>8</v>
      </c>
      <c r="N5801" t="b">
        <v>0</v>
      </c>
      <c r="O5801">
        <v>0</v>
      </c>
      <c r="P5801">
        <v>1</v>
      </c>
      <c r="Q5801">
        <v>0</v>
      </c>
      <c r="R5801">
        <v>1</v>
      </c>
    </row>
    <row r="5802" spans="1:18" x14ac:dyDescent="0.45">
      <c r="A5802" s="19" t="s">
        <v>326</v>
      </c>
      <c r="B5802" s="19" t="s">
        <v>6</v>
      </c>
      <c r="C5802">
        <v>2</v>
      </c>
      <c r="D5802">
        <v>3</v>
      </c>
      <c r="E5802">
        <v>1</v>
      </c>
      <c r="F5802" s="15">
        <v>46258</v>
      </c>
      <c r="G5802" s="19" t="s">
        <v>696</v>
      </c>
      <c r="H5802">
        <v>4</v>
      </c>
      <c r="I5802">
        <v>2026</v>
      </c>
      <c r="J5802">
        <v>8</v>
      </c>
      <c r="K5802" s="19" t="s">
        <v>87</v>
      </c>
      <c r="L5802" s="19" t="s">
        <v>41</v>
      </c>
      <c r="M5802" s="19" t="s">
        <v>6</v>
      </c>
      <c r="N5802" t="b">
        <v>0</v>
      </c>
      <c r="O5802">
        <v>0</v>
      </c>
      <c r="P5802">
        <v>1</v>
      </c>
      <c r="Q5802">
        <v>0</v>
      </c>
      <c r="R5802">
        <v>0</v>
      </c>
    </row>
    <row r="5803" spans="1:18" x14ac:dyDescent="0.45">
      <c r="A5803" s="19" t="s">
        <v>326</v>
      </c>
      <c r="B5803" s="19" t="s">
        <v>6</v>
      </c>
      <c r="C5803">
        <v>2</v>
      </c>
      <c r="D5803">
        <v>3</v>
      </c>
      <c r="E5803">
        <v>1</v>
      </c>
      <c r="F5803" s="15">
        <v>46258</v>
      </c>
      <c r="G5803" s="19" t="s">
        <v>696</v>
      </c>
      <c r="H5803">
        <v>4</v>
      </c>
      <c r="I5803">
        <v>2026</v>
      </c>
      <c r="J5803">
        <v>8</v>
      </c>
      <c r="K5803" s="19" t="s">
        <v>87</v>
      </c>
      <c r="L5803" s="19" t="s">
        <v>28</v>
      </c>
      <c r="M5803" s="19" t="s">
        <v>6</v>
      </c>
      <c r="N5803" t="b">
        <v>0</v>
      </c>
      <c r="O5803">
        <v>0</v>
      </c>
      <c r="P5803">
        <v>1</v>
      </c>
      <c r="Q5803">
        <v>0</v>
      </c>
      <c r="R5803">
        <v>0</v>
      </c>
    </row>
    <row r="5804" spans="1:18" x14ac:dyDescent="0.45">
      <c r="A5804" s="19" t="s">
        <v>41</v>
      </c>
      <c r="B5804" s="19" t="s">
        <v>6</v>
      </c>
      <c r="C5804">
        <v>3</v>
      </c>
      <c r="D5804">
        <v>3</v>
      </c>
      <c r="E5804">
        <v>1</v>
      </c>
      <c r="F5804" s="15">
        <v>46258</v>
      </c>
      <c r="G5804" s="19" t="s">
        <v>696</v>
      </c>
      <c r="H5804">
        <v>4</v>
      </c>
      <c r="I5804">
        <v>2026</v>
      </c>
      <c r="J5804">
        <v>8</v>
      </c>
      <c r="K5804" s="19" t="s">
        <v>87</v>
      </c>
      <c r="L5804" s="19" t="s">
        <v>15</v>
      </c>
      <c r="M5804" s="19" t="s">
        <v>8</v>
      </c>
      <c r="N5804" t="b">
        <v>0</v>
      </c>
      <c r="O5804">
        <v>0</v>
      </c>
      <c r="P5804">
        <v>1</v>
      </c>
      <c r="Q5804">
        <v>0</v>
      </c>
      <c r="R5804">
        <v>1</v>
      </c>
    </row>
    <row r="5805" spans="1:18" x14ac:dyDescent="0.45">
      <c r="A5805" s="19" t="s">
        <v>41</v>
      </c>
      <c r="B5805" s="19" t="s">
        <v>6</v>
      </c>
      <c r="C5805">
        <v>3</v>
      </c>
      <c r="D5805">
        <v>3</v>
      </c>
      <c r="E5805">
        <v>1</v>
      </c>
      <c r="F5805" s="15">
        <v>46258</v>
      </c>
      <c r="G5805" s="19" t="s">
        <v>696</v>
      </c>
      <c r="H5805">
        <v>4</v>
      </c>
      <c r="I5805">
        <v>2026</v>
      </c>
      <c r="J5805">
        <v>8</v>
      </c>
      <c r="K5805" s="19" t="s">
        <v>87</v>
      </c>
      <c r="L5805" s="19" t="s">
        <v>326</v>
      </c>
      <c r="M5805" s="19" t="s">
        <v>6</v>
      </c>
      <c r="N5805" t="b">
        <v>0</v>
      </c>
      <c r="O5805">
        <v>0</v>
      </c>
      <c r="P5805">
        <v>1</v>
      </c>
      <c r="Q5805">
        <v>0</v>
      </c>
      <c r="R5805">
        <v>0</v>
      </c>
    </row>
    <row r="5806" spans="1:18" x14ac:dyDescent="0.45">
      <c r="A5806" s="19" t="s">
        <v>41</v>
      </c>
      <c r="B5806" s="19" t="s">
        <v>6</v>
      </c>
      <c r="C5806">
        <v>3</v>
      </c>
      <c r="D5806">
        <v>3</v>
      </c>
      <c r="E5806">
        <v>1</v>
      </c>
      <c r="F5806" s="15">
        <v>46258</v>
      </c>
      <c r="G5806" s="19" t="s">
        <v>696</v>
      </c>
      <c r="H5806">
        <v>4</v>
      </c>
      <c r="I5806">
        <v>2026</v>
      </c>
      <c r="J5806">
        <v>8</v>
      </c>
      <c r="K5806" s="19" t="s">
        <v>87</v>
      </c>
      <c r="L5806" s="19" t="s">
        <v>28</v>
      </c>
      <c r="M5806" s="19" t="s">
        <v>6</v>
      </c>
      <c r="N5806" t="b">
        <v>0</v>
      </c>
      <c r="O5806">
        <v>0</v>
      </c>
      <c r="P5806">
        <v>1</v>
      </c>
      <c r="Q5806">
        <v>0</v>
      </c>
      <c r="R5806">
        <v>0</v>
      </c>
    </row>
    <row r="5807" spans="1:18" x14ac:dyDescent="0.45">
      <c r="A5807" s="19" t="s">
        <v>28</v>
      </c>
      <c r="B5807" s="19" t="s">
        <v>6</v>
      </c>
      <c r="C5807">
        <v>4</v>
      </c>
      <c r="D5807">
        <v>3</v>
      </c>
      <c r="E5807">
        <v>1</v>
      </c>
      <c r="F5807" s="15">
        <v>46258</v>
      </c>
      <c r="G5807" s="19" t="s">
        <v>696</v>
      </c>
      <c r="H5807">
        <v>4</v>
      </c>
      <c r="I5807">
        <v>2026</v>
      </c>
      <c r="J5807">
        <v>8</v>
      </c>
      <c r="K5807" s="19" t="s">
        <v>87</v>
      </c>
      <c r="L5807" s="19" t="s">
        <v>15</v>
      </c>
      <c r="M5807" s="19" t="s">
        <v>8</v>
      </c>
      <c r="N5807" t="b">
        <v>0</v>
      </c>
      <c r="O5807">
        <v>0</v>
      </c>
      <c r="P5807">
        <v>1</v>
      </c>
      <c r="Q5807">
        <v>0</v>
      </c>
      <c r="R5807">
        <v>1</v>
      </c>
    </row>
    <row r="5808" spans="1:18" x14ac:dyDescent="0.45">
      <c r="A5808" s="19" t="s">
        <v>28</v>
      </c>
      <c r="B5808" s="19" t="s">
        <v>6</v>
      </c>
      <c r="C5808">
        <v>4</v>
      </c>
      <c r="D5808">
        <v>3</v>
      </c>
      <c r="E5808">
        <v>1</v>
      </c>
      <c r="F5808" s="15">
        <v>46258</v>
      </c>
      <c r="G5808" s="19" t="s">
        <v>696</v>
      </c>
      <c r="H5808">
        <v>4</v>
      </c>
      <c r="I5808">
        <v>2026</v>
      </c>
      <c r="J5808">
        <v>8</v>
      </c>
      <c r="K5808" s="19" t="s">
        <v>87</v>
      </c>
      <c r="L5808" s="19" t="s">
        <v>326</v>
      </c>
      <c r="M5808" s="19" t="s">
        <v>6</v>
      </c>
      <c r="N5808" t="b">
        <v>0</v>
      </c>
      <c r="O5808">
        <v>0</v>
      </c>
      <c r="P5808">
        <v>1</v>
      </c>
      <c r="Q5808">
        <v>0</v>
      </c>
      <c r="R5808">
        <v>0</v>
      </c>
    </row>
    <row r="5809" spans="1:18" x14ac:dyDescent="0.45">
      <c r="A5809" s="19" t="s">
        <v>28</v>
      </c>
      <c r="B5809" s="19" t="s">
        <v>6</v>
      </c>
      <c r="C5809">
        <v>4</v>
      </c>
      <c r="D5809">
        <v>3</v>
      </c>
      <c r="E5809">
        <v>1</v>
      </c>
      <c r="F5809" s="15">
        <v>46258</v>
      </c>
      <c r="G5809" s="19" t="s">
        <v>696</v>
      </c>
      <c r="H5809">
        <v>4</v>
      </c>
      <c r="I5809">
        <v>2026</v>
      </c>
      <c r="J5809">
        <v>8</v>
      </c>
      <c r="K5809" s="19" t="s">
        <v>87</v>
      </c>
      <c r="L5809" s="19" t="s">
        <v>41</v>
      </c>
      <c r="M5809" s="19" t="s">
        <v>6</v>
      </c>
      <c r="N5809" t="b">
        <v>0</v>
      </c>
      <c r="O5809">
        <v>0</v>
      </c>
      <c r="P5809">
        <v>1</v>
      </c>
      <c r="Q5809">
        <v>0</v>
      </c>
      <c r="R5809">
        <v>0</v>
      </c>
    </row>
    <row r="5810" spans="1:18" x14ac:dyDescent="0.45">
      <c r="A5810" s="19" t="s">
        <v>17</v>
      </c>
      <c r="B5810" s="19" t="s">
        <v>6</v>
      </c>
      <c r="C5810">
        <v>1</v>
      </c>
      <c r="D5810">
        <v>4</v>
      </c>
      <c r="E5810">
        <v>1</v>
      </c>
      <c r="F5810" s="15">
        <v>46258</v>
      </c>
      <c r="G5810" s="19" t="s">
        <v>697</v>
      </c>
      <c r="H5810">
        <v>3</v>
      </c>
      <c r="I5810">
        <v>2026</v>
      </c>
      <c r="J5810">
        <v>8</v>
      </c>
      <c r="K5810" s="19" t="s">
        <v>87</v>
      </c>
      <c r="L5810" s="19" t="s">
        <v>10</v>
      </c>
      <c r="M5810" s="19" t="s">
        <v>6</v>
      </c>
      <c r="N5810" t="b">
        <v>0</v>
      </c>
      <c r="O5810">
        <v>0</v>
      </c>
      <c r="P5810">
        <v>1</v>
      </c>
      <c r="Q5810">
        <v>0</v>
      </c>
      <c r="R5810">
        <v>0</v>
      </c>
    </row>
    <row r="5811" spans="1:18" x14ac:dyDescent="0.45">
      <c r="A5811" s="19" t="s">
        <v>17</v>
      </c>
      <c r="B5811" s="19" t="s">
        <v>6</v>
      </c>
      <c r="C5811">
        <v>1</v>
      </c>
      <c r="D5811">
        <v>4</v>
      </c>
      <c r="E5811">
        <v>1</v>
      </c>
      <c r="F5811" s="15">
        <v>46258</v>
      </c>
      <c r="G5811" s="19" t="s">
        <v>697</v>
      </c>
      <c r="H5811">
        <v>3</v>
      </c>
      <c r="I5811">
        <v>2026</v>
      </c>
      <c r="J5811">
        <v>8</v>
      </c>
      <c r="K5811" s="19" t="s">
        <v>87</v>
      </c>
      <c r="L5811" s="19" t="s">
        <v>19</v>
      </c>
      <c r="M5811" s="19" t="s">
        <v>8</v>
      </c>
      <c r="N5811" t="b">
        <v>0</v>
      </c>
      <c r="O5811">
        <v>0</v>
      </c>
      <c r="P5811">
        <v>1</v>
      </c>
      <c r="Q5811">
        <v>0</v>
      </c>
      <c r="R5811">
        <v>1</v>
      </c>
    </row>
    <row r="5812" spans="1:18" x14ac:dyDescent="0.45">
      <c r="A5812" s="19" t="s">
        <v>10</v>
      </c>
      <c r="B5812" s="19" t="s">
        <v>6</v>
      </c>
      <c r="C5812">
        <v>2</v>
      </c>
      <c r="D5812">
        <v>4</v>
      </c>
      <c r="E5812">
        <v>1</v>
      </c>
      <c r="F5812" s="15">
        <v>46258</v>
      </c>
      <c r="G5812" s="19" t="s">
        <v>697</v>
      </c>
      <c r="H5812">
        <v>3</v>
      </c>
      <c r="I5812">
        <v>2026</v>
      </c>
      <c r="J5812">
        <v>8</v>
      </c>
      <c r="K5812" s="19" t="s">
        <v>87</v>
      </c>
      <c r="L5812" s="19" t="s">
        <v>17</v>
      </c>
      <c r="M5812" s="19" t="s">
        <v>6</v>
      </c>
      <c r="N5812" t="b">
        <v>0</v>
      </c>
      <c r="O5812">
        <v>0</v>
      </c>
      <c r="P5812">
        <v>1</v>
      </c>
      <c r="Q5812">
        <v>0</v>
      </c>
      <c r="R5812">
        <v>0</v>
      </c>
    </row>
    <row r="5813" spans="1:18" x14ac:dyDescent="0.45">
      <c r="A5813" s="19" t="s">
        <v>10</v>
      </c>
      <c r="B5813" s="19" t="s">
        <v>6</v>
      </c>
      <c r="C5813">
        <v>2</v>
      </c>
      <c r="D5813">
        <v>4</v>
      </c>
      <c r="E5813">
        <v>1</v>
      </c>
      <c r="F5813" s="15">
        <v>46258</v>
      </c>
      <c r="G5813" s="19" t="s">
        <v>697</v>
      </c>
      <c r="H5813">
        <v>3</v>
      </c>
      <c r="I5813">
        <v>2026</v>
      </c>
      <c r="J5813">
        <v>8</v>
      </c>
      <c r="K5813" s="19" t="s">
        <v>87</v>
      </c>
      <c r="L5813" s="19" t="s">
        <v>19</v>
      </c>
      <c r="M5813" s="19" t="s">
        <v>8</v>
      </c>
      <c r="N5813" t="b">
        <v>0</v>
      </c>
      <c r="O5813">
        <v>0</v>
      </c>
      <c r="P5813">
        <v>1</v>
      </c>
      <c r="Q5813">
        <v>0</v>
      </c>
      <c r="R5813">
        <v>1</v>
      </c>
    </row>
    <row r="5814" spans="1:18" x14ac:dyDescent="0.45">
      <c r="A5814" s="19" t="s">
        <v>19</v>
      </c>
      <c r="B5814" s="19" t="s">
        <v>8</v>
      </c>
      <c r="C5814">
        <v>3</v>
      </c>
      <c r="D5814">
        <v>4</v>
      </c>
      <c r="E5814">
        <v>1</v>
      </c>
      <c r="F5814" s="15">
        <v>46258</v>
      </c>
      <c r="G5814" s="19" t="s">
        <v>697</v>
      </c>
      <c r="H5814">
        <v>3</v>
      </c>
      <c r="I5814">
        <v>2026</v>
      </c>
      <c r="J5814">
        <v>8</v>
      </c>
      <c r="K5814" s="19" t="s">
        <v>87</v>
      </c>
      <c r="L5814" s="19" t="s">
        <v>17</v>
      </c>
      <c r="M5814" s="19" t="s">
        <v>6</v>
      </c>
      <c r="N5814" t="b">
        <v>0</v>
      </c>
      <c r="O5814">
        <v>1</v>
      </c>
      <c r="P5814">
        <v>0</v>
      </c>
      <c r="Q5814">
        <v>0</v>
      </c>
      <c r="R5814">
        <v>0</v>
      </c>
    </row>
    <row r="5815" spans="1:18" x14ac:dyDescent="0.45">
      <c r="A5815" s="19" t="s">
        <v>19</v>
      </c>
      <c r="B5815" s="19" t="s">
        <v>8</v>
      </c>
      <c r="C5815">
        <v>3</v>
      </c>
      <c r="D5815">
        <v>4</v>
      </c>
      <c r="E5815">
        <v>1</v>
      </c>
      <c r="F5815" s="15">
        <v>46258</v>
      </c>
      <c r="G5815" s="19" t="s">
        <v>697</v>
      </c>
      <c r="H5815">
        <v>3</v>
      </c>
      <c r="I5815">
        <v>2026</v>
      </c>
      <c r="J5815">
        <v>8</v>
      </c>
      <c r="K5815" s="19" t="s">
        <v>87</v>
      </c>
      <c r="L5815" s="19" t="s">
        <v>10</v>
      </c>
      <c r="M5815" s="19" t="s">
        <v>6</v>
      </c>
      <c r="N5815" t="b">
        <v>0</v>
      </c>
      <c r="O5815">
        <v>1</v>
      </c>
      <c r="P5815">
        <v>0</v>
      </c>
      <c r="Q5815">
        <v>0</v>
      </c>
      <c r="R5815">
        <v>0</v>
      </c>
    </row>
    <row r="5816" spans="1:18" x14ac:dyDescent="0.45">
      <c r="A5816" s="19" t="s">
        <v>433</v>
      </c>
      <c r="B5816" s="19" t="s">
        <v>6</v>
      </c>
      <c r="C5816">
        <v>1</v>
      </c>
      <c r="D5816">
        <v>5</v>
      </c>
      <c r="E5816">
        <v>1</v>
      </c>
      <c r="F5816" s="15">
        <v>46258</v>
      </c>
      <c r="G5816" s="19" t="s">
        <v>698</v>
      </c>
      <c r="H5816">
        <v>3</v>
      </c>
      <c r="I5816">
        <v>2026</v>
      </c>
      <c r="J5816">
        <v>8</v>
      </c>
      <c r="K5816" s="19" t="s">
        <v>87</v>
      </c>
      <c r="L5816" s="19" t="s">
        <v>20</v>
      </c>
      <c r="M5816" s="19" t="s">
        <v>8</v>
      </c>
      <c r="N5816" t="b">
        <v>0</v>
      </c>
      <c r="O5816">
        <v>0</v>
      </c>
      <c r="P5816">
        <v>1</v>
      </c>
      <c r="Q5816">
        <v>0</v>
      </c>
      <c r="R5816">
        <v>1</v>
      </c>
    </row>
    <row r="5817" spans="1:18" x14ac:dyDescent="0.45">
      <c r="A5817" s="19" t="s">
        <v>433</v>
      </c>
      <c r="B5817" s="19" t="s">
        <v>6</v>
      </c>
      <c r="C5817">
        <v>1</v>
      </c>
      <c r="D5817">
        <v>5</v>
      </c>
      <c r="E5817">
        <v>1</v>
      </c>
      <c r="F5817" s="15">
        <v>46258</v>
      </c>
      <c r="G5817" s="19" t="s">
        <v>698</v>
      </c>
      <c r="H5817">
        <v>3</v>
      </c>
      <c r="I5817">
        <v>2026</v>
      </c>
      <c r="J5817">
        <v>8</v>
      </c>
      <c r="K5817" s="19" t="s">
        <v>87</v>
      </c>
      <c r="L5817" s="19" t="s">
        <v>609</v>
      </c>
      <c r="M5817" s="19" t="s">
        <v>6</v>
      </c>
      <c r="N5817" t="b">
        <v>0</v>
      </c>
      <c r="O5817">
        <v>0</v>
      </c>
      <c r="P5817">
        <v>1</v>
      </c>
      <c r="Q5817">
        <v>0</v>
      </c>
      <c r="R5817">
        <v>0</v>
      </c>
    </row>
    <row r="5818" spans="1:18" x14ac:dyDescent="0.45">
      <c r="A5818" s="19" t="s">
        <v>20</v>
      </c>
      <c r="B5818" s="19" t="s">
        <v>8</v>
      </c>
      <c r="C5818">
        <v>2</v>
      </c>
      <c r="D5818">
        <v>5</v>
      </c>
      <c r="E5818">
        <v>1</v>
      </c>
      <c r="F5818" s="15">
        <v>46258</v>
      </c>
      <c r="G5818" s="19" t="s">
        <v>698</v>
      </c>
      <c r="H5818">
        <v>3</v>
      </c>
      <c r="I5818">
        <v>2026</v>
      </c>
      <c r="J5818">
        <v>8</v>
      </c>
      <c r="K5818" s="19" t="s">
        <v>87</v>
      </c>
      <c r="L5818" s="19" t="s">
        <v>433</v>
      </c>
      <c r="M5818" s="19" t="s">
        <v>6</v>
      </c>
      <c r="N5818" t="b">
        <v>0</v>
      </c>
      <c r="O5818">
        <v>1</v>
      </c>
      <c r="P5818">
        <v>0</v>
      </c>
      <c r="Q5818">
        <v>0</v>
      </c>
      <c r="R5818">
        <v>0</v>
      </c>
    </row>
    <row r="5819" spans="1:18" x14ac:dyDescent="0.45">
      <c r="A5819" s="19" t="s">
        <v>20</v>
      </c>
      <c r="B5819" s="19" t="s">
        <v>8</v>
      </c>
      <c r="C5819">
        <v>2</v>
      </c>
      <c r="D5819">
        <v>5</v>
      </c>
      <c r="E5819">
        <v>1</v>
      </c>
      <c r="F5819" s="15">
        <v>46258</v>
      </c>
      <c r="G5819" s="19" t="s">
        <v>698</v>
      </c>
      <c r="H5819">
        <v>3</v>
      </c>
      <c r="I5819">
        <v>2026</v>
      </c>
      <c r="J5819">
        <v>8</v>
      </c>
      <c r="K5819" s="19" t="s">
        <v>87</v>
      </c>
      <c r="L5819" s="19" t="s">
        <v>609</v>
      </c>
      <c r="M5819" s="19" t="s">
        <v>6</v>
      </c>
      <c r="N5819" t="b">
        <v>0</v>
      </c>
      <c r="O5819">
        <v>1</v>
      </c>
      <c r="P5819">
        <v>0</v>
      </c>
      <c r="Q5819">
        <v>0</v>
      </c>
      <c r="R5819">
        <v>0</v>
      </c>
    </row>
    <row r="5820" spans="1:18" x14ac:dyDescent="0.45">
      <c r="A5820" s="19" t="s">
        <v>609</v>
      </c>
      <c r="B5820" s="19" t="s">
        <v>6</v>
      </c>
      <c r="C5820">
        <v>3</v>
      </c>
      <c r="D5820">
        <v>5</v>
      </c>
      <c r="E5820">
        <v>1</v>
      </c>
      <c r="F5820" s="15">
        <v>46258</v>
      </c>
      <c r="G5820" s="19" t="s">
        <v>698</v>
      </c>
      <c r="H5820">
        <v>3</v>
      </c>
      <c r="I5820">
        <v>2026</v>
      </c>
      <c r="J5820">
        <v>8</v>
      </c>
      <c r="K5820" s="19" t="s">
        <v>87</v>
      </c>
      <c r="L5820" s="19" t="s">
        <v>433</v>
      </c>
      <c r="M5820" s="19" t="s">
        <v>6</v>
      </c>
      <c r="N5820" t="b">
        <v>0</v>
      </c>
      <c r="O5820">
        <v>0</v>
      </c>
      <c r="P5820">
        <v>1</v>
      </c>
      <c r="Q5820">
        <v>0</v>
      </c>
      <c r="R5820">
        <v>0</v>
      </c>
    </row>
    <row r="5821" spans="1:18" x14ac:dyDescent="0.45">
      <c r="A5821" s="19" t="s">
        <v>609</v>
      </c>
      <c r="B5821" s="19" t="s">
        <v>6</v>
      </c>
      <c r="C5821">
        <v>3</v>
      </c>
      <c r="D5821">
        <v>5</v>
      </c>
      <c r="E5821">
        <v>1</v>
      </c>
      <c r="F5821" s="15">
        <v>46258</v>
      </c>
      <c r="G5821" s="19" t="s">
        <v>698</v>
      </c>
      <c r="H5821">
        <v>3</v>
      </c>
      <c r="I5821">
        <v>2026</v>
      </c>
      <c r="J5821">
        <v>8</v>
      </c>
      <c r="K5821" s="19" t="s">
        <v>87</v>
      </c>
      <c r="L5821" s="19" t="s">
        <v>20</v>
      </c>
      <c r="M5821" s="19" t="s">
        <v>8</v>
      </c>
      <c r="N5821" t="b">
        <v>0</v>
      </c>
      <c r="O5821">
        <v>0</v>
      </c>
      <c r="P5821">
        <v>1</v>
      </c>
      <c r="Q5821">
        <v>0</v>
      </c>
      <c r="R5821">
        <v>1</v>
      </c>
    </row>
    <row r="5822" spans="1:18" x14ac:dyDescent="0.45">
      <c r="A5822" s="19" t="s">
        <v>13</v>
      </c>
      <c r="B5822" s="19" t="s">
        <v>63</v>
      </c>
      <c r="C5822">
        <v>1</v>
      </c>
      <c r="D5822">
        <v>1</v>
      </c>
      <c r="E5822">
        <v>2</v>
      </c>
      <c r="F5822" s="15">
        <v>46258</v>
      </c>
      <c r="G5822" s="19" t="s">
        <v>699</v>
      </c>
      <c r="H5822">
        <v>4</v>
      </c>
      <c r="I5822">
        <v>2026</v>
      </c>
      <c r="J5822">
        <v>8</v>
      </c>
      <c r="K5822" s="19" t="s">
        <v>87</v>
      </c>
      <c r="L5822" s="19" t="s">
        <v>19</v>
      </c>
      <c r="M5822" s="19" t="s">
        <v>63</v>
      </c>
      <c r="N5822" t="b">
        <v>0</v>
      </c>
      <c r="O5822">
        <v>0</v>
      </c>
      <c r="P5822">
        <v>0</v>
      </c>
      <c r="Q5822">
        <v>1</v>
      </c>
      <c r="R5822">
        <v>0</v>
      </c>
    </row>
    <row r="5823" spans="1:18" x14ac:dyDescent="0.45">
      <c r="A5823" s="19" t="s">
        <v>13</v>
      </c>
      <c r="B5823" s="19" t="s">
        <v>63</v>
      </c>
      <c r="C5823">
        <v>1</v>
      </c>
      <c r="D5823">
        <v>1</v>
      </c>
      <c r="E5823">
        <v>2</v>
      </c>
      <c r="F5823" s="15">
        <v>46258</v>
      </c>
      <c r="G5823" s="19" t="s">
        <v>699</v>
      </c>
      <c r="H5823">
        <v>4</v>
      </c>
      <c r="I5823">
        <v>2026</v>
      </c>
      <c r="J5823">
        <v>8</v>
      </c>
      <c r="K5823" s="19" t="s">
        <v>87</v>
      </c>
      <c r="L5823" s="19" t="s">
        <v>20</v>
      </c>
      <c r="M5823" s="19" t="s">
        <v>63</v>
      </c>
      <c r="N5823" t="b">
        <v>0</v>
      </c>
      <c r="O5823">
        <v>0</v>
      </c>
      <c r="P5823">
        <v>0</v>
      </c>
      <c r="Q5823">
        <v>1</v>
      </c>
      <c r="R5823">
        <v>0</v>
      </c>
    </row>
    <row r="5824" spans="1:18" x14ac:dyDescent="0.45">
      <c r="A5824" s="19" t="s">
        <v>13</v>
      </c>
      <c r="B5824" s="19" t="s">
        <v>63</v>
      </c>
      <c r="C5824">
        <v>1</v>
      </c>
      <c r="D5824">
        <v>1</v>
      </c>
      <c r="E5824">
        <v>2</v>
      </c>
      <c r="F5824" s="15">
        <v>46258</v>
      </c>
      <c r="G5824" s="19" t="s">
        <v>699</v>
      </c>
      <c r="H5824">
        <v>4</v>
      </c>
      <c r="I5824">
        <v>2026</v>
      </c>
      <c r="J5824">
        <v>8</v>
      </c>
      <c r="K5824" s="19" t="s">
        <v>87</v>
      </c>
      <c r="L5824" s="19" t="s">
        <v>15</v>
      </c>
      <c r="M5824" s="19" t="s">
        <v>63</v>
      </c>
      <c r="N5824" t="b">
        <v>0</v>
      </c>
      <c r="O5824">
        <v>0</v>
      </c>
      <c r="P5824">
        <v>0</v>
      </c>
      <c r="Q5824">
        <v>1</v>
      </c>
      <c r="R5824">
        <v>0</v>
      </c>
    </row>
    <row r="5825" spans="1:18" x14ac:dyDescent="0.45">
      <c r="A5825" s="19" t="s">
        <v>19</v>
      </c>
      <c r="B5825" s="19" t="s">
        <v>63</v>
      </c>
      <c r="C5825">
        <v>2</v>
      </c>
      <c r="D5825">
        <v>1</v>
      </c>
      <c r="E5825">
        <v>2</v>
      </c>
      <c r="F5825" s="15">
        <v>46258</v>
      </c>
      <c r="G5825" s="19" t="s">
        <v>699</v>
      </c>
      <c r="H5825">
        <v>4</v>
      </c>
      <c r="I5825">
        <v>2026</v>
      </c>
      <c r="J5825">
        <v>8</v>
      </c>
      <c r="K5825" s="19" t="s">
        <v>87</v>
      </c>
      <c r="L5825" s="19" t="s">
        <v>13</v>
      </c>
      <c r="M5825" s="19" t="s">
        <v>63</v>
      </c>
      <c r="N5825" t="b">
        <v>0</v>
      </c>
      <c r="O5825">
        <v>0</v>
      </c>
      <c r="P5825">
        <v>0</v>
      </c>
      <c r="Q5825">
        <v>1</v>
      </c>
      <c r="R5825">
        <v>0</v>
      </c>
    </row>
    <row r="5826" spans="1:18" x14ac:dyDescent="0.45">
      <c r="A5826" s="19" t="s">
        <v>19</v>
      </c>
      <c r="B5826" s="19" t="s">
        <v>63</v>
      </c>
      <c r="C5826">
        <v>2</v>
      </c>
      <c r="D5826">
        <v>1</v>
      </c>
      <c r="E5826">
        <v>2</v>
      </c>
      <c r="F5826" s="15">
        <v>46258</v>
      </c>
      <c r="G5826" s="19" t="s">
        <v>699</v>
      </c>
      <c r="H5826">
        <v>4</v>
      </c>
      <c r="I5826">
        <v>2026</v>
      </c>
      <c r="J5826">
        <v>8</v>
      </c>
      <c r="K5826" s="19" t="s">
        <v>87</v>
      </c>
      <c r="L5826" s="19" t="s">
        <v>20</v>
      </c>
      <c r="M5826" s="19" t="s">
        <v>63</v>
      </c>
      <c r="N5826" t="b">
        <v>0</v>
      </c>
      <c r="O5826">
        <v>0</v>
      </c>
      <c r="P5826">
        <v>0</v>
      </c>
      <c r="Q5826">
        <v>1</v>
      </c>
      <c r="R5826">
        <v>0</v>
      </c>
    </row>
    <row r="5827" spans="1:18" x14ac:dyDescent="0.45">
      <c r="A5827" s="19" t="s">
        <v>19</v>
      </c>
      <c r="B5827" s="19" t="s">
        <v>63</v>
      </c>
      <c r="C5827">
        <v>2</v>
      </c>
      <c r="D5827">
        <v>1</v>
      </c>
      <c r="E5827">
        <v>2</v>
      </c>
      <c r="F5827" s="15">
        <v>46258</v>
      </c>
      <c r="G5827" s="19" t="s">
        <v>699</v>
      </c>
      <c r="H5827">
        <v>4</v>
      </c>
      <c r="I5827">
        <v>2026</v>
      </c>
      <c r="J5827">
        <v>8</v>
      </c>
      <c r="K5827" s="19" t="s">
        <v>87</v>
      </c>
      <c r="L5827" s="19" t="s">
        <v>15</v>
      </c>
      <c r="M5827" s="19" t="s">
        <v>63</v>
      </c>
      <c r="N5827" t="b">
        <v>0</v>
      </c>
      <c r="O5827">
        <v>0</v>
      </c>
      <c r="P5827">
        <v>0</v>
      </c>
      <c r="Q5827">
        <v>1</v>
      </c>
      <c r="R5827">
        <v>0</v>
      </c>
    </row>
    <row r="5828" spans="1:18" x14ac:dyDescent="0.45">
      <c r="A5828" s="19" t="s">
        <v>20</v>
      </c>
      <c r="B5828" s="19" t="s">
        <v>63</v>
      </c>
      <c r="C5828">
        <v>3</v>
      </c>
      <c r="D5828">
        <v>1</v>
      </c>
      <c r="E5828">
        <v>2</v>
      </c>
      <c r="F5828" s="15">
        <v>46258</v>
      </c>
      <c r="G5828" s="19" t="s">
        <v>699</v>
      </c>
      <c r="H5828">
        <v>4</v>
      </c>
      <c r="I5828">
        <v>2026</v>
      </c>
      <c r="J5828">
        <v>8</v>
      </c>
      <c r="K5828" s="19" t="s">
        <v>87</v>
      </c>
      <c r="L5828" s="19" t="s">
        <v>13</v>
      </c>
      <c r="M5828" s="19" t="s">
        <v>63</v>
      </c>
      <c r="N5828" t="b">
        <v>0</v>
      </c>
      <c r="O5828">
        <v>0</v>
      </c>
      <c r="P5828">
        <v>0</v>
      </c>
      <c r="Q5828">
        <v>1</v>
      </c>
      <c r="R5828">
        <v>0</v>
      </c>
    </row>
    <row r="5829" spans="1:18" x14ac:dyDescent="0.45">
      <c r="A5829" s="19" t="s">
        <v>20</v>
      </c>
      <c r="B5829" s="19" t="s">
        <v>63</v>
      </c>
      <c r="C5829">
        <v>3</v>
      </c>
      <c r="D5829">
        <v>1</v>
      </c>
      <c r="E5829">
        <v>2</v>
      </c>
      <c r="F5829" s="15">
        <v>46258</v>
      </c>
      <c r="G5829" s="19" t="s">
        <v>699</v>
      </c>
      <c r="H5829">
        <v>4</v>
      </c>
      <c r="I5829">
        <v>2026</v>
      </c>
      <c r="J5829">
        <v>8</v>
      </c>
      <c r="K5829" s="19" t="s">
        <v>87</v>
      </c>
      <c r="L5829" s="19" t="s">
        <v>19</v>
      </c>
      <c r="M5829" s="19" t="s">
        <v>63</v>
      </c>
      <c r="N5829" t="b">
        <v>0</v>
      </c>
      <c r="O5829">
        <v>0</v>
      </c>
      <c r="P5829">
        <v>0</v>
      </c>
      <c r="Q5829">
        <v>1</v>
      </c>
      <c r="R5829">
        <v>0</v>
      </c>
    </row>
    <row r="5830" spans="1:18" x14ac:dyDescent="0.45">
      <c r="A5830" s="19" t="s">
        <v>20</v>
      </c>
      <c r="B5830" s="19" t="s">
        <v>63</v>
      </c>
      <c r="C5830">
        <v>3</v>
      </c>
      <c r="D5830">
        <v>1</v>
      </c>
      <c r="E5830">
        <v>2</v>
      </c>
      <c r="F5830" s="15">
        <v>46258</v>
      </c>
      <c r="G5830" s="19" t="s">
        <v>699</v>
      </c>
      <c r="H5830">
        <v>4</v>
      </c>
      <c r="I5830">
        <v>2026</v>
      </c>
      <c r="J5830">
        <v>8</v>
      </c>
      <c r="K5830" s="19" t="s">
        <v>87</v>
      </c>
      <c r="L5830" s="19" t="s">
        <v>15</v>
      </c>
      <c r="M5830" s="19" t="s">
        <v>63</v>
      </c>
      <c r="N5830" t="b">
        <v>0</v>
      </c>
      <c r="O5830">
        <v>0</v>
      </c>
      <c r="P5830">
        <v>0</v>
      </c>
      <c r="Q5830">
        <v>1</v>
      </c>
      <c r="R5830">
        <v>0</v>
      </c>
    </row>
    <row r="5831" spans="1:18" x14ac:dyDescent="0.45">
      <c r="A5831" s="19" t="s">
        <v>15</v>
      </c>
      <c r="B5831" s="19" t="s">
        <v>63</v>
      </c>
      <c r="C5831">
        <v>4</v>
      </c>
      <c r="D5831">
        <v>1</v>
      </c>
      <c r="E5831">
        <v>2</v>
      </c>
      <c r="F5831" s="15">
        <v>46258</v>
      </c>
      <c r="G5831" s="19" t="s">
        <v>699</v>
      </c>
      <c r="H5831">
        <v>4</v>
      </c>
      <c r="I5831">
        <v>2026</v>
      </c>
      <c r="J5831">
        <v>8</v>
      </c>
      <c r="K5831" s="19" t="s">
        <v>87</v>
      </c>
      <c r="L5831" s="19" t="s">
        <v>13</v>
      </c>
      <c r="M5831" s="19" t="s">
        <v>63</v>
      </c>
      <c r="N5831" t="b">
        <v>0</v>
      </c>
      <c r="O5831">
        <v>0</v>
      </c>
      <c r="P5831">
        <v>0</v>
      </c>
      <c r="Q5831">
        <v>1</v>
      </c>
      <c r="R5831">
        <v>0</v>
      </c>
    </row>
    <row r="5832" spans="1:18" x14ac:dyDescent="0.45">
      <c r="A5832" s="19" t="s">
        <v>15</v>
      </c>
      <c r="B5832" s="19" t="s">
        <v>63</v>
      </c>
      <c r="C5832">
        <v>4</v>
      </c>
      <c r="D5832">
        <v>1</v>
      </c>
      <c r="E5832">
        <v>2</v>
      </c>
      <c r="F5832" s="15">
        <v>46258</v>
      </c>
      <c r="G5832" s="19" t="s">
        <v>699</v>
      </c>
      <c r="H5832">
        <v>4</v>
      </c>
      <c r="I5832">
        <v>2026</v>
      </c>
      <c r="J5832">
        <v>8</v>
      </c>
      <c r="K5832" s="19" t="s">
        <v>87</v>
      </c>
      <c r="L5832" s="19" t="s">
        <v>19</v>
      </c>
      <c r="M5832" s="19" t="s">
        <v>63</v>
      </c>
      <c r="N5832" t="b">
        <v>0</v>
      </c>
      <c r="O5832">
        <v>0</v>
      </c>
      <c r="P5832">
        <v>0</v>
      </c>
      <c r="Q5832">
        <v>1</v>
      </c>
      <c r="R5832">
        <v>0</v>
      </c>
    </row>
    <row r="5833" spans="1:18" x14ac:dyDescent="0.45">
      <c r="A5833" s="19" t="s">
        <v>15</v>
      </c>
      <c r="B5833" s="19" t="s">
        <v>63</v>
      </c>
      <c r="C5833">
        <v>4</v>
      </c>
      <c r="D5833">
        <v>1</v>
      </c>
      <c r="E5833">
        <v>2</v>
      </c>
      <c r="F5833" s="15">
        <v>46258</v>
      </c>
      <c r="G5833" s="19" t="s">
        <v>699</v>
      </c>
      <c r="H5833">
        <v>4</v>
      </c>
      <c r="I5833">
        <v>2026</v>
      </c>
      <c r="J5833">
        <v>8</v>
      </c>
      <c r="K5833" s="19" t="s">
        <v>87</v>
      </c>
      <c r="L5833" s="19" t="s">
        <v>20</v>
      </c>
      <c r="M5833" s="19" t="s">
        <v>63</v>
      </c>
      <c r="N5833" t="b">
        <v>0</v>
      </c>
      <c r="O5833">
        <v>0</v>
      </c>
      <c r="P5833">
        <v>0</v>
      </c>
      <c r="Q5833">
        <v>1</v>
      </c>
      <c r="R5833">
        <v>0</v>
      </c>
    </row>
    <row r="5834" spans="1:18" x14ac:dyDescent="0.45">
      <c r="A5834" s="19" t="s">
        <v>578</v>
      </c>
      <c r="B5834" s="19" t="s">
        <v>63</v>
      </c>
      <c r="C5834">
        <v>1</v>
      </c>
      <c r="D5834">
        <v>2</v>
      </c>
      <c r="E5834">
        <v>2</v>
      </c>
      <c r="F5834" s="15">
        <v>46258</v>
      </c>
      <c r="G5834" s="19" t="s">
        <v>700</v>
      </c>
      <c r="H5834">
        <v>4</v>
      </c>
      <c r="I5834">
        <v>2026</v>
      </c>
      <c r="J5834">
        <v>8</v>
      </c>
      <c r="K5834" s="19" t="s">
        <v>87</v>
      </c>
      <c r="L5834" s="19" t="s">
        <v>14</v>
      </c>
      <c r="M5834" s="19" t="s">
        <v>63</v>
      </c>
      <c r="N5834" t="b">
        <v>0</v>
      </c>
      <c r="O5834">
        <v>0</v>
      </c>
      <c r="P5834">
        <v>0</v>
      </c>
      <c r="Q5834">
        <v>1</v>
      </c>
      <c r="R5834">
        <v>0</v>
      </c>
    </row>
    <row r="5835" spans="1:18" x14ac:dyDescent="0.45">
      <c r="A5835" s="19" t="s">
        <v>578</v>
      </c>
      <c r="B5835" s="19" t="s">
        <v>63</v>
      </c>
      <c r="C5835">
        <v>1</v>
      </c>
      <c r="D5835">
        <v>2</v>
      </c>
      <c r="E5835">
        <v>2</v>
      </c>
      <c r="F5835" s="15">
        <v>46258</v>
      </c>
      <c r="G5835" s="19" t="s">
        <v>700</v>
      </c>
      <c r="H5835">
        <v>4</v>
      </c>
      <c r="I5835">
        <v>2026</v>
      </c>
      <c r="J5835">
        <v>8</v>
      </c>
      <c r="K5835" s="19" t="s">
        <v>87</v>
      </c>
      <c r="L5835" s="19" t="s">
        <v>10</v>
      </c>
      <c r="M5835" s="19" t="s">
        <v>63</v>
      </c>
      <c r="N5835" t="b">
        <v>0</v>
      </c>
      <c r="O5835">
        <v>0</v>
      </c>
      <c r="P5835">
        <v>0</v>
      </c>
      <c r="Q5835">
        <v>1</v>
      </c>
      <c r="R5835">
        <v>0</v>
      </c>
    </row>
    <row r="5836" spans="1:18" x14ac:dyDescent="0.45">
      <c r="A5836" s="19" t="s">
        <v>578</v>
      </c>
      <c r="B5836" s="19" t="s">
        <v>63</v>
      </c>
      <c r="C5836">
        <v>1</v>
      </c>
      <c r="D5836">
        <v>2</v>
      </c>
      <c r="E5836">
        <v>2</v>
      </c>
      <c r="F5836" s="15">
        <v>46258</v>
      </c>
      <c r="G5836" s="19" t="s">
        <v>700</v>
      </c>
      <c r="H5836">
        <v>4</v>
      </c>
      <c r="I5836">
        <v>2026</v>
      </c>
      <c r="J5836">
        <v>8</v>
      </c>
      <c r="K5836" s="19" t="s">
        <v>87</v>
      </c>
      <c r="L5836" s="19" t="s">
        <v>41</v>
      </c>
      <c r="M5836" s="19" t="s">
        <v>63</v>
      </c>
      <c r="N5836" t="b">
        <v>0</v>
      </c>
      <c r="O5836">
        <v>0</v>
      </c>
      <c r="P5836">
        <v>0</v>
      </c>
      <c r="Q5836">
        <v>1</v>
      </c>
      <c r="R5836">
        <v>0</v>
      </c>
    </row>
    <row r="5837" spans="1:18" x14ac:dyDescent="0.45">
      <c r="A5837" s="19" t="s">
        <v>14</v>
      </c>
      <c r="B5837" s="19" t="s">
        <v>63</v>
      </c>
      <c r="C5837">
        <v>2</v>
      </c>
      <c r="D5837">
        <v>2</v>
      </c>
      <c r="E5837">
        <v>2</v>
      </c>
      <c r="F5837" s="15">
        <v>46258</v>
      </c>
      <c r="G5837" s="19" t="s">
        <v>700</v>
      </c>
      <c r="H5837">
        <v>4</v>
      </c>
      <c r="I5837">
        <v>2026</v>
      </c>
      <c r="J5837">
        <v>8</v>
      </c>
      <c r="K5837" s="19" t="s">
        <v>87</v>
      </c>
      <c r="L5837" s="19" t="s">
        <v>578</v>
      </c>
      <c r="M5837" s="19" t="s">
        <v>63</v>
      </c>
      <c r="N5837" t="b">
        <v>0</v>
      </c>
      <c r="O5837">
        <v>0</v>
      </c>
      <c r="P5837">
        <v>0</v>
      </c>
      <c r="Q5837">
        <v>1</v>
      </c>
      <c r="R5837">
        <v>0</v>
      </c>
    </row>
    <row r="5838" spans="1:18" x14ac:dyDescent="0.45">
      <c r="A5838" s="19" t="s">
        <v>14</v>
      </c>
      <c r="B5838" s="19" t="s">
        <v>63</v>
      </c>
      <c r="C5838">
        <v>2</v>
      </c>
      <c r="D5838">
        <v>2</v>
      </c>
      <c r="E5838">
        <v>2</v>
      </c>
      <c r="F5838" s="15">
        <v>46258</v>
      </c>
      <c r="G5838" s="19" t="s">
        <v>700</v>
      </c>
      <c r="H5838">
        <v>4</v>
      </c>
      <c r="I5838">
        <v>2026</v>
      </c>
      <c r="J5838">
        <v>8</v>
      </c>
      <c r="K5838" s="19" t="s">
        <v>87</v>
      </c>
      <c r="L5838" s="19" t="s">
        <v>10</v>
      </c>
      <c r="M5838" s="19" t="s">
        <v>63</v>
      </c>
      <c r="N5838" t="b">
        <v>0</v>
      </c>
      <c r="O5838">
        <v>0</v>
      </c>
      <c r="P5838">
        <v>0</v>
      </c>
      <c r="Q5838">
        <v>1</v>
      </c>
      <c r="R5838">
        <v>0</v>
      </c>
    </row>
    <row r="5839" spans="1:18" x14ac:dyDescent="0.45">
      <c r="A5839" s="19" t="s">
        <v>14</v>
      </c>
      <c r="B5839" s="19" t="s">
        <v>63</v>
      </c>
      <c r="C5839">
        <v>2</v>
      </c>
      <c r="D5839">
        <v>2</v>
      </c>
      <c r="E5839">
        <v>2</v>
      </c>
      <c r="F5839" s="15">
        <v>46258</v>
      </c>
      <c r="G5839" s="19" t="s">
        <v>700</v>
      </c>
      <c r="H5839">
        <v>4</v>
      </c>
      <c r="I5839">
        <v>2026</v>
      </c>
      <c r="J5839">
        <v>8</v>
      </c>
      <c r="K5839" s="19" t="s">
        <v>87</v>
      </c>
      <c r="L5839" s="19" t="s">
        <v>41</v>
      </c>
      <c r="M5839" s="19" t="s">
        <v>63</v>
      </c>
      <c r="N5839" t="b">
        <v>0</v>
      </c>
      <c r="O5839">
        <v>0</v>
      </c>
      <c r="P5839">
        <v>0</v>
      </c>
      <c r="Q5839">
        <v>1</v>
      </c>
      <c r="R5839">
        <v>0</v>
      </c>
    </row>
    <row r="5840" spans="1:18" x14ac:dyDescent="0.45">
      <c r="A5840" s="19" t="s">
        <v>10</v>
      </c>
      <c r="B5840" s="19" t="s">
        <v>63</v>
      </c>
      <c r="C5840">
        <v>3</v>
      </c>
      <c r="D5840">
        <v>2</v>
      </c>
      <c r="E5840">
        <v>2</v>
      </c>
      <c r="F5840" s="15">
        <v>46258</v>
      </c>
      <c r="G5840" s="19" t="s">
        <v>700</v>
      </c>
      <c r="H5840">
        <v>4</v>
      </c>
      <c r="I5840">
        <v>2026</v>
      </c>
      <c r="J5840">
        <v>8</v>
      </c>
      <c r="K5840" s="19" t="s">
        <v>87</v>
      </c>
      <c r="L5840" s="19" t="s">
        <v>578</v>
      </c>
      <c r="M5840" s="19" t="s">
        <v>63</v>
      </c>
      <c r="N5840" t="b">
        <v>0</v>
      </c>
      <c r="O5840">
        <v>0</v>
      </c>
      <c r="P5840">
        <v>0</v>
      </c>
      <c r="Q5840">
        <v>1</v>
      </c>
      <c r="R5840">
        <v>0</v>
      </c>
    </row>
    <row r="5841" spans="1:18" x14ac:dyDescent="0.45">
      <c r="A5841" s="19" t="s">
        <v>10</v>
      </c>
      <c r="B5841" s="19" t="s">
        <v>63</v>
      </c>
      <c r="C5841">
        <v>3</v>
      </c>
      <c r="D5841">
        <v>2</v>
      </c>
      <c r="E5841">
        <v>2</v>
      </c>
      <c r="F5841" s="15">
        <v>46258</v>
      </c>
      <c r="G5841" s="19" t="s">
        <v>700</v>
      </c>
      <c r="H5841">
        <v>4</v>
      </c>
      <c r="I5841">
        <v>2026</v>
      </c>
      <c r="J5841">
        <v>8</v>
      </c>
      <c r="K5841" s="19" t="s">
        <v>87</v>
      </c>
      <c r="L5841" s="19" t="s">
        <v>14</v>
      </c>
      <c r="M5841" s="19" t="s">
        <v>63</v>
      </c>
      <c r="N5841" t="b">
        <v>0</v>
      </c>
      <c r="O5841">
        <v>0</v>
      </c>
      <c r="P5841">
        <v>0</v>
      </c>
      <c r="Q5841">
        <v>1</v>
      </c>
      <c r="R5841">
        <v>0</v>
      </c>
    </row>
    <row r="5842" spans="1:18" x14ac:dyDescent="0.45">
      <c r="A5842" s="19" t="s">
        <v>10</v>
      </c>
      <c r="B5842" s="19" t="s">
        <v>63</v>
      </c>
      <c r="C5842">
        <v>3</v>
      </c>
      <c r="D5842">
        <v>2</v>
      </c>
      <c r="E5842">
        <v>2</v>
      </c>
      <c r="F5842" s="15">
        <v>46258</v>
      </c>
      <c r="G5842" s="19" t="s">
        <v>700</v>
      </c>
      <c r="H5842">
        <v>4</v>
      </c>
      <c r="I5842">
        <v>2026</v>
      </c>
      <c r="J5842">
        <v>8</v>
      </c>
      <c r="K5842" s="19" t="s">
        <v>87</v>
      </c>
      <c r="L5842" s="19" t="s">
        <v>41</v>
      </c>
      <c r="M5842" s="19" t="s">
        <v>63</v>
      </c>
      <c r="N5842" t="b">
        <v>0</v>
      </c>
      <c r="O5842">
        <v>0</v>
      </c>
      <c r="P5842">
        <v>0</v>
      </c>
      <c r="Q5842">
        <v>1</v>
      </c>
      <c r="R5842">
        <v>0</v>
      </c>
    </row>
    <row r="5843" spans="1:18" x14ac:dyDescent="0.45">
      <c r="A5843" s="19" t="s">
        <v>41</v>
      </c>
      <c r="B5843" s="19" t="s">
        <v>63</v>
      </c>
      <c r="C5843">
        <v>4</v>
      </c>
      <c r="D5843">
        <v>2</v>
      </c>
      <c r="E5843">
        <v>2</v>
      </c>
      <c r="F5843" s="15">
        <v>46258</v>
      </c>
      <c r="G5843" s="19" t="s">
        <v>700</v>
      </c>
      <c r="H5843">
        <v>4</v>
      </c>
      <c r="I5843">
        <v>2026</v>
      </c>
      <c r="J5843">
        <v>8</v>
      </c>
      <c r="K5843" s="19" t="s">
        <v>87</v>
      </c>
      <c r="L5843" s="19" t="s">
        <v>578</v>
      </c>
      <c r="M5843" s="19" t="s">
        <v>63</v>
      </c>
      <c r="N5843" t="b">
        <v>0</v>
      </c>
      <c r="O5843">
        <v>0</v>
      </c>
      <c r="P5843">
        <v>0</v>
      </c>
      <c r="Q5843">
        <v>1</v>
      </c>
      <c r="R5843">
        <v>0</v>
      </c>
    </row>
    <row r="5844" spans="1:18" x14ac:dyDescent="0.45">
      <c r="A5844" s="19" t="s">
        <v>41</v>
      </c>
      <c r="B5844" s="19" t="s">
        <v>63</v>
      </c>
      <c r="C5844">
        <v>4</v>
      </c>
      <c r="D5844">
        <v>2</v>
      </c>
      <c r="E5844">
        <v>2</v>
      </c>
      <c r="F5844" s="15">
        <v>46258</v>
      </c>
      <c r="G5844" s="19" t="s">
        <v>700</v>
      </c>
      <c r="H5844">
        <v>4</v>
      </c>
      <c r="I5844">
        <v>2026</v>
      </c>
      <c r="J5844">
        <v>8</v>
      </c>
      <c r="K5844" s="19" t="s">
        <v>87</v>
      </c>
      <c r="L5844" s="19" t="s">
        <v>14</v>
      </c>
      <c r="M5844" s="19" t="s">
        <v>63</v>
      </c>
      <c r="N5844" t="b">
        <v>0</v>
      </c>
      <c r="O5844">
        <v>0</v>
      </c>
      <c r="P5844">
        <v>0</v>
      </c>
      <c r="Q5844">
        <v>1</v>
      </c>
      <c r="R5844">
        <v>0</v>
      </c>
    </row>
    <row r="5845" spans="1:18" x14ac:dyDescent="0.45">
      <c r="A5845" s="19" t="s">
        <v>41</v>
      </c>
      <c r="B5845" s="19" t="s">
        <v>63</v>
      </c>
      <c r="C5845">
        <v>4</v>
      </c>
      <c r="D5845">
        <v>2</v>
      </c>
      <c r="E5845">
        <v>2</v>
      </c>
      <c r="F5845" s="15">
        <v>46258</v>
      </c>
      <c r="G5845" s="19" t="s">
        <v>700</v>
      </c>
      <c r="H5845">
        <v>4</v>
      </c>
      <c r="I5845">
        <v>2026</v>
      </c>
      <c r="J5845">
        <v>8</v>
      </c>
      <c r="K5845" s="19" t="s">
        <v>87</v>
      </c>
      <c r="L5845" s="19" t="s">
        <v>10</v>
      </c>
      <c r="M5845" s="19" t="s">
        <v>63</v>
      </c>
      <c r="N5845" t="b">
        <v>0</v>
      </c>
      <c r="O5845">
        <v>0</v>
      </c>
      <c r="P5845">
        <v>0</v>
      </c>
      <c r="Q5845">
        <v>1</v>
      </c>
      <c r="R5845">
        <v>0</v>
      </c>
    </row>
    <row r="5846" spans="1:18" x14ac:dyDescent="0.45">
      <c r="A5846" s="19" t="s">
        <v>325</v>
      </c>
      <c r="B5846" s="19" t="s">
        <v>63</v>
      </c>
      <c r="C5846">
        <v>1</v>
      </c>
      <c r="D5846">
        <v>3</v>
      </c>
      <c r="E5846">
        <v>2</v>
      </c>
      <c r="F5846" s="15">
        <v>46258</v>
      </c>
      <c r="G5846" s="19" t="s">
        <v>701</v>
      </c>
      <c r="H5846">
        <v>3</v>
      </c>
      <c r="I5846">
        <v>2026</v>
      </c>
      <c r="J5846">
        <v>8</v>
      </c>
      <c r="K5846" s="19" t="s">
        <v>87</v>
      </c>
      <c r="L5846" s="19" t="s">
        <v>9</v>
      </c>
      <c r="M5846" s="19" t="s">
        <v>63</v>
      </c>
      <c r="N5846" t="b">
        <v>0</v>
      </c>
      <c r="O5846">
        <v>0</v>
      </c>
      <c r="P5846">
        <v>0</v>
      </c>
      <c r="Q5846">
        <v>1</v>
      </c>
      <c r="R5846">
        <v>0</v>
      </c>
    </row>
    <row r="5847" spans="1:18" x14ac:dyDescent="0.45">
      <c r="A5847" s="19" t="s">
        <v>325</v>
      </c>
      <c r="B5847" s="19" t="s">
        <v>63</v>
      </c>
      <c r="C5847">
        <v>1</v>
      </c>
      <c r="D5847">
        <v>3</v>
      </c>
      <c r="E5847">
        <v>2</v>
      </c>
      <c r="F5847" s="15">
        <v>46258</v>
      </c>
      <c r="G5847" s="19" t="s">
        <v>701</v>
      </c>
      <c r="H5847">
        <v>3</v>
      </c>
      <c r="I5847">
        <v>2026</v>
      </c>
      <c r="J5847">
        <v>8</v>
      </c>
      <c r="K5847" s="19" t="s">
        <v>87</v>
      </c>
      <c r="L5847" s="19" t="s">
        <v>17</v>
      </c>
      <c r="M5847" s="19" t="s">
        <v>63</v>
      </c>
      <c r="N5847" t="b">
        <v>0</v>
      </c>
      <c r="O5847">
        <v>0</v>
      </c>
      <c r="P5847">
        <v>0</v>
      </c>
      <c r="Q5847">
        <v>1</v>
      </c>
      <c r="R5847">
        <v>0</v>
      </c>
    </row>
    <row r="5848" spans="1:18" x14ac:dyDescent="0.45">
      <c r="A5848" s="19" t="s">
        <v>9</v>
      </c>
      <c r="B5848" s="19" t="s">
        <v>63</v>
      </c>
      <c r="C5848">
        <v>2</v>
      </c>
      <c r="D5848">
        <v>3</v>
      </c>
      <c r="E5848">
        <v>2</v>
      </c>
      <c r="F5848" s="15">
        <v>46258</v>
      </c>
      <c r="G5848" s="19" t="s">
        <v>701</v>
      </c>
      <c r="H5848">
        <v>3</v>
      </c>
      <c r="I5848">
        <v>2026</v>
      </c>
      <c r="J5848">
        <v>8</v>
      </c>
      <c r="K5848" s="19" t="s">
        <v>87</v>
      </c>
      <c r="L5848" s="19" t="s">
        <v>325</v>
      </c>
      <c r="M5848" s="19" t="s">
        <v>63</v>
      </c>
      <c r="N5848" t="b">
        <v>0</v>
      </c>
      <c r="O5848">
        <v>0</v>
      </c>
      <c r="P5848">
        <v>0</v>
      </c>
      <c r="Q5848">
        <v>1</v>
      </c>
      <c r="R5848">
        <v>0</v>
      </c>
    </row>
    <row r="5849" spans="1:18" x14ac:dyDescent="0.45">
      <c r="A5849" s="19" t="s">
        <v>9</v>
      </c>
      <c r="B5849" s="19" t="s">
        <v>63</v>
      </c>
      <c r="C5849">
        <v>2</v>
      </c>
      <c r="D5849">
        <v>3</v>
      </c>
      <c r="E5849">
        <v>2</v>
      </c>
      <c r="F5849" s="15">
        <v>46258</v>
      </c>
      <c r="G5849" s="19" t="s">
        <v>701</v>
      </c>
      <c r="H5849">
        <v>3</v>
      </c>
      <c r="I5849">
        <v>2026</v>
      </c>
      <c r="J5849">
        <v>8</v>
      </c>
      <c r="K5849" s="19" t="s">
        <v>87</v>
      </c>
      <c r="L5849" s="19" t="s">
        <v>17</v>
      </c>
      <c r="M5849" s="19" t="s">
        <v>63</v>
      </c>
      <c r="N5849" t="b">
        <v>0</v>
      </c>
      <c r="O5849">
        <v>0</v>
      </c>
      <c r="P5849">
        <v>0</v>
      </c>
      <c r="Q5849">
        <v>1</v>
      </c>
      <c r="R5849">
        <v>0</v>
      </c>
    </row>
    <row r="5850" spans="1:18" x14ac:dyDescent="0.45">
      <c r="A5850" s="19" t="s">
        <v>17</v>
      </c>
      <c r="B5850" s="19" t="s">
        <v>63</v>
      </c>
      <c r="C5850">
        <v>3</v>
      </c>
      <c r="D5850">
        <v>3</v>
      </c>
      <c r="E5850">
        <v>2</v>
      </c>
      <c r="F5850" s="15">
        <v>46258</v>
      </c>
      <c r="G5850" s="19" t="s">
        <v>701</v>
      </c>
      <c r="H5850">
        <v>3</v>
      </c>
      <c r="I5850">
        <v>2026</v>
      </c>
      <c r="J5850">
        <v>8</v>
      </c>
      <c r="K5850" s="19" t="s">
        <v>87</v>
      </c>
      <c r="L5850" s="19" t="s">
        <v>325</v>
      </c>
      <c r="M5850" s="19" t="s">
        <v>63</v>
      </c>
      <c r="N5850" t="b">
        <v>0</v>
      </c>
      <c r="O5850">
        <v>0</v>
      </c>
      <c r="P5850">
        <v>0</v>
      </c>
      <c r="Q5850">
        <v>1</v>
      </c>
      <c r="R5850">
        <v>0</v>
      </c>
    </row>
    <row r="5851" spans="1:18" x14ac:dyDescent="0.45">
      <c r="A5851" s="19" t="s">
        <v>17</v>
      </c>
      <c r="B5851" s="19" t="s">
        <v>63</v>
      </c>
      <c r="C5851">
        <v>3</v>
      </c>
      <c r="D5851">
        <v>3</v>
      </c>
      <c r="E5851">
        <v>2</v>
      </c>
      <c r="F5851" s="15">
        <v>46258</v>
      </c>
      <c r="G5851" s="19" t="s">
        <v>701</v>
      </c>
      <c r="H5851">
        <v>3</v>
      </c>
      <c r="I5851">
        <v>2026</v>
      </c>
      <c r="J5851">
        <v>8</v>
      </c>
      <c r="K5851" s="19" t="s">
        <v>87</v>
      </c>
      <c r="L5851" s="19" t="s">
        <v>9</v>
      </c>
      <c r="M5851" s="19" t="s">
        <v>63</v>
      </c>
      <c r="N5851" t="b">
        <v>0</v>
      </c>
      <c r="O5851">
        <v>0</v>
      </c>
      <c r="P5851">
        <v>0</v>
      </c>
      <c r="Q5851">
        <v>1</v>
      </c>
      <c r="R5851">
        <v>0</v>
      </c>
    </row>
    <row r="5852" spans="1:18" x14ac:dyDescent="0.45">
      <c r="A5852" s="19" t="s">
        <v>351</v>
      </c>
      <c r="B5852" s="19" t="s">
        <v>63</v>
      </c>
      <c r="C5852">
        <v>1</v>
      </c>
      <c r="D5852">
        <v>4</v>
      </c>
      <c r="E5852">
        <v>2</v>
      </c>
      <c r="F5852" s="15">
        <v>46258</v>
      </c>
      <c r="G5852" s="19" t="s">
        <v>702</v>
      </c>
      <c r="H5852">
        <v>3</v>
      </c>
      <c r="I5852">
        <v>2026</v>
      </c>
      <c r="J5852">
        <v>8</v>
      </c>
      <c r="K5852" s="19" t="s">
        <v>87</v>
      </c>
      <c r="L5852" s="19" t="s">
        <v>28</v>
      </c>
      <c r="M5852" s="19" t="s">
        <v>63</v>
      </c>
      <c r="N5852" t="b">
        <v>0</v>
      </c>
      <c r="O5852">
        <v>0</v>
      </c>
      <c r="P5852">
        <v>0</v>
      </c>
      <c r="Q5852">
        <v>1</v>
      </c>
      <c r="R5852">
        <v>0</v>
      </c>
    </row>
    <row r="5853" spans="1:18" x14ac:dyDescent="0.45">
      <c r="A5853" s="19" t="s">
        <v>351</v>
      </c>
      <c r="B5853" s="19" t="s">
        <v>63</v>
      </c>
      <c r="C5853">
        <v>1</v>
      </c>
      <c r="D5853">
        <v>4</v>
      </c>
      <c r="E5853">
        <v>2</v>
      </c>
      <c r="F5853" s="15">
        <v>46258</v>
      </c>
      <c r="G5853" s="19" t="s">
        <v>702</v>
      </c>
      <c r="H5853">
        <v>3</v>
      </c>
      <c r="I5853">
        <v>2026</v>
      </c>
      <c r="J5853">
        <v>8</v>
      </c>
      <c r="K5853" s="19" t="s">
        <v>87</v>
      </c>
      <c r="L5853" s="19" t="s">
        <v>433</v>
      </c>
      <c r="M5853" s="19" t="s">
        <v>63</v>
      </c>
      <c r="N5853" t="b">
        <v>0</v>
      </c>
      <c r="O5853">
        <v>0</v>
      </c>
      <c r="P5853">
        <v>0</v>
      </c>
      <c r="Q5853">
        <v>1</v>
      </c>
      <c r="R5853">
        <v>0</v>
      </c>
    </row>
    <row r="5854" spans="1:18" x14ac:dyDescent="0.45">
      <c r="A5854" s="19" t="s">
        <v>28</v>
      </c>
      <c r="B5854" s="19" t="s">
        <v>63</v>
      </c>
      <c r="C5854">
        <v>2</v>
      </c>
      <c r="D5854">
        <v>4</v>
      </c>
      <c r="E5854">
        <v>2</v>
      </c>
      <c r="F5854" s="15">
        <v>46258</v>
      </c>
      <c r="G5854" s="19" t="s">
        <v>702</v>
      </c>
      <c r="H5854">
        <v>3</v>
      </c>
      <c r="I5854">
        <v>2026</v>
      </c>
      <c r="J5854">
        <v>8</v>
      </c>
      <c r="K5854" s="19" t="s">
        <v>87</v>
      </c>
      <c r="L5854" s="19" t="s">
        <v>351</v>
      </c>
      <c r="M5854" s="19" t="s">
        <v>63</v>
      </c>
      <c r="N5854" t="b">
        <v>0</v>
      </c>
      <c r="O5854">
        <v>0</v>
      </c>
      <c r="P5854">
        <v>0</v>
      </c>
      <c r="Q5854">
        <v>1</v>
      </c>
      <c r="R5854">
        <v>0</v>
      </c>
    </row>
    <row r="5855" spans="1:18" x14ac:dyDescent="0.45">
      <c r="A5855" s="19" t="s">
        <v>28</v>
      </c>
      <c r="B5855" s="19" t="s">
        <v>63</v>
      </c>
      <c r="C5855">
        <v>2</v>
      </c>
      <c r="D5855">
        <v>4</v>
      </c>
      <c r="E5855">
        <v>2</v>
      </c>
      <c r="F5855" s="15">
        <v>46258</v>
      </c>
      <c r="G5855" s="19" t="s">
        <v>702</v>
      </c>
      <c r="H5855">
        <v>3</v>
      </c>
      <c r="I5855">
        <v>2026</v>
      </c>
      <c r="J5855">
        <v>8</v>
      </c>
      <c r="K5855" s="19" t="s">
        <v>87</v>
      </c>
      <c r="L5855" s="19" t="s">
        <v>433</v>
      </c>
      <c r="M5855" s="19" t="s">
        <v>63</v>
      </c>
      <c r="N5855" t="b">
        <v>0</v>
      </c>
      <c r="O5855">
        <v>0</v>
      </c>
      <c r="P5855">
        <v>0</v>
      </c>
      <c r="Q5855">
        <v>1</v>
      </c>
      <c r="R5855">
        <v>0</v>
      </c>
    </row>
    <row r="5856" spans="1:18" x14ac:dyDescent="0.45">
      <c r="A5856" s="19" t="s">
        <v>433</v>
      </c>
      <c r="B5856" s="19" t="s">
        <v>63</v>
      </c>
      <c r="C5856">
        <v>3</v>
      </c>
      <c r="D5856">
        <v>4</v>
      </c>
      <c r="E5856">
        <v>2</v>
      </c>
      <c r="F5856" s="15">
        <v>46258</v>
      </c>
      <c r="G5856" s="19" t="s">
        <v>702</v>
      </c>
      <c r="H5856">
        <v>3</v>
      </c>
      <c r="I5856">
        <v>2026</v>
      </c>
      <c r="J5856">
        <v>8</v>
      </c>
      <c r="K5856" s="19" t="s">
        <v>87</v>
      </c>
      <c r="L5856" s="19" t="s">
        <v>351</v>
      </c>
      <c r="M5856" s="19" t="s">
        <v>63</v>
      </c>
      <c r="N5856" t="b">
        <v>0</v>
      </c>
      <c r="O5856">
        <v>0</v>
      </c>
      <c r="P5856">
        <v>0</v>
      </c>
      <c r="Q5856">
        <v>1</v>
      </c>
      <c r="R5856">
        <v>0</v>
      </c>
    </row>
    <row r="5857" spans="1:18" x14ac:dyDescent="0.45">
      <c r="A5857" s="19" t="s">
        <v>433</v>
      </c>
      <c r="B5857" s="19" t="s">
        <v>63</v>
      </c>
      <c r="C5857">
        <v>3</v>
      </c>
      <c r="D5857">
        <v>4</v>
      </c>
      <c r="E5857">
        <v>2</v>
      </c>
      <c r="F5857" s="15">
        <v>46258</v>
      </c>
      <c r="G5857" s="19" t="s">
        <v>702</v>
      </c>
      <c r="H5857">
        <v>3</v>
      </c>
      <c r="I5857">
        <v>2026</v>
      </c>
      <c r="J5857">
        <v>8</v>
      </c>
      <c r="K5857" s="19" t="s">
        <v>87</v>
      </c>
      <c r="L5857" s="19" t="s">
        <v>28</v>
      </c>
      <c r="M5857" s="19" t="s">
        <v>63</v>
      </c>
      <c r="N5857" t="b">
        <v>0</v>
      </c>
      <c r="O5857">
        <v>0</v>
      </c>
      <c r="P5857">
        <v>0</v>
      </c>
      <c r="Q5857">
        <v>1</v>
      </c>
      <c r="R5857">
        <v>0</v>
      </c>
    </row>
    <row r="5858" spans="1:18" x14ac:dyDescent="0.45">
      <c r="A5858" s="19" t="s">
        <v>405</v>
      </c>
      <c r="B5858" s="19" t="s">
        <v>8</v>
      </c>
      <c r="C5858">
        <v>1</v>
      </c>
      <c r="D5858">
        <v>5</v>
      </c>
      <c r="E5858">
        <v>2</v>
      </c>
      <c r="F5858" s="15">
        <v>46258</v>
      </c>
      <c r="G5858" s="19" t="s">
        <v>704</v>
      </c>
      <c r="H5858">
        <v>3</v>
      </c>
      <c r="I5858">
        <v>2026</v>
      </c>
      <c r="J5858">
        <v>8</v>
      </c>
      <c r="K5858" s="19" t="s">
        <v>87</v>
      </c>
      <c r="L5858" s="19" t="s">
        <v>609</v>
      </c>
      <c r="M5858" s="19" t="s">
        <v>6</v>
      </c>
      <c r="N5858" t="b">
        <v>0</v>
      </c>
      <c r="O5858">
        <v>1</v>
      </c>
      <c r="P5858">
        <v>0</v>
      </c>
      <c r="Q5858">
        <v>0</v>
      </c>
      <c r="R5858">
        <v>0</v>
      </c>
    </row>
    <row r="5859" spans="1:18" x14ac:dyDescent="0.45">
      <c r="A5859" s="19" t="s">
        <v>405</v>
      </c>
      <c r="B5859" s="19" t="s">
        <v>8</v>
      </c>
      <c r="C5859">
        <v>1</v>
      </c>
      <c r="D5859">
        <v>5</v>
      </c>
      <c r="E5859">
        <v>2</v>
      </c>
      <c r="F5859" s="15">
        <v>46258</v>
      </c>
      <c r="G5859" s="19" t="s">
        <v>704</v>
      </c>
      <c r="H5859">
        <v>3</v>
      </c>
      <c r="I5859">
        <v>2026</v>
      </c>
      <c r="J5859">
        <v>8</v>
      </c>
      <c r="K5859" s="19" t="s">
        <v>87</v>
      </c>
      <c r="L5859" s="19" t="s">
        <v>326</v>
      </c>
      <c r="M5859" s="19" t="s">
        <v>6</v>
      </c>
      <c r="N5859" t="b">
        <v>0</v>
      </c>
      <c r="O5859">
        <v>1</v>
      </c>
      <c r="P5859">
        <v>0</v>
      </c>
      <c r="Q5859">
        <v>0</v>
      </c>
      <c r="R5859">
        <v>0</v>
      </c>
    </row>
    <row r="5860" spans="1:18" x14ac:dyDescent="0.45">
      <c r="A5860" s="19" t="s">
        <v>609</v>
      </c>
      <c r="B5860" s="19" t="s">
        <v>6</v>
      </c>
      <c r="C5860">
        <v>2</v>
      </c>
      <c r="D5860">
        <v>5</v>
      </c>
      <c r="E5860">
        <v>2</v>
      </c>
      <c r="F5860" s="15">
        <v>46258</v>
      </c>
      <c r="G5860" s="19" t="s">
        <v>704</v>
      </c>
      <c r="H5860">
        <v>3</v>
      </c>
      <c r="I5860">
        <v>2026</v>
      </c>
      <c r="J5860">
        <v>8</v>
      </c>
      <c r="K5860" s="19" t="s">
        <v>87</v>
      </c>
      <c r="L5860" s="19" t="s">
        <v>405</v>
      </c>
      <c r="M5860" s="19" t="s">
        <v>8</v>
      </c>
      <c r="N5860" t="b">
        <v>0</v>
      </c>
      <c r="O5860">
        <v>0</v>
      </c>
      <c r="P5860">
        <v>1</v>
      </c>
      <c r="Q5860">
        <v>0</v>
      </c>
      <c r="R5860">
        <v>1</v>
      </c>
    </row>
    <row r="5861" spans="1:18" x14ac:dyDescent="0.45">
      <c r="A5861" s="19" t="s">
        <v>609</v>
      </c>
      <c r="B5861" s="19" t="s">
        <v>6</v>
      </c>
      <c r="C5861">
        <v>2</v>
      </c>
      <c r="D5861">
        <v>5</v>
      </c>
      <c r="E5861">
        <v>2</v>
      </c>
      <c r="F5861" s="15">
        <v>46258</v>
      </c>
      <c r="G5861" s="19" t="s">
        <v>704</v>
      </c>
      <c r="H5861">
        <v>3</v>
      </c>
      <c r="I5861">
        <v>2026</v>
      </c>
      <c r="J5861">
        <v>8</v>
      </c>
      <c r="K5861" s="19" t="s">
        <v>87</v>
      </c>
      <c r="L5861" s="19" t="s">
        <v>326</v>
      </c>
      <c r="M5861" s="19" t="s">
        <v>6</v>
      </c>
      <c r="N5861" t="b">
        <v>0</v>
      </c>
      <c r="O5861">
        <v>0</v>
      </c>
      <c r="P5861">
        <v>1</v>
      </c>
      <c r="Q5861">
        <v>0</v>
      </c>
      <c r="R5861">
        <v>0</v>
      </c>
    </row>
    <row r="5862" spans="1:18" x14ac:dyDescent="0.45">
      <c r="A5862" s="19" t="s">
        <v>326</v>
      </c>
      <c r="B5862" s="19" t="s">
        <v>6</v>
      </c>
      <c r="C5862">
        <v>3</v>
      </c>
      <c r="D5862">
        <v>5</v>
      </c>
      <c r="E5862">
        <v>2</v>
      </c>
      <c r="F5862" s="15">
        <v>46258</v>
      </c>
      <c r="G5862" s="19" t="s">
        <v>704</v>
      </c>
      <c r="H5862">
        <v>3</v>
      </c>
      <c r="I5862">
        <v>2026</v>
      </c>
      <c r="J5862">
        <v>8</v>
      </c>
      <c r="K5862" s="19" t="s">
        <v>87</v>
      </c>
      <c r="L5862" s="19" t="s">
        <v>405</v>
      </c>
      <c r="M5862" s="19" t="s">
        <v>8</v>
      </c>
      <c r="N5862" t="b">
        <v>0</v>
      </c>
      <c r="O5862">
        <v>0</v>
      </c>
      <c r="P5862">
        <v>1</v>
      </c>
      <c r="Q5862">
        <v>0</v>
      </c>
      <c r="R5862">
        <v>1</v>
      </c>
    </row>
    <row r="5863" spans="1:18" x14ac:dyDescent="0.45">
      <c r="A5863" s="19" t="s">
        <v>326</v>
      </c>
      <c r="B5863" s="19" t="s">
        <v>6</v>
      </c>
      <c r="C5863">
        <v>3</v>
      </c>
      <c r="D5863">
        <v>5</v>
      </c>
      <c r="E5863">
        <v>2</v>
      </c>
      <c r="F5863" s="15">
        <v>46258</v>
      </c>
      <c r="G5863" s="19" t="s">
        <v>704</v>
      </c>
      <c r="H5863">
        <v>3</v>
      </c>
      <c r="I5863">
        <v>2026</v>
      </c>
      <c r="J5863">
        <v>8</v>
      </c>
      <c r="K5863" s="19" t="s">
        <v>87</v>
      </c>
      <c r="L5863" s="19" t="s">
        <v>609</v>
      </c>
      <c r="M5863" s="19" t="s">
        <v>6</v>
      </c>
      <c r="N5863" t="b">
        <v>0</v>
      </c>
      <c r="O5863">
        <v>0</v>
      </c>
      <c r="P5863">
        <v>1</v>
      </c>
      <c r="Q5863">
        <v>0</v>
      </c>
      <c r="R5863">
        <v>0</v>
      </c>
    </row>
    <row r="5864" spans="1:18" x14ac:dyDescent="0.45">
      <c r="A5864" s="19" t="s">
        <v>14</v>
      </c>
      <c r="B5864" s="19" t="s">
        <v>63</v>
      </c>
      <c r="C5864">
        <v>1</v>
      </c>
      <c r="D5864">
        <v>1</v>
      </c>
      <c r="E5864">
        <v>1</v>
      </c>
      <c r="F5864" s="15">
        <v>46265</v>
      </c>
      <c r="G5864" s="19" t="s">
        <v>705</v>
      </c>
      <c r="H5864">
        <v>4</v>
      </c>
      <c r="I5864">
        <v>2026</v>
      </c>
      <c r="J5864">
        <v>8</v>
      </c>
      <c r="K5864" s="19" t="s">
        <v>87</v>
      </c>
      <c r="L5864" s="19" t="s">
        <v>703</v>
      </c>
      <c r="M5864" s="19" t="s">
        <v>63</v>
      </c>
      <c r="N5864" t="b">
        <v>0</v>
      </c>
      <c r="O5864">
        <v>0</v>
      </c>
      <c r="P5864">
        <v>0</v>
      </c>
      <c r="Q5864">
        <v>1</v>
      </c>
      <c r="R5864">
        <v>0</v>
      </c>
    </row>
    <row r="5865" spans="1:18" x14ac:dyDescent="0.45">
      <c r="A5865" s="19" t="s">
        <v>14</v>
      </c>
      <c r="B5865" s="19" t="s">
        <v>63</v>
      </c>
      <c r="C5865">
        <v>1</v>
      </c>
      <c r="D5865">
        <v>1</v>
      </c>
      <c r="E5865">
        <v>1</v>
      </c>
      <c r="F5865" s="15">
        <v>46265</v>
      </c>
      <c r="G5865" s="19" t="s">
        <v>705</v>
      </c>
      <c r="H5865">
        <v>4</v>
      </c>
      <c r="I5865">
        <v>2026</v>
      </c>
      <c r="J5865">
        <v>8</v>
      </c>
      <c r="K5865" s="19" t="s">
        <v>87</v>
      </c>
      <c r="L5865" s="19" t="s">
        <v>28</v>
      </c>
      <c r="M5865" s="19" t="s">
        <v>63</v>
      </c>
      <c r="N5865" t="b">
        <v>0</v>
      </c>
      <c r="O5865">
        <v>0</v>
      </c>
      <c r="P5865">
        <v>0</v>
      </c>
      <c r="Q5865">
        <v>1</v>
      </c>
      <c r="R5865">
        <v>0</v>
      </c>
    </row>
    <row r="5866" spans="1:18" x14ac:dyDescent="0.45">
      <c r="A5866" s="19" t="s">
        <v>14</v>
      </c>
      <c r="B5866" s="19" t="s">
        <v>63</v>
      </c>
      <c r="C5866">
        <v>1</v>
      </c>
      <c r="D5866">
        <v>1</v>
      </c>
      <c r="E5866">
        <v>1</v>
      </c>
      <c r="F5866" s="15">
        <v>46265</v>
      </c>
      <c r="G5866" s="19" t="s">
        <v>705</v>
      </c>
      <c r="H5866">
        <v>4</v>
      </c>
      <c r="I5866">
        <v>2026</v>
      </c>
      <c r="J5866">
        <v>8</v>
      </c>
      <c r="K5866" s="19" t="s">
        <v>87</v>
      </c>
      <c r="L5866" s="19" t="s">
        <v>609</v>
      </c>
      <c r="M5866" s="19" t="s">
        <v>63</v>
      </c>
      <c r="N5866" t="b">
        <v>0</v>
      </c>
      <c r="O5866">
        <v>0</v>
      </c>
      <c r="P5866">
        <v>0</v>
      </c>
      <c r="Q5866">
        <v>1</v>
      </c>
      <c r="R5866">
        <v>0</v>
      </c>
    </row>
    <row r="5867" spans="1:18" x14ac:dyDescent="0.45">
      <c r="A5867" s="19" t="s">
        <v>703</v>
      </c>
      <c r="B5867" s="19" t="s">
        <v>63</v>
      </c>
      <c r="C5867">
        <v>2</v>
      </c>
      <c r="D5867">
        <v>1</v>
      </c>
      <c r="E5867">
        <v>1</v>
      </c>
      <c r="F5867" s="15">
        <v>46265</v>
      </c>
      <c r="G5867" s="19" t="s">
        <v>705</v>
      </c>
      <c r="H5867">
        <v>4</v>
      </c>
      <c r="I5867">
        <v>2026</v>
      </c>
      <c r="J5867">
        <v>8</v>
      </c>
      <c r="K5867" s="19" t="s">
        <v>87</v>
      </c>
      <c r="L5867" s="19" t="s">
        <v>14</v>
      </c>
      <c r="M5867" s="19" t="s">
        <v>63</v>
      </c>
      <c r="N5867" t="b">
        <v>0</v>
      </c>
      <c r="O5867">
        <v>0</v>
      </c>
      <c r="P5867">
        <v>0</v>
      </c>
      <c r="Q5867">
        <v>1</v>
      </c>
      <c r="R5867">
        <v>0</v>
      </c>
    </row>
    <row r="5868" spans="1:18" x14ac:dyDescent="0.45">
      <c r="A5868" s="19" t="s">
        <v>703</v>
      </c>
      <c r="B5868" s="19" t="s">
        <v>63</v>
      </c>
      <c r="C5868">
        <v>2</v>
      </c>
      <c r="D5868">
        <v>1</v>
      </c>
      <c r="E5868">
        <v>1</v>
      </c>
      <c r="F5868" s="15">
        <v>46265</v>
      </c>
      <c r="G5868" s="19" t="s">
        <v>705</v>
      </c>
      <c r="H5868">
        <v>4</v>
      </c>
      <c r="I5868">
        <v>2026</v>
      </c>
      <c r="J5868">
        <v>8</v>
      </c>
      <c r="K5868" s="19" t="s">
        <v>87</v>
      </c>
      <c r="L5868" s="19" t="s">
        <v>28</v>
      </c>
      <c r="M5868" s="19" t="s">
        <v>63</v>
      </c>
      <c r="N5868" t="b">
        <v>0</v>
      </c>
      <c r="O5868">
        <v>0</v>
      </c>
      <c r="P5868">
        <v>0</v>
      </c>
      <c r="Q5868">
        <v>1</v>
      </c>
      <c r="R5868">
        <v>0</v>
      </c>
    </row>
    <row r="5869" spans="1:18" x14ac:dyDescent="0.45">
      <c r="A5869" s="19" t="s">
        <v>703</v>
      </c>
      <c r="B5869" s="19" t="s">
        <v>63</v>
      </c>
      <c r="C5869">
        <v>2</v>
      </c>
      <c r="D5869">
        <v>1</v>
      </c>
      <c r="E5869">
        <v>1</v>
      </c>
      <c r="F5869" s="15">
        <v>46265</v>
      </c>
      <c r="G5869" s="19" t="s">
        <v>705</v>
      </c>
      <c r="H5869">
        <v>4</v>
      </c>
      <c r="I5869">
        <v>2026</v>
      </c>
      <c r="J5869">
        <v>8</v>
      </c>
      <c r="K5869" s="19" t="s">
        <v>87</v>
      </c>
      <c r="L5869" s="19" t="s">
        <v>609</v>
      </c>
      <c r="M5869" s="19" t="s">
        <v>63</v>
      </c>
      <c r="N5869" t="b">
        <v>0</v>
      </c>
      <c r="O5869">
        <v>0</v>
      </c>
      <c r="P5869">
        <v>0</v>
      </c>
      <c r="Q5869">
        <v>1</v>
      </c>
      <c r="R5869">
        <v>0</v>
      </c>
    </row>
    <row r="5870" spans="1:18" x14ac:dyDescent="0.45">
      <c r="A5870" s="19" t="s">
        <v>28</v>
      </c>
      <c r="B5870" s="19" t="s">
        <v>63</v>
      </c>
      <c r="C5870">
        <v>3</v>
      </c>
      <c r="D5870">
        <v>1</v>
      </c>
      <c r="E5870">
        <v>1</v>
      </c>
      <c r="F5870" s="15">
        <v>46265</v>
      </c>
      <c r="G5870" s="19" t="s">
        <v>705</v>
      </c>
      <c r="H5870">
        <v>4</v>
      </c>
      <c r="I5870">
        <v>2026</v>
      </c>
      <c r="J5870">
        <v>8</v>
      </c>
      <c r="K5870" s="19" t="s">
        <v>87</v>
      </c>
      <c r="L5870" s="19" t="s">
        <v>14</v>
      </c>
      <c r="M5870" s="19" t="s">
        <v>63</v>
      </c>
      <c r="N5870" t="b">
        <v>0</v>
      </c>
      <c r="O5870">
        <v>0</v>
      </c>
      <c r="P5870">
        <v>0</v>
      </c>
      <c r="Q5870">
        <v>1</v>
      </c>
      <c r="R5870">
        <v>0</v>
      </c>
    </row>
    <row r="5871" spans="1:18" x14ac:dyDescent="0.45">
      <c r="A5871" s="19" t="s">
        <v>28</v>
      </c>
      <c r="B5871" s="19" t="s">
        <v>63</v>
      </c>
      <c r="C5871">
        <v>3</v>
      </c>
      <c r="D5871">
        <v>1</v>
      </c>
      <c r="E5871">
        <v>1</v>
      </c>
      <c r="F5871" s="15">
        <v>46265</v>
      </c>
      <c r="G5871" s="19" t="s">
        <v>705</v>
      </c>
      <c r="H5871">
        <v>4</v>
      </c>
      <c r="I5871">
        <v>2026</v>
      </c>
      <c r="J5871">
        <v>8</v>
      </c>
      <c r="K5871" s="19" t="s">
        <v>87</v>
      </c>
      <c r="L5871" s="19" t="s">
        <v>703</v>
      </c>
      <c r="M5871" s="19" t="s">
        <v>63</v>
      </c>
      <c r="N5871" t="b">
        <v>0</v>
      </c>
      <c r="O5871">
        <v>0</v>
      </c>
      <c r="P5871">
        <v>0</v>
      </c>
      <c r="Q5871">
        <v>1</v>
      </c>
      <c r="R5871">
        <v>0</v>
      </c>
    </row>
    <row r="5872" spans="1:18" x14ac:dyDescent="0.45">
      <c r="A5872" s="19" t="s">
        <v>28</v>
      </c>
      <c r="B5872" s="19" t="s">
        <v>63</v>
      </c>
      <c r="C5872">
        <v>3</v>
      </c>
      <c r="D5872">
        <v>1</v>
      </c>
      <c r="E5872">
        <v>1</v>
      </c>
      <c r="F5872" s="15">
        <v>46265</v>
      </c>
      <c r="G5872" s="19" t="s">
        <v>705</v>
      </c>
      <c r="H5872">
        <v>4</v>
      </c>
      <c r="I5872">
        <v>2026</v>
      </c>
      <c r="J5872">
        <v>8</v>
      </c>
      <c r="K5872" s="19" t="s">
        <v>87</v>
      </c>
      <c r="L5872" s="19" t="s">
        <v>609</v>
      </c>
      <c r="M5872" s="19" t="s">
        <v>63</v>
      </c>
      <c r="N5872" t="b">
        <v>0</v>
      </c>
      <c r="O5872">
        <v>0</v>
      </c>
      <c r="P5872">
        <v>0</v>
      </c>
      <c r="Q5872">
        <v>1</v>
      </c>
      <c r="R5872">
        <v>0</v>
      </c>
    </row>
    <row r="5873" spans="1:18" x14ac:dyDescent="0.45">
      <c r="A5873" s="19" t="s">
        <v>609</v>
      </c>
      <c r="B5873" s="19" t="s">
        <v>63</v>
      </c>
      <c r="C5873">
        <v>4</v>
      </c>
      <c r="D5873">
        <v>1</v>
      </c>
      <c r="E5873">
        <v>1</v>
      </c>
      <c r="F5873" s="15">
        <v>46265</v>
      </c>
      <c r="G5873" s="19" t="s">
        <v>705</v>
      </c>
      <c r="H5873">
        <v>4</v>
      </c>
      <c r="I5873">
        <v>2026</v>
      </c>
      <c r="J5873">
        <v>8</v>
      </c>
      <c r="K5873" s="19" t="s">
        <v>87</v>
      </c>
      <c r="L5873" s="19" t="s">
        <v>14</v>
      </c>
      <c r="M5873" s="19" t="s">
        <v>63</v>
      </c>
      <c r="N5873" t="b">
        <v>0</v>
      </c>
      <c r="O5873">
        <v>0</v>
      </c>
      <c r="P5873">
        <v>0</v>
      </c>
      <c r="Q5873">
        <v>1</v>
      </c>
      <c r="R5873">
        <v>0</v>
      </c>
    </row>
    <row r="5874" spans="1:18" x14ac:dyDescent="0.45">
      <c r="A5874" s="19" t="s">
        <v>609</v>
      </c>
      <c r="B5874" s="19" t="s">
        <v>63</v>
      </c>
      <c r="C5874">
        <v>4</v>
      </c>
      <c r="D5874">
        <v>1</v>
      </c>
      <c r="E5874">
        <v>1</v>
      </c>
      <c r="F5874" s="15">
        <v>46265</v>
      </c>
      <c r="G5874" s="19" t="s">
        <v>705</v>
      </c>
      <c r="H5874">
        <v>4</v>
      </c>
      <c r="I5874">
        <v>2026</v>
      </c>
      <c r="J5874">
        <v>8</v>
      </c>
      <c r="K5874" s="19" t="s">
        <v>87</v>
      </c>
      <c r="L5874" s="19" t="s">
        <v>703</v>
      </c>
      <c r="M5874" s="19" t="s">
        <v>63</v>
      </c>
      <c r="N5874" t="b">
        <v>0</v>
      </c>
      <c r="O5874">
        <v>0</v>
      </c>
      <c r="P5874">
        <v>0</v>
      </c>
      <c r="Q5874">
        <v>1</v>
      </c>
      <c r="R5874">
        <v>0</v>
      </c>
    </row>
    <row r="5875" spans="1:18" x14ac:dyDescent="0.45">
      <c r="A5875" s="19" t="s">
        <v>609</v>
      </c>
      <c r="B5875" s="19" t="s">
        <v>63</v>
      </c>
      <c r="C5875">
        <v>4</v>
      </c>
      <c r="D5875">
        <v>1</v>
      </c>
      <c r="E5875">
        <v>1</v>
      </c>
      <c r="F5875" s="15">
        <v>46265</v>
      </c>
      <c r="G5875" s="19" t="s">
        <v>705</v>
      </c>
      <c r="H5875">
        <v>4</v>
      </c>
      <c r="I5875">
        <v>2026</v>
      </c>
      <c r="J5875">
        <v>8</v>
      </c>
      <c r="K5875" s="19" t="s">
        <v>87</v>
      </c>
      <c r="L5875" s="19" t="s">
        <v>28</v>
      </c>
      <c r="M5875" s="19" t="s">
        <v>63</v>
      </c>
      <c r="N5875" t="b">
        <v>0</v>
      </c>
      <c r="O5875">
        <v>0</v>
      </c>
      <c r="P5875">
        <v>0</v>
      </c>
      <c r="Q5875">
        <v>1</v>
      </c>
      <c r="R5875">
        <v>0</v>
      </c>
    </row>
    <row r="5876" spans="1:18" x14ac:dyDescent="0.45">
      <c r="A5876" s="19" t="s">
        <v>15</v>
      </c>
      <c r="B5876" s="19" t="s">
        <v>8</v>
      </c>
      <c r="C5876">
        <v>1</v>
      </c>
      <c r="D5876">
        <v>2</v>
      </c>
      <c r="E5876">
        <v>1</v>
      </c>
      <c r="F5876" s="15">
        <v>46265</v>
      </c>
      <c r="G5876" s="19" t="s">
        <v>706</v>
      </c>
      <c r="H5876">
        <v>4</v>
      </c>
      <c r="I5876">
        <v>2026</v>
      </c>
      <c r="J5876">
        <v>8</v>
      </c>
      <c r="K5876" s="19" t="s">
        <v>87</v>
      </c>
      <c r="L5876" s="19" t="s">
        <v>41</v>
      </c>
      <c r="M5876" s="19" t="s">
        <v>6</v>
      </c>
      <c r="N5876" t="b">
        <v>0</v>
      </c>
      <c r="O5876">
        <v>1</v>
      </c>
      <c r="P5876">
        <v>0</v>
      </c>
      <c r="Q5876">
        <v>0</v>
      </c>
      <c r="R5876">
        <v>0</v>
      </c>
    </row>
    <row r="5877" spans="1:18" x14ac:dyDescent="0.45">
      <c r="A5877" s="19" t="s">
        <v>15</v>
      </c>
      <c r="B5877" s="19" t="s">
        <v>8</v>
      </c>
      <c r="C5877">
        <v>1</v>
      </c>
      <c r="D5877">
        <v>2</v>
      </c>
      <c r="E5877">
        <v>1</v>
      </c>
      <c r="F5877" s="15">
        <v>46265</v>
      </c>
      <c r="G5877" s="19" t="s">
        <v>706</v>
      </c>
      <c r="H5877">
        <v>4</v>
      </c>
      <c r="I5877">
        <v>2026</v>
      </c>
      <c r="J5877">
        <v>8</v>
      </c>
      <c r="K5877" s="19" t="s">
        <v>87</v>
      </c>
      <c r="L5877" s="19" t="s">
        <v>17</v>
      </c>
      <c r="M5877" s="19" t="s">
        <v>6</v>
      </c>
      <c r="N5877" t="b">
        <v>0</v>
      </c>
      <c r="O5877">
        <v>1</v>
      </c>
      <c r="P5877">
        <v>0</v>
      </c>
      <c r="Q5877">
        <v>0</v>
      </c>
      <c r="R5877">
        <v>0</v>
      </c>
    </row>
    <row r="5878" spans="1:18" x14ac:dyDescent="0.45">
      <c r="A5878" s="19" t="s">
        <v>15</v>
      </c>
      <c r="B5878" s="19" t="s">
        <v>8</v>
      </c>
      <c r="C5878">
        <v>1</v>
      </c>
      <c r="D5878">
        <v>2</v>
      </c>
      <c r="E5878">
        <v>1</v>
      </c>
      <c r="F5878" s="15">
        <v>46265</v>
      </c>
      <c r="G5878" s="19" t="s">
        <v>706</v>
      </c>
      <c r="H5878">
        <v>4</v>
      </c>
      <c r="I5878">
        <v>2026</v>
      </c>
      <c r="J5878">
        <v>8</v>
      </c>
      <c r="K5878" s="19" t="s">
        <v>87</v>
      </c>
      <c r="L5878" s="19" t="s">
        <v>27</v>
      </c>
      <c r="M5878" s="19" t="s">
        <v>6</v>
      </c>
      <c r="N5878" t="b">
        <v>0</v>
      </c>
      <c r="O5878">
        <v>1</v>
      </c>
      <c r="P5878">
        <v>0</v>
      </c>
      <c r="Q5878">
        <v>0</v>
      </c>
      <c r="R5878">
        <v>0</v>
      </c>
    </row>
    <row r="5879" spans="1:18" x14ac:dyDescent="0.45">
      <c r="A5879" s="19" t="s">
        <v>41</v>
      </c>
      <c r="B5879" s="19" t="s">
        <v>6</v>
      </c>
      <c r="C5879">
        <v>2</v>
      </c>
      <c r="D5879">
        <v>2</v>
      </c>
      <c r="E5879">
        <v>1</v>
      </c>
      <c r="F5879" s="15">
        <v>46265</v>
      </c>
      <c r="G5879" s="19" t="s">
        <v>706</v>
      </c>
      <c r="H5879">
        <v>4</v>
      </c>
      <c r="I5879">
        <v>2026</v>
      </c>
      <c r="J5879">
        <v>8</v>
      </c>
      <c r="K5879" s="19" t="s">
        <v>87</v>
      </c>
      <c r="L5879" s="19" t="s">
        <v>15</v>
      </c>
      <c r="M5879" s="19" t="s">
        <v>8</v>
      </c>
      <c r="N5879" t="b">
        <v>0</v>
      </c>
      <c r="O5879">
        <v>0</v>
      </c>
      <c r="P5879">
        <v>1</v>
      </c>
      <c r="Q5879">
        <v>0</v>
      </c>
      <c r="R5879">
        <v>1</v>
      </c>
    </row>
    <row r="5880" spans="1:18" x14ac:dyDescent="0.45">
      <c r="A5880" s="19" t="s">
        <v>41</v>
      </c>
      <c r="B5880" s="19" t="s">
        <v>6</v>
      </c>
      <c r="C5880">
        <v>2</v>
      </c>
      <c r="D5880">
        <v>2</v>
      </c>
      <c r="E5880">
        <v>1</v>
      </c>
      <c r="F5880" s="15">
        <v>46265</v>
      </c>
      <c r="G5880" s="19" t="s">
        <v>706</v>
      </c>
      <c r="H5880">
        <v>4</v>
      </c>
      <c r="I5880">
        <v>2026</v>
      </c>
      <c r="J5880">
        <v>8</v>
      </c>
      <c r="K5880" s="19" t="s">
        <v>87</v>
      </c>
      <c r="L5880" s="19" t="s">
        <v>17</v>
      </c>
      <c r="M5880" s="19" t="s">
        <v>6</v>
      </c>
      <c r="N5880" t="b">
        <v>0</v>
      </c>
      <c r="O5880">
        <v>0</v>
      </c>
      <c r="P5880">
        <v>1</v>
      </c>
      <c r="Q5880">
        <v>0</v>
      </c>
      <c r="R5880">
        <v>0</v>
      </c>
    </row>
    <row r="5881" spans="1:18" x14ac:dyDescent="0.45">
      <c r="A5881" s="19" t="s">
        <v>41</v>
      </c>
      <c r="B5881" s="19" t="s">
        <v>6</v>
      </c>
      <c r="C5881">
        <v>2</v>
      </c>
      <c r="D5881">
        <v>2</v>
      </c>
      <c r="E5881">
        <v>1</v>
      </c>
      <c r="F5881" s="15">
        <v>46265</v>
      </c>
      <c r="G5881" s="19" t="s">
        <v>706</v>
      </c>
      <c r="H5881">
        <v>4</v>
      </c>
      <c r="I5881">
        <v>2026</v>
      </c>
      <c r="J5881">
        <v>8</v>
      </c>
      <c r="K5881" s="19" t="s">
        <v>87</v>
      </c>
      <c r="L5881" s="19" t="s">
        <v>27</v>
      </c>
      <c r="M5881" s="19" t="s">
        <v>6</v>
      </c>
      <c r="N5881" t="b">
        <v>0</v>
      </c>
      <c r="O5881">
        <v>0</v>
      </c>
      <c r="P5881">
        <v>1</v>
      </c>
      <c r="Q5881">
        <v>0</v>
      </c>
      <c r="R5881">
        <v>0</v>
      </c>
    </row>
    <row r="5882" spans="1:18" x14ac:dyDescent="0.45">
      <c r="A5882" s="19" t="s">
        <v>17</v>
      </c>
      <c r="B5882" s="19" t="s">
        <v>6</v>
      </c>
      <c r="C5882">
        <v>3</v>
      </c>
      <c r="D5882">
        <v>2</v>
      </c>
      <c r="E5882">
        <v>1</v>
      </c>
      <c r="F5882" s="15">
        <v>46265</v>
      </c>
      <c r="G5882" s="19" t="s">
        <v>706</v>
      </c>
      <c r="H5882">
        <v>4</v>
      </c>
      <c r="I5882">
        <v>2026</v>
      </c>
      <c r="J5882">
        <v>8</v>
      </c>
      <c r="K5882" s="19" t="s">
        <v>87</v>
      </c>
      <c r="L5882" s="19" t="s">
        <v>15</v>
      </c>
      <c r="M5882" s="19" t="s">
        <v>8</v>
      </c>
      <c r="N5882" t="b">
        <v>0</v>
      </c>
      <c r="O5882">
        <v>0</v>
      </c>
      <c r="P5882">
        <v>1</v>
      </c>
      <c r="Q5882">
        <v>0</v>
      </c>
      <c r="R5882">
        <v>1</v>
      </c>
    </row>
    <row r="5883" spans="1:18" x14ac:dyDescent="0.45">
      <c r="A5883" s="19" t="s">
        <v>17</v>
      </c>
      <c r="B5883" s="19" t="s">
        <v>6</v>
      </c>
      <c r="C5883">
        <v>3</v>
      </c>
      <c r="D5883">
        <v>2</v>
      </c>
      <c r="E5883">
        <v>1</v>
      </c>
      <c r="F5883" s="15">
        <v>46265</v>
      </c>
      <c r="G5883" s="19" t="s">
        <v>706</v>
      </c>
      <c r="H5883">
        <v>4</v>
      </c>
      <c r="I5883">
        <v>2026</v>
      </c>
      <c r="J5883">
        <v>8</v>
      </c>
      <c r="K5883" s="19" t="s">
        <v>87</v>
      </c>
      <c r="L5883" s="19" t="s">
        <v>41</v>
      </c>
      <c r="M5883" s="19" t="s">
        <v>6</v>
      </c>
      <c r="N5883" t="b">
        <v>0</v>
      </c>
      <c r="O5883">
        <v>0</v>
      </c>
      <c r="P5883">
        <v>1</v>
      </c>
      <c r="Q5883">
        <v>0</v>
      </c>
      <c r="R5883">
        <v>0</v>
      </c>
    </row>
    <row r="5884" spans="1:18" x14ac:dyDescent="0.45">
      <c r="A5884" s="19" t="s">
        <v>17</v>
      </c>
      <c r="B5884" s="19" t="s">
        <v>6</v>
      </c>
      <c r="C5884">
        <v>3</v>
      </c>
      <c r="D5884">
        <v>2</v>
      </c>
      <c r="E5884">
        <v>1</v>
      </c>
      <c r="F5884" s="15">
        <v>46265</v>
      </c>
      <c r="G5884" s="19" t="s">
        <v>706</v>
      </c>
      <c r="H5884">
        <v>4</v>
      </c>
      <c r="I5884">
        <v>2026</v>
      </c>
      <c r="J5884">
        <v>8</v>
      </c>
      <c r="K5884" s="19" t="s">
        <v>87</v>
      </c>
      <c r="L5884" s="19" t="s">
        <v>27</v>
      </c>
      <c r="M5884" s="19" t="s">
        <v>6</v>
      </c>
      <c r="N5884" t="b">
        <v>0</v>
      </c>
      <c r="O5884">
        <v>0</v>
      </c>
      <c r="P5884">
        <v>1</v>
      </c>
      <c r="Q5884">
        <v>0</v>
      </c>
      <c r="R5884">
        <v>0</v>
      </c>
    </row>
    <row r="5885" spans="1:18" x14ac:dyDescent="0.45">
      <c r="A5885" s="19" t="s">
        <v>27</v>
      </c>
      <c r="B5885" s="19" t="s">
        <v>6</v>
      </c>
      <c r="C5885">
        <v>4</v>
      </c>
      <c r="D5885">
        <v>2</v>
      </c>
      <c r="E5885">
        <v>1</v>
      </c>
      <c r="F5885" s="15">
        <v>46265</v>
      </c>
      <c r="G5885" s="19" t="s">
        <v>706</v>
      </c>
      <c r="H5885">
        <v>4</v>
      </c>
      <c r="I5885">
        <v>2026</v>
      </c>
      <c r="J5885">
        <v>8</v>
      </c>
      <c r="K5885" s="19" t="s">
        <v>87</v>
      </c>
      <c r="L5885" s="19" t="s">
        <v>15</v>
      </c>
      <c r="M5885" s="19" t="s">
        <v>8</v>
      </c>
      <c r="N5885" t="b">
        <v>0</v>
      </c>
      <c r="O5885">
        <v>0</v>
      </c>
      <c r="P5885">
        <v>1</v>
      </c>
      <c r="Q5885">
        <v>0</v>
      </c>
      <c r="R5885">
        <v>1</v>
      </c>
    </row>
    <row r="5886" spans="1:18" x14ac:dyDescent="0.45">
      <c r="A5886" s="19" t="s">
        <v>27</v>
      </c>
      <c r="B5886" s="19" t="s">
        <v>6</v>
      </c>
      <c r="C5886">
        <v>4</v>
      </c>
      <c r="D5886">
        <v>2</v>
      </c>
      <c r="E5886">
        <v>1</v>
      </c>
      <c r="F5886" s="15">
        <v>46265</v>
      </c>
      <c r="G5886" s="19" t="s">
        <v>706</v>
      </c>
      <c r="H5886">
        <v>4</v>
      </c>
      <c r="I5886">
        <v>2026</v>
      </c>
      <c r="J5886">
        <v>8</v>
      </c>
      <c r="K5886" s="19" t="s">
        <v>87</v>
      </c>
      <c r="L5886" s="19" t="s">
        <v>41</v>
      </c>
      <c r="M5886" s="19" t="s">
        <v>6</v>
      </c>
      <c r="N5886" t="b">
        <v>0</v>
      </c>
      <c r="O5886">
        <v>0</v>
      </c>
      <c r="P5886">
        <v>1</v>
      </c>
      <c r="Q5886">
        <v>0</v>
      </c>
      <c r="R5886">
        <v>0</v>
      </c>
    </row>
    <row r="5887" spans="1:18" x14ac:dyDescent="0.45">
      <c r="A5887" s="19" t="s">
        <v>27</v>
      </c>
      <c r="B5887" s="19" t="s">
        <v>6</v>
      </c>
      <c r="C5887">
        <v>4</v>
      </c>
      <c r="D5887">
        <v>2</v>
      </c>
      <c r="E5887">
        <v>1</v>
      </c>
      <c r="F5887" s="15">
        <v>46265</v>
      </c>
      <c r="G5887" s="19" t="s">
        <v>706</v>
      </c>
      <c r="H5887">
        <v>4</v>
      </c>
      <c r="I5887">
        <v>2026</v>
      </c>
      <c r="J5887">
        <v>8</v>
      </c>
      <c r="K5887" s="19" t="s">
        <v>87</v>
      </c>
      <c r="L5887" s="19" t="s">
        <v>17</v>
      </c>
      <c r="M5887" s="19" t="s">
        <v>6</v>
      </c>
      <c r="N5887" t="b">
        <v>0</v>
      </c>
      <c r="O5887">
        <v>0</v>
      </c>
      <c r="P5887">
        <v>1</v>
      </c>
      <c r="Q5887">
        <v>0</v>
      </c>
      <c r="R5887">
        <v>0</v>
      </c>
    </row>
    <row r="5888" spans="1:18" x14ac:dyDescent="0.45">
      <c r="A5888" s="19" t="s">
        <v>402</v>
      </c>
      <c r="B5888" s="19" t="s">
        <v>63</v>
      </c>
      <c r="C5888">
        <v>1</v>
      </c>
      <c r="D5888">
        <v>3</v>
      </c>
      <c r="E5888">
        <v>1</v>
      </c>
      <c r="F5888" s="15">
        <v>46265</v>
      </c>
      <c r="G5888" s="19" t="s">
        <v>707</v>
      </c>
      <c r="H5888">
        <v>4</v>
      </c>
      <c r="I5888">
        <v>2026</v>
      </c>
      <c r="J5888">
        <v>8</v>
      </c>
      <c r="K5888" s="19" t="s">
        <v>87</v>
      </c>
      <c r="L5888" s="19" t="s">
        <v>7</v>
      </c>
      <c r="M5888" s="19" t="s">
        <v>63</v>
      </c>
      <c r="N5888" t="b">
        <v>0</v>
      </c>
      <c r="O5888">
        <v>0</v>
      </c>
      <c r="P5888">
        <v>0</v>
      </c>
      <c r="Q5888">
        <v>1</v>
      </c>
      <c r="R5888">
        <v>0</v>
      </c>
    </row>
    <row r="5889" spans="1:18" x14ac:dyDescent="0.45">
      <c r="A5889" s="19" t="s">
        <v>402</v>
      </c>
      <c r="B5889" s="19" t="s">
        <v>63</v>
      </c>
      <c r="C5889">
        <v>1</v>
      </c>
      <c r="D5889">
        <v>3</v>
      </c>
      <c r="E5889">
        <v>1</v>
      </c>
      <c r="F5889" s="15">
        <v>46265</v>
      </c>
      <c r="G5889" s="19" t="s">
        <v>707</v>
      </c>
      <c r="H5889">
        <v>4</v>
      </c>
      <c r="I5889">
        <v>2026</v>
      </c>
      <c r="J5889">
        <v>8</v>
      </c>
      <c r="K5889" s="19" t="s">
        <v>87</v>
      </c>
      <c r="L5889" s="19" t="s">
        <v>10</v>
      </c>
      <c r="M5889" s="19" t="s">
        <v>63</v>
      </c>
      <c r="N5889" t="b">
        <v>0</v>
      </c>
      <c r="O5889">
        <v>0</v>
      </c>
      <c r="P5889">
        <v>0</v>
      </c>
      <c r="Q5889">
        <v>1</v>
      </c>
      <c r="R5889">
        <v>0</v>
      </c>
    </row>
    <row r="5890" spans="1:18" x14ac:dyDescent="0.45">
      <c r="A5890" s="19" t="s">
        <v>402</v>
      </c>
      <c r="B5890" s="19" t="s">
        <v>63</v>
      </c>
      <c r="C5890">
        <v>1</v>
      </c>
      <c r="D5890">
        <v>3</v>
      </c>
      <c r="E5890">
        <v>1</v>
      </c>
      <c r="F5890" s="15">
        <v>46265</v>
      </c>
      <c r="G5890" s="19" t="s">
        <v>707</v>
      </c>
      <c r="H5890">
        <v>4</v>
      </c>
      <c r="I5890">
        <v>2026</v>
      </c>
      <c r="J5890">
        <v>8</v>
      </c>
      <c r="K5890" s="19" t="s">
        <v>87</v>
      </c>
      <c r="L5890" s="19" t="s">
        <v>13</v>
      </c>
      <c r="M5890" s="19" t="s">
        <v>63</v>
      </c>
      <c r="N5890" t="b">
        <v>0</v>
      </c>
      <c r="O5890">
        <v>0</v>
      </c>
      <c r="P5890">
        <v>0</v>
      </c>
      <c r="Q5890">
        <v>1</v>
      </c>
      <c r="R5890">
        <v>0</v>
      </c>
    </row>
    <row r="5891" spans="1:18" x14ac:dyDescent="0.45">
      <c r="A5891" s="19" t="s">
        <v>7</v>
      </c>
      <c r="B5891" s="19" t="s">
        <v>63</v>
      </c>
      <c r="C5891">
        <v>2</v>
      </c>
      <c r="D5891">
        <v>3</v>
      </c>
      <c r="E5891">
        <v>1</v>
      </c>
      <c r="F5891" s="15">
        <v>46265</v>
      </c>
      <c r="G5891" s="19" t="s">
        <v>707</v>
      </c>
      <c r="H5891">
        <v>4</v>
      </c>
      <c r="I5891">
        <v>2026</v>
      </c>
      <c r="J5891">
        <v>8</v>
      </c>
      <c r="K5891" s="19" t="s">
        <v>87</v>
      </c>
      <c r="L5891" s="19" t="s">
        <v>402</v>
      </c>
      <c r="M5891" s="19" t="s">
        <v>63</v>
      </c>
      <c r="N5891" t="b">
        <v>0</v>
      </c>
      <c r="O5891">
        <v>0</v>
      </c>
      <c r="P5891">
        <v>0</v>
      </c>
      <c r="Q5891">
        <v>1</v>
      </c>
      <c r="R5891">
        <v>0</v>
      </c>
    </row>
    <row r="5892" spans="1:18" x14ac:dyDescent="0.45">
      <c r="A5892" s="19" t="s">
        <v>7</v>
      </c>
      <c r="B5892" s="19" t="s">
        <v>63</v>
      </c>
      <c r="C5892">
        <v>2</v>
      </c>
      <c r="D5892">
        <v>3</v>
      </c>
      <c r="E5892">
        <v>1</v>
      </c>
      <c r="F5892" s="15">
        <v>46265</v>
      </c>
      <c r="G5892" s="19" t="s">
        <v>707</v>
      </c>
      <c r="H5892">
        <v>4</v>
      </c>
      <c r="I5892">
        <v>2026</v>
      </c>
      <c r="J5892">
        <v>8</v>
      </c>
      <c r="K5892" s="19" t="s">
        <v>87</v>
      </c>
      <c r="L5892" s="19" t="s">
        <v>10</v>
      </c>
      <c r="M5892" s="19" t="s">
        <v>63</v>
      </c>
      <c r="N5892" t="b">
        <v>0</v>
      </c>
      <c r="O5892">
        <v>0</v>
      </c>
      <c r="P5892">
        <v>0</v>
      </c>
      <c r="Q5892">
        <v>1</v>
      </c>
      <c r="R5892">
        <v>0</v>
      </c>
    </row>
    <row r="5893" spans="1:18" x14ac:dyDescent="0.45">
      <c r="A5893" s="19" t="s">
        <v>7</v>
      </c>
      <c r="B5893" s="19" t="s">
        <v>63</v>
      </c>
      <c r="C5893">
        <v>2</v>
      </c>
      <c r="D5893">
        <v>3</v>
      </c>
      <c r="E5893">
        <v>1</v>
      </c>
      <c r="F5893" s="15">
        <v>46265</v>
      </c>
      <c r="G5893" s="19" t="s">
        <v>707</v>
      </c>
      <c r="H5893">
        <v>4</v>
      </c>
      <c r="I5893">
        <v>2026</v>
      </c>
      <c r="J5893">
        <v>8</v>
      </c>
      <c r="K5893" s="19" t="s">
        <v>87</v>
      </c>
      <c r="L5893" s="19" t="s">
        <v>13</v>
      </c>
      <c r="M5893" s="19" t="s">
        <v>63</v>
      </c>
      <c r="N5893" t="b">
        <v>0</v>
      </c>
      <c r="O5893">
        <v>0</v>
      </c>
      <c r="P5893">
        <v>0</v>
      </c>
      <c r="Q5893">
        <v>1</v>
      </c>
      <c r="R5893">
        <v>0</v>
      </c>
    </row>
    <row r="5894" spans="1:18" x14ac:dyDescent="0.45">
      <c r="A5894" s="19" t="s">
        <v>10</v>
      </c>
      <c r="B5894" s="19" t="s">
        <v>63</v>
      </c>
      <c r="C5894">
        <v>3</v>
      </c>
      <c r="D5894">
        <v>3</v>
      </c>
      <c r="E5894">
        <v>1</v>
      </c>
      <c r="F5894" s="15">
        <v>46265</v>
      </c>
      <c r="G5894" s="19" t="s">
        <v>707</v>
      </c>
      <c r="H5894">
        <v>4</v>
      </c>
      <c r="I5894">
        <v>2026</v>
      </c>
      <c r="J5894">
        <v>8</v>
      </c>
      <c r="K5894" s="19" t="s">
        <v>87</v>
      </c>
      <c r="L5894" s="19" t="s">
        <v>402</v>
      </c>
      <c r="M5894" s="19" t="s">
        <v>63</v>
      </c>
      <c r="N5894" t="b">
        <v>0</v>
      </c>
      <c r="O5894">
        <v>0</v>
      </c>
      <c r="P5894">
        <v>0</v>
      </c>
      <c r="Q5894">
        <v>1</v>
      </c>
      <c r="R5894">
        <v>0</v>
      </c>
    </row>
    <row r="5895" spans="1:18" x14ac:dyDescent="0.45">
      <c r="A5895" s="19" t="s">
        <v>10</v>
      </c>
      <c r="B5895" s="19" t="s">
        <v>63</v>
      </c>
      <c r="C5895">
        <v>3</v>
      </c>
      <c r="D5895">
        <v>3</v>
      </c>
      <c r="E5895">
        <v>1</v>
      </c>
      <c r="F5895" s="15">
        <v>46265</v>
      </c>
      <c r="G5895" s="19" t="s">
        <v>707</v>
      </c>
      <c r="H5895">
        <v>4</v>
      </c>
      <c r="I5895">
        <v>2026</v>
      </c>
      <c r="J5895">
        <v>8</v>
      </c>
      <c r="K5895" s="19" t="s">
        <v>87</v>
      </c>
      <c r="L5895" s="19" t="s">
        <v>7</v>
      </c>
      <c r="M5895" s="19" t="s">
        <v>63</v>
      </c>
      <c r="N5895" t="b">
        <v>0</v>
      </c>
      <c r="O5895">
        <v>0</v>
      </c>
      <c r="P5895">
        <v>0</v>
      </c>
      <c r="Q5895">
        <v>1</v>
      </c>
      <c r="R5895">
        <v>0</v>
      </c>
    </row>
    <row r="5896" spans="1:18" x14ac:dyDescent="0.45">
      <c r="A5896" s="19" t="s">
        <v>10</v>
      </c>
      <c r="B5896" s="19" t="s">
        <v>63</v>
      </c>
      <c r="C5896">
        <v>3</v>
      </c>
      <c r="D5896">
        <v>3</v>
      </c>
      <c r="E5896">
        <v>1</v>
      </c>
      <c r="F5896" s="15">
        <v>46265</v>
      </c>
      <c r="G5896" s="19" t="s">
        <v>707</v>
      </c>
      <c r="H5896">
        <v>4</v>
      </c>
      <c r="I5896">
        <v>2026</v>
      </c>
      <c r="J5896">
        <v>8</v>
      </c>
      <c r="K5896" s="19" t="s">
        <v>87</v>
      </c>
      <c r="L5896" s="19" t="s">
        <v>13</v>
      </c>
      <c r="M5896" s="19" t="s">
        <v>63</v>
      </c>
      <c r="N5896" t="b">
        <v>0</v>
      </c>
      <c r="O5896">
        <v>0</v>
      </c>
      <c r="P5896">
        <v>0</v>
      </c>
      <c r="Q5896">
        <v>1</v>
      </c>
      <c r="R5896">
        <v>0</v>
      </c>
    </row>
    <row r="5897" spans="1:18" x14ac:dyDescent="0.45">
      <c r="A5897" s="19" t="s">
        <v>13</v>
      </c>
      <c r="B5897" s="19" t="s">
        <v>63</v>
      </c>
      <c r="C5897">
        <v>4</v>
      </c>
      <c r="D5897">
        <v>3</v>
      </c>
      <c r="E5897">
        <v>1</v>
      </c>
      <c r="F5897" s="15">
        <v>46265</v>
      </c>
      <c r="G5897" s="19" t="s">
        <v>707</v>
      </c>
      <c r="H5897">
        <v>4</v>
      </c>
      <c r="I5897">
        <v>2026</v>
      </c>
      <c r="J5897">
        <v>8</v>
      </c>
      <c r="K5897" s="19" t="s">
        <v>87</v>
      </c>
      <c r="L5897" s="19" t="s">
        <v>402</v>
      </c>
      <c r="M5897" s="19" t="s">
        <v>63</v>
      </c>
      <c r="N5897" t="b">
        <v>0</v>
      </c>
      <c r="O5897">
        <v>0</v>
      </c>
      <c r="P5897">
        <v>0</v>
      </c>
      <c r="Q5897">
        <v>1</v>
      </c>
      <c r="R5897">
        <v>0</v>
      </c>
    </row>
    <row r="5898" spans="1:18" x14ac:dyDescent="0.45">
      <c r="A5898" s="19" t="s">
        <v>13</v>
      </c>
      <c r="B5898" s="19" t="s">
        <v>63</v>
      </c>
      <c r="C5898">
        <v>4</v>
      </c>
      <c r="D5898">
        <v>3</v>
      </c>
      <c r="E5898">
        <v>1</v>
      </c>
      <c r="F5898" s="15">
        <v>46265</v>
      </c>
      <c r="G5898" s="19" t="s">
        <v>707</v>
      </c>
      <c r="H5898">
        <v>4</v>
      </c>
      <c r="I5898">
        <v>2026</v>
      </c>
      <c r="J5898">
        <v>8</v>
      </c>
      <c r="K5898" s="19" t="s">
        <v>87</v>
      </c>
      <c r="L5898" s="19" t="s">
        <v>7</v>
      </c>
      <c r="M5898" s="19" t="s">
        <v>63</v>
      </c>
      <c r="N5898" t="b">
        <v>0</v>
      </c>
      <c r="O5898">
        <v>0</v>
      </c>
      <c r="P5898">
        <v>0</v>
      </c>
      <c r="Q5898">
        <v>1</v>
      </c>
      <c r="R5898">
        <v>0</v>
      </c>
    </row>
    <row r="5899" spans="1:18" x14ac:dyDescent="0.45">
      <c r="A5899" s="19" t="s">
        <v>13</v>
      </c>
      <c r="B5899" s="19" t="s">
        <v>63</v>
      </c>
      <c r="C5899">
        <v>4</v>
      </c>
      <c r="D5899">
        <v>3</v>
      </c>
      <c r="E5899">
        <v>1</v>
      </c>
      <c r="F5899" s="15">
        <v>46265</v>
      </c>
      <c r="G5899" s="19" t="s">
        <v>707</v>
      </c>
      <c r="H5899">
        <v>4</v>
      </c>
      <c r="I5899">
        <v>2026</v>
      </c>
      <c r="J5899">
        <v>8</v>
      </c>
      <c r="K5899" s="19" t="s">
        <v>87</v>
      </c>
      <c r="L5899" s="19" t="s">
        <v>10</v>
      </c>
      <c r="M5899" s="19" t="s">
        <v>63</v>
      </c>
      <c r="N5899" t="b">
        <v>0</v>
      </c>
      <c r="O5899">
        <v>0</v>
      </c>
      <c r="P5899">
        <v>0</v>
      </c>
      <c r="Q5899">
        <v>1</v>
      </c>
      <c r="R5899">
        <v>0</v>
      </c>
    </row>
    <row r="5900" spans="1:18" x14ac:dyDescent="0.45">
      <c r="A5900" s="19" t="s">
        <v>51</v>
      </c>
      <c r="B5900" s="19" t="s">
        <v>63</v>
      </c>
      <c r="C5900">
        <v>1</v>
      </c>
      <c r="D5900">
        <v>4</v>
      </c>
      <c r="E5900">
        <v>1</v>
      </c>
      <c r="F5900" s="15">
        <v>46265</v>
      </c>
      <c r="G5900" s="19" t="s">
        <v>708</v>
      </c>
      <c r="H5900">
        <v>4</v>
      </c>
      <c r="I5900">
        <v>2026</v>
      </c>
      <c r="J5900">
        <v>8</v>
      </c>
      <c r="K5900" s="19" t="s">
        <v>87</v>
      </c>
      <c r="L5900" s="19" t="s">
        <v>325</v>
      </c>
      <c r="M5900" s="19" t="s">
        <v>63</v>
      </c>
      <c r="N5900" t="b">
        <v>0</v>
      </c>
      <c r="O5900">
        <v>0</v>
      </c>
      <c r="P5900">
        <v>0</v>
      </c>
      <c r="Q5900">
        <v>1</v>
      </c>
      <c r="R5900">
        <v>0</v>
      </c>
    </row>
    <row r="5901" spans="1:18" x14ac:dyDescent="0.45">
      <c r="A5901" s="19" t="s">
        <v>51</v>
      </c>
      <c r="B5901" s="19" t="s">
        <v>63</v>
      </c>
      <c r="C5901">
        <v>1</v>
      </c>
      <c r="D5901">
        <v>4</v>
      </c>
      <c r="E5901">
        <v>1</v>
      </c>
      <c r="F5901" s="15">
        <v>46265</v>
      </c>
      <c r="G5901" s="19" t="s">
        <v>708</v>
      </c>
      <c r="H5901">
        <v>4</v>
      </c>
      <c r="I5901">
        <v>2026</v>
      </c>
      <c r="J5901">
        <v>8</v>
      </c>
      <c r="K5901" s="19" t="s">
        <v>87</v>
      </c>
      <c r="L5901" s="19" t="s">
        <v>578</v>
      </c>
      <c r="M5901" s="19" t="s">
        <v>63</v>
      </c>
      <c r="N5901" t="b">
        <v>0</v>
      </c>
      <c r="O5901">
        <v>0</v>
      </c>
      <c r="P5901">
        <v>0</v>
      </c>
      <c r="Q5901">
        <v>1</v>
      </c>
      <c r="R5901">
        <v>0</v>
      </c>
    </row>
    <row r="5902" spans="1:18" x14ac:dyDescent="0.45">
      <c r="A5902" s="19" t="s">
        <v>51</v>
      </c>
      <c r="B5902" s="19" t="s">
        <v>63</v>
      </c>
      <c r="C5902">
        <v>1</v>
      </c>
      <c r="D5902">
        <v>4</v>
      </c>
      <c r="E5902">
        <v>1</v>
      </c>
      <c r="F5902" s="15">
        <v>46265</v>
      </c>
      <c r="G5902" s="19" t="s">
        <v>708</v>
      </c>
      <c r="H5902">
        <v>4</v>
      </c>
      <c r="I5902">
        <v>2026</v>
      </c>
      <c r="J5902">
        <v>8</v>
      </c>
      <c r="K5902" s="19" t="s">
        <v>87</v>
      </c>
      <c r="L5902" s="19" t="s">
        <v>9</v>
      </c>
      <c r="M5902" s="19" t="s">
        <v>63</v>
      </c>
      <c r="N5902" t="b">
        <v>0</v>
      </c>
      <c r="O5902">
        <v>0</v>
      </c>
      <c r="P5902">
        <v>0</v>
      </c>
      <c r="Q5902">
        <v>1</v>
      </c>
      <c r="R5902">
        <v>0</v>
      </c>
    </row>
    <row r="5903" spans="1:18" x14ac:dyDescent="0.45">
      <c r="A5903" s="19" t="s">
        <v>325</v>
      </c>
      <c r="B5903" s="19" t="s">
        <v>63</v>
      </c>
      <c r="C5903">
        <v>2</v>
      </c>
      <c r="D5903">
        <v>4</v>
      </c>
      <c r="E5903">
        <v>1</v>
      </c>
      <c r="F5903" s="15">
        <v>46265</v>
      </c>
      <c r="G5903" s="19" t="s">
        <v>708</v>
      </c>
      <c r="H5903">
        <v>4</v>
      </c>
      <c r="I5903">
        <v>2026</v>
      </c>
      <c r="J5903">
        <v>8</v>
      </c>
      <c r="K5903" s="19" t="s">
        <v>87</v>
      </c>
      <c r="L5903" s="19" t="s">
        <v>51</v>
      </c>
      <c r="M5903" s="19" t="s">
        <v>63</v>
      </c>
      <c r="N5903" t="b">
        <v>0</v>
      </c>
      <c r="O5903">
        <v>0</v>
      </c>
      <c r="P5903">
        <v>0</v>
      </c>
      <c r="Q5903">
        <v>1</v>
      </c>
      <c r="R5903">
        <v>0</v>
      </c>
    </row>
    <row r="5904" spans="1:18" x14ac:dyDescent="0.45">
      <c r="A5904" s="19" t="s">
        <v>325</v>
      </c>
      <c r="B5904" s="19" t="s">
        <v>63</v>
      </c>
      <c r="C5904">
        <v>2</v>
      </c>
      <c r="D5904">
        <v>4</v>
      </c>
      <c r="E5904">
        <v>1</v>
      </c>
      <c r="F5904" s="15">
        <v>46265</v>
      </c>
      <c r="G5904" s="19" t="s">
        <v>708</v>
      </c>
      <c r="H5904">
        <v>4</v>
      </c>
      <c r="I5904">
        <v>2026</v>
      </c>
      <c r="J5904">
        <v>8</v>
      </c>
      <c r="K5904" s="19" t="s">
        <v>87</v>
      </c>
      <c r="L5904" s="19" t="s">
        <v>578</v>
      </c>
      <c r="M5904" s="19" t="s">
        <v>63</v>
      </c>
      <c r="N5904" t="b">
        <v>0</v>
      </c>
      <c r="O5904">
        <v>0</v>
      </c>
      <c r="P5904">
        <v>0</v>
      </c>
      <c r="Q5904">
        <v>1</v>
      </c>
      <c r="R5904">
        <v>0</v>
      </c>
    </row>
    <row r="5905" spans="1:18" x14ac:dyDescent="0.45">
      <c r="A5905" s="19" t="s">
        <v>325</v>
      </c>
      <c r="B5905" s="19" t="s">
        <v>63</v>
      </c>
      <c r="C5905">
        <v>2</v>
      </c>
      <c r="D5905">
        <v>4</v>
      </c>
      <c r="E5905">
        <v>1</v>
      </c>
      <c r="F5905" s="15">
        <v>46265</v>
      </c>
      <c r="G5905" s="19" t="s">
        <v>708</v>
      </c>
      <c r="H5905">
        <v>4</v>
      </c>
      <c r="I5905">
        <v>2026</v>
      </c>
      <c r="J5905">
        <v>8</v>
      </c>
      <c r="K5905" s="19" t="s">
        <v>87</v>
      </c>
      <c r="L5905" s="19" t="s">
        <v>9</v>
      </c>
      <c r="M5905" s="19" t="s">
        <v>63</v>
      </c>
      <c r="N5905" t="b">
        <v>0</v>
      </c>
      <c r="O5905">
        <v>0</v>
      </c>
      <c r="P5905">
        <v>0</v>
      </c>
      <c r="Q5905">
        <v>1</v>
      </c>
      <c r="R5905">
        <v>0</v>
      </c>
    </row>
    <row r="5906" spans="1:18" x14ac:dyDescent="0.45">
      <c r="A5906" s="19" t="s">
        <v>578</v>
      </c>
      <c r="B5906" s="19" t="s">
        <v>63</v>
      </c>
      <c r="C5906">
        <v>3</v>
      </c>
      <c r="D5906">
        <v>4</v>
      </c>
      <c r="E5906">
        <v>1</v>
      </c>
      <c r="F5906" s="15">
        <v>46265</v>
      </c>
      <c r="G5906" s="19" t="s">
        <v>708</v>
      </c>
      <c r="H5906">
        <v>4</v>
      </c>
      <c r="I5906">
        <v>2026</v>
      </c>
      <c r="J5906">
        <v>8</v>
      </c>
      <c r="K5906" s="19" t="s">
        <v>87</v>
      </c>
      <c r="L5906" s="19" t="s">
        <v>51</v>
      </c>
      <c r="M5906" s="19" t="s">
        <v>63</v>
      </c>
      <c r="N5906" t="b">
        <v>0</v>
      </c>
      <c r="O5906">
        <v>0</v>
      </c>
      <c r="P5906">
        <v>0</v>
      </c>
      <c r="Q5906">
        <v>1</v>
      </c>
      <c r="R5906">
        <v>0</v>
      </c>
    </row>
    <row r="5907" spans="1:18" x14ac:dyDescent="0.45">
      <c r="A5907" s="19" t="s">
        <v>578</v>
      </c>
      <c r="B5907" s="19" t="s">
        <v>63</v>
      </c>
      <c r="C5907">
        <v>3</v>
      </c>
      <c r="D5907">
        <v>4</v>
      </c>
      <c r="E5907">
        <v>1</v>
      </c>
      <c r="F5907" s="15">
        <v>46265</v>
      </c>
      <c r="G5907" s="19" t="s">
        <v>708</v>
      </c>
      <c r="H5907">
        <v>4</v>
      </c>
      <c r="I5907">
        <v>2026</v>
      </c>
      <c r="J5907">
        <v>8</v>
      </c>
      <c r="K5907" s="19" t="s">
        <v>87</v>
      </c>
      <c r="L5907" s="19" t="s">
        <v>325</v>
      </c>
      <c r="M5907" s="19" t="s">
        <v>63</v>
      </c>
      <c r="N5907" t="b">
        <v>0</v>
      </c>
      <c r="O5907">
        <v>0</v>
      </c>
      <c r="P5907">
        <v>0</v>
      </c>
      <c r="Q5907">
        <v>1</v>
      </c>
      <c r="R5907">
        <v>0</v>
      </c>
    </row>
    <row r="5908" spans="1:18" x14ac:dyDescent="0.45">
      <c r="A5908" s="19" t="s">
        <v>578</v>
      </c>
      <c r="B5908" s="19" t="s">
        <v>63</v>
      </c>
      <c r="C5908">
        <v>3</v>
      </c>
      <c r="D5908">
        <v>4</v>
      </c>
      <c r="E5908">
        <v>1</v>
      </c>
      <c r="F5908" s="15">
        <v>46265</v>
      </c>
      <c r="G5908" s="19" t="s">
        <v>708</v>
      </c>
      <c r="H5908">
        <v>4</v>
      </c>
      <c r="I5908">
        <v>2026</v>
      </c>
      <c r="J5908">
        <v>8</v>
      </c>
      <c r="K5908" s="19" t="s">
        <v>87</v>
      </c>
      <c r="L5908" s="19" t="s">
        <v>9</v>
      </c>
      <c r="M5908" s="19" t="s">
        <v>63</v>
      </c>
      <c r="N5908" t="b">
        <v>0</v>
      </c>
      <c r="O5908">
        <v>0</v>
      </c>
      <c r="P5908">
        <v>0</v>
      </c>
      <c r="Q5908">
        <v>1</v>
      </c>
      <c r="R5908">
        <v>0</v>
      </c>
    </row>
    <row r="5909" spans="1:18" x14ac:dyDescent="0.45">
      <c r="A5909" s="19" t="s">
        <v>9</v>
      </c>
      <c r="B5909" s="19" t="s">
        <v>63</v>
      </c>
      <c r="C5909">
        <v>4</v>
      </c>
      <c r="D5909">
        <v>4</v>
      </c>
      <c r="E5909">
        <v>1</v>
      </c>
      <c r="F5909" s="15">
        <v>46265</v>
      </c>
      <c r="G5909" s="19" t="s">
        <v>708</v>
      </c>
      <c r="H5909">
        <v>4</v>
      </c>
      <c r="I5909">
        <v>2026</v>
      </c>
      <c r="J5909">
        <v>8</v>
      </c>
      <c r="K5909" s="19" t="s">
        <v>87</v>
      </c>
      <c r="L5909" s="19" t="s">
        <v>51</v>
      </c>
      <c r="M5909" s="19" t="s">
        <v>63</v>
      </c>
      <c r="N5909" t="b">
        <v>0</v>
      </c>
      <c r="O5909">
        <v>0</v>
      </c>
      <c r="P5909">
        <v>0</v>
      </c>
      <c r="Q5909">
        <v>1</v>
      </c>
      <c r="R5909">
        <v>0</v>
      </c>
    </row>
    <row r="5910" spans="1:18" x14ac:dyDescent="0.45">
      <c r="A5910" s="19" t="s">
        <v>9</v>
      </c>
      <c r="B5910" s="19" t="s">
        <v>63</v>
      </c>
      <c r="C5910">
        <v>4</v>
      </c>
      <c r="D5910">
        <v>4</v>
      </c>
      <c r="E5910">
        <v>1</v>
      </c>
      <c r="F5910" s="15">
        <v>46265</v>
      </c>
      <c r="G5910" s="19" t="s">
        <v>708</v>
      </c>
      <c r="H5910">
        <v>4</v>
      </c>
      <c r="I5910">
        <v>2026</v>
      </c>
      <c r="J5910">
        <v>8</v>
      </c>
      <c r="K5910" s="19" t="s">
        <v>87</v>
      </c>
      <c r="L5910" s="19" t="s">
        <v>325</v>
      </c>
      <c r="M5910" s="19" t="s">
        <v>63</v>
      </c>
      <c r="N5910" t="b">
        <v>0</v>
      </c>
      <c r="O5910">
        <v>0</v>
      </c>
      <c r="P5910">
        <v>0</v>
      </c>
      <c r="Q5910">
        <v>1</v>
      </c>
      <c r="R5910">
        <v>0</v>
      </c>
    </row>
    <row r="5911" spans="1:18" x14ac:dyDescent="0.45">
      <c r="A5911" s="19" t="s">
        <v>9</v>
      </c>
      <c r="B5911" s="19" t="s">
        <v>63</v>
      </c>
      <c r="C5911">
        <v>4</v>
      </c>
      <c r="D5911">
        <v>4</v>
      </c>
      <c r="E5911">
        <v>1</v>
      </c>
      <c r="F5911" s="15">
        <v>46265</v>
      </c>
      <c r="G5911" s="19" t="s">
        <v>708</v>
      </c>
      <c r="H5911">
        <v>4</v>
      </c>
      <c r="I5911">
        <v>2026</v>
      </c>
      <c r="J5911">
        <v>8</v>
      </c>
      <c r="K5911" s="19" t="s">
        <v>87</v>
      </c>
      <c r="L5911" s="19" t="s">
        <v>578</v>
      </c>
      <c r="M5911" s="19" t="s">
        <v>63</v>
      </c>
      <c r="N5911" t="b">
        <v>0</v>
      </c>
      <c r="O5911">
        <v>0</v>
      </c>
      <c r="P5911">
        <v>0</v>
      </c>
      <c r="Q5911">
        <v>1</v>
      </c>
      <c r="R5911">
        <v>0</v>
      </c>
    </row>
    <row r="5912" spans="1:18" x14ac:dyDescent="0.45">
      <c r="A5912" s="19" t="s">
        <v>19</v>
      </c>
      <c r="B5912" s="19" t="s">
        <v>6</v>
      </c>
      <c r="C5912">
        <v>1</v>
      </c>
      <c r="D5912">
        <v>5</v>
      </c>
      <c r="E5912">
        <v>1</v>
      </c>
      <c r="F5912" s="15">
        <v>46265</v>
      </c>
      <c r="G5912" s="19" t="s">
        <v>709</v>
      </c>
      <c r="H5912">
        <v>3</v>
      </c>
      <c r="I5912">
        <v>2026</v>
      </c>
      <c r="J5912">
        <v>8</v>
      </c>
      <c r="K5912" s="19" t="s">
        <v>87</v>
      </c>
      <c r="L5912" s="19" t="s">
        <v>20</v>
      </c>
      <c r="M5912" s="19" t="s">
        <v>8</v>
      </c>
      <c r="N5912" t="b">
        <v>0</v>
      </c>
      <c r="O5912">
        <v>0</v>
      </c>
      <c r="P5912">
        <v>1</v>
      </c>
      <c r="Q5912">
        <v>0</v>
      </c>
      <c r="R5912">
        <v>1</v>
      </c>
    </row>
    <row r="5913" spans="1:18" x14ac:dyDescent="0.45">
      <c r="A5913" s="19" t="s">
        <v>19</v>
      </c>
      <c r="B5913" s="19" t="s">
        <v>6</v>
      </c>
      <c r="C5913">
        <v>1</v>
      </c>
      <c r="D5913">
        <v>5</v>
      </c>
      <c r="E5913">
        <v>1</v>
      </c>
      <c r="F5913" s="15">
        <v>46265</v>
      </c>
      <c r="G5913" s="19" t="s">
        <v>709</v>
      </c>
      <c r="H5913">
        <v>3</v>
      </c>
      <c r="I5913">
        <v>2026</v>
      </c>
      <c r="J5913">
        <v>8</v>
      </c>
      <c r="K5913" s="19" t="s">
        <v>87</v>
      </c>
      <c r="L5913" s="19" t="s">
        <v>11</v>
      </c>
      <c r="M5913" s="19" t="s">
        <v>6</v>
      </c>
      <c r="N5913" t="b">
        <v>0</v>
      </c>
      <c r="O5913">
        <v>0</v>
      </c>
      <c r="P5913">
        <v>1</v>
      </c>
      <c r="Q5913">
        <v>0</v>
      </c>
      <c r="R5913">
        <v>0</v>
      </c>
    </row>
    <row r="5914" spans="1:18" x14ac:dyDescent="0.45">
      <c r="A5914" s="19" t="s">
        <v>20</v>
      </c>
      <c r="B5914" s="19" t="s">
        <v>8</v>
      </c>
      <c r="C5914">
        <v>2</v>
      </c>
      <c r="D5914">
        <v>5</v>
      </c>
      <c r="E5914">
        <v>1</v>
      </c>
      <c r="F5914" s="15">
        <v>46265</v>
      </c>
      <c r="G5914" s="19" t="s">
        <v>709</v>
      </c>
      <c r="H5914">
        <v>3</v>
      </c>
      <c r="I5914">
        <v>2026</v>
      </c>
      <c r="J5914">
        <v>8</v>
      </c>
      <c r="K5914" s="19" t="s">
        <v>87</v>
      </c>
      <c r="L5914" s="19" t="s">
        <v>19</v>
      </c>
      <c r="M5914" s="19" t="s">
        <v>6</v>
      </c>
      <c r="N5914" t="b">
        <v>0</v>
      </c>
      <c r="O5914">
        <v>1</v>
      </c>
      <c r="P5914">
        <v>0</v>
      </c>
      <c r="Q5914">
        <v>0</v>
      </c>
      <c r="R5914">
        <v>0</v>
      </c>
    </row>
    <row r="5915" spans="1:18" x14ac:dyDescent="0.45">
      <c r="A5915" s="19" t="s">
        <v>20</v>
      </c>
      <c r="B5915" s="19" t="s">
        <v>8</v>
      </c>
      <c r="C5915">
        <v>2</v>
      </c>
      <c r="D5915">
        <v>5</v>
      </c>
      <c r="E5915">
        <v>1</v>
      </c>
      <c r="F5915" s="15">
        <v>46265</v>
      </c>
      <c r="G5915" s="19" t="s">
        <v>709</v>
      </c>
      <c r="H5915">
        <v>3</v>
      </c>
      <c r="I5915">
        <v>2026</v>
      </c>
      <c r="J5915">
        <v>8</v>
      </c>
      <c r="K5915" s="19" t="s">
        <v>87</v>
      </c>
      <c r="L5915" s="19" t="s">
        <v>11</v>
      </c>
      <c r="M5915" s="19" t="s">
        <v>6</v>
      </c>
      <c r="N5915" t="b">
        <v>0</v>
      </c>
      <c r="O5915">
        <v>1</v>
      </c>
      <c r="P5915">
        <v>0</v>
      </c>
      <c r="Q5915">
        <v>0</v>
      </c>
      <c r="R5915">
        <v>0</v>
      </c>
    </row>
    <row r="5916" spans="1:18" x14ac:dyDescent="0.45">
      <c r="A5916" s="19" t="s">
        <v>11</v>
      </c>
      <c r="B5916" s="19" t="s">
        <v>6</v>
      </c>
      <c r="C5916">
        <v>3</v>
      </c>
      <c r="D5916">
        <v>5</v>
      </c>
      <c r="E5916">
        <v>1</v>
      </c>
      <c r="F5916" s="15">
        <v>46265</v>
      </c>
      <c r="G5916" s="19" t="s">
        <v>709</v>
      </c>
      <c r="H5916">
        <v>3</v>
      </c>
      <c r="I5916">
        <v>2026</v>
      </c>
      <c r="J5916">
        <v>8</v>
      </c>
      <c r="K5916" s="19" t="s">
        <v>87</v>
      </c>
      <c r="L5916" s="19" t="s">
        <v>19</v>
      </c>
      <c r="M5916" s="19" t="s">
        <v>6</v>
      </c>
      <c r="N5916" t="b">
        <v>0</v>
      </c>
      <c r="O5916">
        <v>0</v>
      </c>
      <c r="P5916">
        <v>1</v>
      </c>
      <c r="Q5916">
        <v>0</v>
      </c>
      <c r="R5916">
        <v>0</v>
      </c>
    </row>
    <row r="5917" spans="1:18" x14ac:dyDescent="0.45">
      <c r="A5917" s="19" t="s">
        <v>11</v>
      </c>
      <c r="B5917" s="19" t="s">
        <v>6</v>
      </c>
      <c r="C5917">
        <v>3</v>
      </c>
      <c r="D5917">
        <v>5</v>
      </c>
      <c r="E5917">
        <v>1</v>
      </c>
      <c r="F5917" s="15">
        <v>46265</v>
      </c>
      <c r="G5917" s="19" t="s">
        <v>709</v>
      </c>
      <c r="H5917">
        <v>3</v>
      </c>
      <c r="I5917">
        <v>2026</v>
      </c>
      <c r="J5917">
        <v>8</v>
      </c>
      <c r="K5917" s="19" t="s">
        <v>87</v>
      </c>
      <c r="L5917" s="19" t="s">
        <v>20</v>
      </c>
      <c r="M5917" s="19" t="s">
        <v>8</v>
      </c>
      <c r="N5917" t="b">
        <v>0</v>
      </c>
      <c r="O5917">
        <v>0</v>
      </c>
      <c r="P5917">
        <v>1</v>
      </c>
      <c r="Q5917">
        <v>0</v>
      </c>
      <c r="R5917">
        <v>1</v>
      </c>
    </row>
    <row r="5918" spans="1:18" x14ac:dyDescent="0.45">
      <c r="A5918" s="19" t="s">
        <v>609</v>
      </c>
      <c r="B5918" s="19" t="s">
        <v>6</v>
      </c>
      <c r="C5918">
        <v>1</v>
      </c>
      <c r="D5918">
        <v>1</v>
      </c>
      <c r="E5918">
        <v>2</v>
      </c>
      <c r="F5918" s="15">
        <v>46265</v>
      </c>
      <c r="G5918" s="19" t="s">
        <v>710</v>
      </c>
      <c r="H5918">
        <v>4</v>
      </c>
      <c r="I5918">
        <v>2026</v>
      </c>
      <c r="J5918">
        <v>8</v>
      </c>
      <c r="K5918" s="19" t="s">
        <v>87</v>
      </c>
      <c r="L5918" s="19" t="s">
        <v>13</v>
      </c>
      <c r="M5918" s="19" t="s">
        <v>6</v>
      </c>
      <c r="N5918" t="b">
        <v>0</v>
      </c>
      <c r="O5918">
        <v>0</v>
      </c>
      <c r="P5918">
        <v>1</v>
      </c>
      <c r="Q5918">
        <v>0</v>
      </c>
      <c r="R5918">
        <v>0</v>
      </c>
    </row>
    <row r="5919" spans="1:18" x14ac:dyDescent="0.45">
      <c r="A5919" s="19" t="s">
        <v>609</v>
      </c>
      <c r="B5919" s="19" t="s">
        <v>6</v>
      </c>
      <c r="C5919">
        <v>1</v>
      </c>
      <c r="D5919">
        <v>1</v>
      </c>
      <c r="E5919">
        <v>2</v>
      </c>
      <c r="F5919" s="15">
        <v>46265</v>
      </c>
      <c r="G5919" s="19" t="s">
        <v>710</v>
      </c>
      <c r="H5919">
        <v>4</v>
      </c>
      <c r="I5919">
        <v>2026</v>
      </c>
      <c r="J5919">
        <v>8</v>
      </c>
      <c r="K5919" s="19" t="s">
        <v>87</v>
      </c>
      <c r="L5919" s="19" t="s">
        <v>20</v>
      </c>
      <c r="M5919" s="19" t="s">
        <v>6</v>
      </c>
      <c r="N5919" t="b">
        <v>0</v>
      </c>
      <c r="O5919">
        <v>0</v>
      </c>
      <c r="P5919">
        <v>1</v>
      </c>
      <c r="Q5919">
        <v>0</v>
      </c>
      <c r="R5919">
        <v>0</v>
      </c>
    </row>
    <row r="5920" spans="1:18" x14ac:dyDescent="0.45">
      <c r="A5920" s="19" t="s">
        <v>609</v>
      </c>
      <c r="B5920" s="19" t="s">
        <v>6</v>
      </c>
      <c r="C5920">
        <v>1</v>
      </c>
      <c r="D5920">
        <v>1</v>
      </c>
      <c r="E5920">
        <v>2</v>
      </c>
      <c r="F5920" s="15">
        <v>46265</v>
      </c>
      <c r="G5920" s="19" t="s">
        <v>710</v>
      </c>
      <c r="H5920">
        <v>4</v>
      </c>
      <c r="I5920">
        <v>2026</v>
      </c>
      <c r="J5920">
        <v>8</v>
      </c>
      <c r="K5920" s="19" t="s">
        <v>87</v>
      </c>
      <c r="L5920" s="19" t="s">
        <v>15</v>
      </c>
      <c r="M5920" s="19" t="s">
        <v>8</v>
      </c>
      <c r="N5920" t="b">
        <v>0</v>
      </c>
      <c r="O5920">
        <v>0</v>
      </c>
      <c r="P5920">
        <v>1</v>
      </c>
      <c r="Q5920">
        <v>0</v>
      </c>
      <c r="R5920">
        <v>1</v>
      </c>
    </row>
    <row r="5921" spans="1:18" x14ac:dyDescent="0.45">
      <c r="A5921" s="19" t="s">
        <v>13</v>
      </c>
      <c r="B5921" s="19" t="s">
        <v>6</v>
      </c>
      <c r="C5921">
        <v>2</v>
      </c>
      <c r="D5921">
        <v>1</v>
      </c>
      <c r="E5921">
        <v>2</v>
      </c>
      <c r="F5921" s="15">
        <v>46265</v>
      </c>
      <c r="G5921" s="19" t="s">
        <v>710</v>
      </c>
      <c r="H5921">
        <v>4</v>
      </c>
      <c r="I5921">
        <v>2026</v>
      </c>
      <c r="J5921">
        <v>8</v>
      </c>
      <c r="K5921" s="19" t="s">
        <v>87</v>
      </c>
      <c r="L5921" s="19" t="s">
        <v>609</v>
      </c>
      <c r="M5921" s="19" t="s">
        <v>6</v>
      </c>
      <c r="N5921" t="b">
        <v>0</v>
      </c>
      <c r="O5921">
        <v>0</v>
      </c>
      <c r="P5921">
        <v>1</v>
      </c>
      <c r="Q5921">
        <v>0</v>
      </c>
      <c r="R5921">
        <v>0</v>
      </c>
    </row>
    <row r="5922" spans="1:18" x14ac:dyDescent="0.45">
      <c r="A5922" s="19" t="s">
        <v>13</v>
      </c>
      <c r="B5922" s="19" t="s">
        <v>6</v>
      </c>
      <c r="C5922">
        <v>2</v>
      </c>
      <c r="D5922">
        <v>1</v>
      </c>
      <c r="E5922">
        <v>2</v>
      </c>
      <c r="F5922" s="15">
        <v>46265</v>
      </c>
      <c r="G5922" s="19" t="s">
        <v>710</v>
      </c>
      <c r="H5922">
        <v>4</v>
      </c>
      <c r="I5922">
        <v>2026</v>
      </c>
      <c r="J5922">
        <v>8</v>
      </c>
      <c r="K5922" s="19" t="s">
        <v>87</v>
      </c>
      <c r="L5922" s="19" t="s">
        <v>20</v>
      </c>
      <c r="M5922" s="19" t="s">
        <v>6</v>
      </c>
      <c r="N5922" t="b">
        <v>0</v>
      </c>
      <c r="O5922">
        <v>0</v>
      </c>
      <c r="P5922">
        <v>1</v>
      </c>
      <c r="Q5922">
        <v>0</v>
      </c>
      <c r="R5922">
        <v>0</v>
      </c>
    </row>
    <row r="5923" spans="1:18" x14ac:dyDescent="0.45">
      <c r="A5923" s="19" t="s">
        <v>13</v>
      </c>
      <c r="B5923" s="19" t="s">
        <v>6</v>
      </c>
      <c r="C5923">
        <v>2</v>
      </c>
      <c r="D5923">
        <v>1</v>
      </c>
      <c r="E5923">
        <v>2</v>
      </c>
      <c r="F5923" s="15">
        <v>46265</v>
      </c>
      <c r="G5923" s="19" t="s">
        <v>710</v>
      </c>
      <c r="H5923">
        <v>4</v>
      </c>
      <c r="I5923">
        <v>2026</v>
      </c>
      <c r="J5923">
        <v>8</v>
      </c>
      <c r="K5923" s="19" t="s">
        <v>87</v>
      </c>
      <c r="L5923" s="19" t="s">
        <v>15</v>
      </c>
      <c r="M5923" s="19" t="s">
        <v>8</v>
      </c>
      <c r="N5923" t="b">
        <v>0</v>
      </c>
      <c r="O5923">
        <v>0</v>
      </c>
      <c r="P5923">
        <v>1</v>
      </c>
      <c r="Q5923">
        <v>0</v>
      </c>
      <c r="R5923">
        <v>1</v>
      </c>
    </row>
    <row r="5924" spans="1:18" x14ac:dyDescent="0.45">
      <c r="A5924" s="19" t="s">
        <v>20</v>
      </c>
      <c r="B5924" s="19" t="s">
        <v>6</v>
      </c>
      <c r="C5924">
        <v>3</v>
      </c>
      <c r="D5924">
        <v>1</v>
      </c>
      <c r="E5924">
        <v>2</v>
      </c>
      <c r="F5924" s="15">
        <v>46265</v>
      </c>
      <c r="G5924" s="19" t="s">
        <v>710</v>
      </c>
      <c r="H5924">
        <v>4</v>
      </c>
      <c r="I5924">
        <v>2026</v>
      </c>
      <c r="J5924">
        <v>8</v>
      </c>
      <c r="K5924" s="19" t="s">
        <v>87</v>
      </c>
      <c r="L5924" s="19" t="s">
        <v>609</v>
      </c>
      <c r="M5924" s="19" t="s">
        <v>6</v>
      </c>
      <c r="N5924" t="b">
        <v>0</v>
      </c>
      <c r="O5924">
        <v>0</v>
      </c>
      <c r="P5924">
        <v>1</v>
      </c>
      <c r="Q5924">
        <v>0</v>
      </c>
      <c r="R5924">
        <v>0</v>
      </c>
    </row>
    <row r="5925" spans="1:18" x14ac:dyDescent="0.45">
      <c r="A5925" s="19" t="s">
        <v>20</v>
      </c>
      <c r="B5925" s="19" t="s">
        <v>6</v>
      </c>
      <c r="C5925">
        <v>3</v>
      </c>
      <c r="D5925">
        <v>1</v>
      </c>
      <c r="E5925">
        <v>2</v>
      </c>
      <c r="F5925" s="15">
        <v>46265</v>
      </c>
      <c r="G5925" s="19" t="s">
        <v>710</v>
      </c>
      <c r="H5925">
        <v>4</v>
      </c>
      <c r="I5925">
        <v>2026</v>
      </c>
      <c r="J5925">
        <v>8</v>
      </c>
      <c r="K5925" s="19" t="s">
        <v>87</v>
      </c>
      <c r="L5925" s="19" t="s">
        <v>13</v>
      </c>
      <c r="M5925" s="19" t="s">
        <v>6</v>
      </c>
      <c r="N5925" t="b">
        <v>0</v>
      </c>
      <c r="O5925">
        <v>0</v>
      </c>
      <c r="P5925">
        <v>1</v>
      </c>
      <c r="Q5925">
        <v>0</v>
      </c>
      <c r="R5925">
        <v>0</v>
      </c>
    </row>
    <row r="5926" spans="1:18" x14ac:dyDescent="0.45">
      <c r="A5926" s="19" t="s">
        <v>20</v>
      </c>
      <c r="B5926" s="19" t="s">
        <v>6</v>
      </c>
      <c r="C5926">
        <v>3</v>
      </c>
      <c r="D5926">
        <v>1</v>
      </c>
      <c r="E5926">
        <v>2</v>
      </c>
      <c r="F5926" s="15">
        <v>46265</v>
      </c>
      <c r="G5926" s="19" t="s">
        <v>710</v>
      </c>
      <c r="H5926">
        <v>4</v>
      </c>
      <c r="I5926">
        <v>2026</v>
      </c>
      <c r="J5926">
        <v>8</v>
      </c>
      <c r="K5926" s="19" t="s">
        <v>87</v>
      </c>
      <c r="L5926" s="19" t="s">
        <v>15</v>
      </c>
      <c r="M5926" s="19" t="s">
        <v>8</v>
      </c>
      <c r="N5926" t="b">
        <v>0</v>
      </c>
      <c r="O5926">
        <v>0</v>
      </c>
      <c r="P5926">
        <v>1</v>
      </c>
      <c r="Q5926">
        <v>0</v>
      </c>
      <c r="R5926">
        <v>1</v>
      </c>
    </row>
    <row r="5927" spans="1:18" x14ac:dyDescent="0.45">
      <c r="A5927" s="19" t="s">
        <v>15</v>
      </c>
      <c r="B5927" s="19" t="s">
        <v>8</v>
      </c>
      <c r="C5927">
        <v>4</v>
      </c>
      <c r="D5927">
        <v>1</v>
      </c>
      <c r="E5927">
        <v>2</v>
      </c>
      <c r="F5927" s="15">
        <v>46265</v>
      </c>
      <c r="G5927" s="19" t="s">
        <v>710</v>
      </c>
      <c r="H5927">
        <v>4</v>
      </c>
      <c r="I5927">
        <v>2026</v>
      </c>
      <c r="J5927">
        <v>8</v>
      </c>
      <c r="K5927" s="19" t="s">
        <v>87</v>
      </c>
      <c r="L5927" s="19" t="s">
        <v>609</v>
      </c>
      <c r="M5927" s="19" t="s">
        <v>6</v>
      </c>
      <c r="N5927" t="b">
        <v>0</v>
      </c>
      <c r="O5927">
        <v>1</v>
      </c>
      <c r="P5927">
        <v>0</v>
      </c>
      <c r="Q5927">
        <v>0</v>
      </c>
      <c r="R5927">
        <v>0</v>
      </c>
    </row>
    <row r="5928" spans="1:18" x14ac:dyDescent="0.45">
      <c r="A5928" s="19" t="s">
        <v>15</v>
      </c>
      <c r="B5928" s="19" t="s">
        <v>8</v>
      </c>
      <c r="C5928">
        <v>4</v>
      </c>
      <c r="D5928">
        <v>1</v>
      </c>
      <c r="E5928">
        <v>2</v>
      </c>
      <c r="F5928" s="15">
        <v>46265</v>
      </c>
      <c r="G5928" s="19" t="s">
        <v>710</v>
      </c>
      <c r="H5928">
        <v>4</v>
      </c>
      <c r="I5928">
        <v>2026</v>
      </c>
      <c r="J5928">
        <v>8</v>
      </c>
      <c r="K5928" s="19" t="s">
        <v>87</v>
      </c>
      <c r="L5928" s="19" t="s">
        <v>13</v>
      </c>
      <c r="M5928" s="19" t="s">
        <v>6</v>
      </c>
      <c r="N5928" t="b">
        <v>0</v>
      </c>
      <c r="O5928">
        <v>1</v>
      </c>
      <c r="P5928">
        <v>0</v>
      </c>
      <c r="Q5928">
        <v>0</v>
      </c>
      <c r="R5928">
        <v>0</v>
      </c>
    </row>
    <row r="5929" spans="1:18" x14ac:dyDescent="0.45">
      <c r="A5929" s="19" t="s">
        <v>15</v>
      </c>
      <c r="B5929" s="19" t="s">
        <v>8</v>
      </c>
      <c r="C5929">
        <v>4</v>
      </c>
      <c r="D5929">
        <v>1</v>
      </c>
      <c r="E5929">
        <v>2</v>
      </c>
      <c r="F5929" s="15">
        <v>46265</v>
      </c>
      <c r="G5929" s="19" t="s">
        <v>710</v>
      </c>
      <c r="H5929">
        <v>4</v>
      </c>
      <c r="I5929">
        <v>2026</v>
      </c>
      <c r="J5929">
        <v>8</v>
      </c>
      <c r="K5929" s="19" t="s">
        <v>87</v>
      </c>
      <c r="L5929" s="19" t="s">
        <v>20</v>
      </c>
      <c r="M5929" s="19" t="s">
        <v>6</v>
      </c>
      <c r="N5929" t="b">
        <v>0</v>
      </c>
      <c r="O5929">
        <v>1</v>
      </c>
      <c r="P5929">
        <v>0</v>
      </c>
      <c r="Q5929">
        <v>0</v>
      </c>
      <c r="R5929">
        <v>0</v>
      </c>
    </row>
    <row r="5930" spans="1:18" x14ac:dyDescent="0.45">
      <c r="A5930" s="19" t="s">
        <v>28</v>
      </c>
      <c r="B5930" s="19" t="s">
        <v>8</v>
      </c>
      <c r="C5930">
        <v>1</v>
      </c>
      <c r="D5930">
        <v>2</v>
      </c>
      <c r="E5930">
        <v>2</v>
      </c>
      <c r="F5930" s="15">
        <v>46265</v>
      </c>
      <c r="G5930" s="19" t="s">
        <v>711</v>
      </c>
      <c r="H5930">
        <v>4</v>
      </c>
      <c r="I5930">
        <v>2026</v>
      </c>
      <c r="J5930">
        <v>8</v>
      </c>
      <c r="K5930" s="19" t="s">
        <v>87</v>
      </c>
      <c r="L5930" s="19" t="s">
        <v>41</v>
      </c>
      <c r="M5930" s="19" t="s">
        <v>6</v>
      </c>
      <c r="N5930" t="b">
        <v>0</v>
      </c>
      <c r="O5930">
        <v>1</v>
      </c>
      <c r="P5930">
        <v>0</v>
      </c>
      <c r="Q5930">
        <v>0</v>
      </c>
      <c r="R5930">
        <v>0</v>
      </c>
    </row>
    <row r="5931" spans="1:18" x14ac:dyDescent="0.45">
      <c r="A5931" s="19" t="s">
        <v>28</v>
      </c>
      <c r="B5931" s="19" t="s">
        <v>8</v>
      </c>
      <c r="C5931">
        <v>1</v>
      </c>
      <c r="D5931">
        <v>2</v>
      </c>
      <c r="E5931">
        <v>2</v>
      </c>
      <c r="F5931" s="15">
        <v>46265</v>
      </c>
      <c r="G5931" s="19" t="s">
        <v>711</v>
      </c>
      <c r="H5931">
        <v>4</v>
      </c>
      <c r="I5931">
        <v>2026</v>
      </c>
      <c r="J5931">
        <v>8</v>
      </c>
      <c r="K5931" s="19" t="s">
        <v>87</v>
      </c>
      <c r="L5931" s="19" t="s">
        <v>402</v>
      </c>
      <c r="M5931" s="19" t="s">
        <v>6</v>
      </c>
      <c r="N5931" t="b">
        <v>0</v>
      </c>
      <c r="O5931">
        <v>1</v>
      </c>
      <c r="P5931">
        <v>0</v>
      </c>
      <c r="Q5931">
        <v>0</v>
      </c>
      <c r="R5931">
        <v>0</v>
      </c>
    </row>
    <row r="5932" spans="1:18" x14ac:dyDescent="0.45">
      <c r="A5932" s="19" t="s">
        <v>28</v>
      </c>
      <c r="B5932" s="19" t="s">
        <v>8</v>
      </c>
      <c r="C5932">
        <v>1</v>
      </c>
      <c r="D5932">
        <v>2</v>
      </c>
      <c r="E5932">
        <v>2</v>
      </c>
      <c r="F5932" s="15">
        <v>46265</v>
      </c>
      <c r="G5932" s="19" t="s">
        <v>711</v>
      </c>
      <c r="H5932">
        <v>4</v>
      </c>
      <c r="I5932">
        <v>2026</v>
      </c>
      <c r="J5932">
        <v>8</v>
      </c>
      <c r="K5932" s="19" t="s">
        <v>87</v>
      </c>
      <c r="L5932" s="19" t="s">
        <v>325</v>
      </c>
      <c r="M5932" s="19" t="s">
        <v>6</v>
      </c>
      <c r="N5932" t="b">
        <v>0</v>
      </c>
      <c r="O5932">
        <v>1</v>
      </c>
      <c r="P5932">
        <v>0</v>
      </c>
      <c r="Q5932">
        <v>0</v>
      </c>
      <c r="R5932">
        <v>0</v>
      </c>
    </row>
    <row r="5933" spans="1:18" x14ac:dyDescent="0.45">
      <c r="A5933" s="19" t="s">
        <v>41</v>
      </c>
      <c r="B5933" s="19" t="s">
        <v>6</v>
      </c>
      <c r="C5933">
        <v>2</v>
      </c>
      <c r="D5933">
        <v>2</v>
      </c>
      <c r="E5933">
        <v>2</v>
      </c>
      <c r="F5933" s="15">
        <v>46265</v>
      </c>
      <c r="G5933" s="19" t="s">
        <v>711</v>
      </c>
      <c r="H5933">
        <v>4</v>
      </c>
      <c r="I5933">
        <v>2026</v>
      </c>
      <c r="J5933">
        <v>8</v>
      </c>
      <c r="K5933" s="19" t="s">
        <v>87</v>
      </c>
      <c r="L5933" s="19" t="s">
        <v>28</v>
      </c>
      <c r="M5933" s="19" t="s">
        <v>8</v>
      </c>
      <c r="N5933" t="b">
        <v>0</v>
      </c>
      <c r="O5933">
        <v>0</v>
      </c>
      <c r="P5933">
        <v>1</v>
      </c>
      <c r="Q5933">
        <v>0</v>
      </c>
      <c r="R5933">
        <v>1</v>
      </c>
    </row>
    <row r="5934" spans="1:18" x14ac:dyDescent="0.45">
      <c r="A5934" s="19" t="s">
        <v>41</v>
      </c>
      <c r="B5934" s="19" t="s">
        <v>6</v>
      </c>
      <c r="C5934">
        <v>2</v>
      </c>
      <c r="D5934">
        <v>2</v>
      </c>
      <c r="E5934">
        <v>2</v>
      </c>
      <c r="F5934" s="15">
        <v>46265</v>
      </c>
      <c r="G5934" s="19" t="s">
        <v>711</v>
      </c>
      <c r="H5934">
        <v>4</v>
      </c>
      <c r="I5934">
        <v>2026</v>
      </c>
      <c r="J5934">
        <v>8</v>
      </c>
      <c r="K5934" s="19" t="s">
        <v>87</v>
      </c>
      <c r="L5934" s="19" t="s">
        <v>402</v>
      </c>
      <c r="M5934" s="19" t="s">
        <v>6</v>
      </c>
      <c r="N5934" t="b">
        <v>0</v>
      </c>
      <c r="O5934">
        <v>0</v>
      </c>
      <c r="P5934">
        <v>1</v>
      </c>
      <c r="Q5934">
        <v>0</v>
      </c>
      <c r="R5934">
        <v>0</v>
      </c>
    </row>
    <row r="5935" spans="1:18" x14ac:dyDescent="0.45">
      <c r="A5935" s="19" t="s">
        <v>41</v>
      </c>
      <c r="B5935" s="19" t="s">
        <v>6</v>
      </c>
      <c r="C5935">
        <v>2</v>
      </c>
      <c r="D5935">
        <v>2</v>
      </c>
      <c r="E5935">
        <v>2</v>
      </c>
      <c r="F5935" s="15">
        <v>46265</v>
      </c>
      <c r="G5935" s="19" t="s">
        <v>711</v>
      </c>
      <c r="H5935">
        <v>4</v>
      </c>
      <c r="I5935">
        <v>2026</v>
      </c>
      <c r="J5935">
        <v>8</v>
      </c>
      <c r="K5935" s="19" t="s">
        <v>87</v>
      </c>
      <c r="L5935" s="19" t="s">
        <v>325</v>
      </c>
      <c r="M5935" s="19" t="s">
        <v>6</v>
      </c>
      <c r="N5935" t="b">
        <v>0</v>
      </c>
      <c r="O5935">
        <v>0</v>
      </c>
      <c r="P5935">
        <v>1</v>
      </c>
      <c r="Q5935">
        <v>0</v>
      </c>
      <c r="R5935">
        <v>0</v>
      </c>
    </row>
    <row r="5936" spans="1:18" x14ac:dyDescent="0.45">
      <c r="A5936" s="19" t="s">
        <v>402</v>
      </c>
      <c r="B5936" s="19" t="s">
        <v>6</v>
      </c>
      <c r="C5936">
        <v>3</v>
      </c>
      <c r="D5936">
        <v>2</v>
      </c>
      <c r="E5936">
        <v>2</v>
      </c>
      <c r="F5936" s="15">
        <v>46265</v>
      </c>
      <c r="G5936" s="19" t="s">
        <v>711</v>
      </c>
      <c r="H5936">
        <v>4</v>
      </c>
      <c r="I5936">
        <v>2026</v>
      </c>
      <c r="J5936">
        <v>8</v>
      </c>
      <c r="K5936" s="19" t="s">
        <v>87</v>
      </c>
      <c r="L5936" s="19" t="s">
        <v>28</v>
      </c>
      <c r="M5936" s="19" t="s">
        <v>8</v>
      </c>
      <c r="N5936" t="b">
        <v>0</v>
      </c>
      <c r="O5936">
        <v>0</v>
      </c>
      <c r="P5936">
        <v>1</v>
      </c>
      <c r="Q5936">
        <v>0</v>
      </c>
      <c r="R5936">
        <v>1</v>
      </c>
    </row>
    <row r="5937" spans="1:18" x14ac:dyDescent="0.45">
      <c r="A5937" s="19" t="s">
        <v>402</v>
      </c>
      <c r="B5937" s="19" t="s">
        <v>6</v>
      </c>
      <c r="C5937">
        <v>3</v>
      </c>
      <c r="D5937">
        <v>2</v>
      </c>
      <c r="E5937">
        <v>2</v>
      </c>
      <c r="F5937" s="15">
        <v>46265</v>
      </c>
      <c r="G5937" s="19" t="s">
        <v>711</v>
      </c>
      <c r="H5937">
        <v>4</v>
      </c>
      <c r="I5937">
        <v>2026</v>
      </c>
      <c r="J5937">
        <v>8</v>
      </c>
      <c r="K5937" s="19" t="s">
        <v>87</v>
      </c>
      <c r="L5937" s="19" t="s">
        <v>41</v>
      </c>
      <c r="M5937" s="19" t="s">
        <v>6</v>
      </c>
      <c r="N5937" t="b">
        <v>0</v>
      </c>
      <c r="O5937">
        <v>0</v>
      </c>
      <c r="P5937">
        <v>1</v>
      </c>
      <c r="Q5937">
        <v>0</v>
      </c>
      <c r="R5937">
        <v>0</v>
      </c>
    </row>
    <row r="5938" spans="1:18" x14ac:dyDescent="0.45">
      <c r="A5938" s="19" t="s">
        <v>402</v>
      </c>
      <c r="B5938" s="19" t="s">
        <v>6</v>
      </c>
      <c r="C5938">
        <v>3</v>
      </c>
      <c r="D5938">
        <v>2</v>
      </c>
      <c r="E5938">
        <v>2</v>
      </c>
      <c r="F5938" s="15">
        <v>46265</v>
      </c>
      <c r="G5938" s="19" t="s">
        <v>711</v>
      </c>
      <c r="H5938">
        <v>4</v>
      </c>
      <c r="I5938">
        <v>2026</v>
      </c>
      <c r="J5938">
        <v>8</v>
      </c>
      <c r="K5938" s="19" t="s">
        <v>87</v>
      </c>
      <c r="L5938" s="19" t="s">
        <v>325</v>
      </c>
      <c r="M5938" s="19" t="s">
        <v>6</v>
      </c>
      <c r="N5938" t="b">
        <v>0</v>
      </c>
      <c r="O5938">
        <v>0</v>
      </c>
      <c r="P5938">
        <v>1</v>
      </c>
      <c r="Q5938">
        <v>0</v>
      </c>
      <c r="R5938">
        <v>0</v>
      </c>
    </row>
    <row r="5939" spans="1:18" x14ac:dyDescent="0.45">
      <c r="A5939" s="19" t="s">
        <v>325</v>
      </c>
      <c r="B5939" s="19" t="s">
        <v>6</v>
      </c>
      <c r="C5939">
        <v>4</v>
      </c>
      <c r="D5939">
        <v>2</v>
      </c>
      <c r="E5939">
        <v>2</v>
      </c>
      <c r="F5939" s="15">
        <v>46265</v>
      </c>
      <c r="G5939" s="19" t="s">
        <v>711</v>
      </c>
      <c r="H5939">
        <v>4</v>
      </c>
      <c r="I5939">
        <v>2026</v>
      </c>
      <c r="J5939">
        <v>8</v>
      </c>
      <c r="K5939" s="19" t="s">
        <v>87</v>
      </c>
      <c r="L5939" s="19" t="s">
        <v>28</v>
      </c>
      <c r="M5939" s="19" t="s">
        <v>8</v>
      </c>
      <c r="N5939" t="b">
        <v>0</v>
      </c>
      <c r="O5939">
        <v>0</v>
      </c>
      <c r="P5939">
        <v>1</v>
      </c>
      <c r="Q5939">
        <v>0</v>
      </c>
      <c r="R5939">
        <v>1</v>
      </c>
    </row>
    <row r="5940" spans="1:18" x14ac:dyDescent="0.45">
      <c r="A5940" s="19" t="s">
        <v>325</v>
      </c>
      <c r="B5940" s="19" t="s">
        <v>6</v>
      </c>
      <c r="C5940">
        <v>4</v>
      </c>
      <c r="D5940">
        <v>2</v>
      </c>
      <c r="E5940">
        <v>2</v>
      </c>
      <c r="F5940" s="15">
        <v>46265</v>
      </c>
      <c r="G5940" s="19" t="s">
        <v>711</v>
      </c>
      <c r="H5940">
        <v>4</v>
      </c>
      <c r="I5940">
        <v>2026</v>
      </c>
      <c r="J5940">
        <v>8</v>
      </c>
      <c r="K5940" s="19" t="s">
        <v>87</v>
      </c>
      <c r="L5940" s="19" t="s">
        <v>41</v>
      </c>
      <c r="M5940" s="19" t="s">
        <v>6</v>
      </c>
      <c r="N5940" t="b">
        <v>0</v>
      </c>
      <c r="O5940">
        <v>0</v>
      </c>
      <c r="P5940">
        <v>1</v>
      </c>
      <c r="Q5940">
        <v>0</v>
      </c>
      <c r="R5940">
        <v>0</v>
      </c>
    </row>
    <row r="5941" spans="1:18" x14ac:dyDescent="0.45">
      <c r="A5941" s="19" t="s">
        <v>325</v>
      </c>
      <c r="B5941" s="19" t="s">
        <v>6</v>
      </c>
      <c r="C5941">
        <v>4</v>
      </c>
      <c r="D5941">
        <v>2</v>
      </c>
      <c r="E5941">
        <v>2</v>
      </c>
      <c r="F5941" s="15">
        <v>46265</v>
      </c>
      <c r="G5941" s="19" t="s">
        <v>711</v>
      </c>
      <c r="H5941">
        <v>4</v>
      </c>
      <c r="I5941">
        <v>2026</v>
      </c>
      <c r="J5941">
        <v>8</v>
      </c>
      <c r="K5941" s="19" t="s">
        <v>87</v>
      </c>
      <c r="L5941" s="19" t="s">
        <v>402</v>
      </c>
      <c r="M5941" s="19" t="s">
        <v>6</v>
      </c>
      <c r="N5941" t="b">
        <v>0</v>
      </c>
      <c r="O5941">
        <v>0</v>
      </c>
      <c r="P5941">
        <v>1</v>
      </c>
      <c r="Q5941">
        <v>0</v>
      </c>
      <c r="R5941">
        <v>0</v>
      </c>
    </row>
    <row r="5942" spans="1:18" x14ac:dyDescent="0.45">
      <c r="A5942" s="19" t="s">
        <v>11</v>
      </c>
      <c r="B5942" s="19" t="s">
        <v>63</v>
      </c>
      <c r="C5942">
        <v>1</v>
      </c>
      <c r="D5942">
        <v>3</v>
      </c>
      <c r="E5942">
        <v>2</v>
      </c>
      <c r="F5942" s="15">
        <v>46265</v>
      </c>
      <c r="G5942" s="19" t="s">
        <v>712</v>
      </c>
      <c r="H5942">
        <v>4</v>
      </c>
      <c r="I5942">
        <v>2026</v>
      </c>
      <c r="J5942">
        <v>8</v>
      </c>
      <c r="K5942" s="19" t="s">
        <v>87</v>
      </c>
      <c r="L5942" s="19" t="s">
        <v>578</v>
      </c>
      <c r="M5942" s="19" t="s">
        <v>63</v>
      </c>
      <c r="N5942" t="b">
        <v>0</v>
      </c>
      <c r="O5942">
        <v>0</v>
      </c>
      <c r="P5942">
        <v>0</v>
      </c>
      <c r="Q5942">
        <v>1</v>
      </c>
      <c r="R5942">
        <v>0</v>
      </c>
    </row>
    <row r="5943" spans="1:18" x14ac:dyDescent="0.45">
      <c r="A5943" s="19" t="s">
        <v>11</v>
      </c>
      <c r="B5943" s="19" t="s">
        <v>63</v>
      </c>
      <c r="C5943">
        <v>1</v>
      </c>
      <c r="D5943">
        <v>3</v>
      </c>
      <c r="E5943">
        <v>2</v>
      </c>
      <c r="F5943" s="15">
        <v>46265</v>
      </c>
      <c r="G5943" s="19" t="s">
        <v>712</v>
      </c>
      <c r="H5943">
        <v>4</v>
      </c>
      <c r="I5943">
        <v>2026</v>
      </c>
      <c r="J5943">
        <v>8</v>
      </c>
      <c r="K5943" s="19" t="s">
        <v>87</v>
      </c>
      <c r="L5943" s="19" t="s">
        <v>7</v>
      </c>
      <c r="M5943" s="19" t="s">
        <v>63</v>
      </c>
      <c r="N5943" t="b">
        <v>0</v>
      </c>
      <c r="O5943">
        <v>0</v>
      </c>
      <c r="P5943">
        <v>0</v>
      </c>
      <c r="Q5943">
        <v>1</v>
      </c>
      <c r="R5943">
        <v>0</v>
      </c>
    </row>
    <row r="5944" spans="1:18" x14ac:dyDescent="0.45">
      <c r="A5944" s="19" t="s">
        <v>11</v>
      </c>
      <c r="B5944" s="19" t="s">
        <v>63</v>
      </c>
      <c r="C5944">
        <v>1</v>
      </c>
      <c r="D5944">
        <v>3</v>
      </c>
      <c r="E5944">
        <v>2</v>
      </c>
      <c r="F5944" s="15">
        <v>46265</v>
      </c>
      <c r="G5944" s="19" t="s">
        <v>712</v>
      </c>
      <c r="H5944">
        <v>4</v>
      </c>
      <c r="I5944">
        <v>2026</v>
      </c>
      <c r="J5944">
        <v>8</v>
      </c>
      <c r="K5944" s="19" t="s">
        <v>87</v>
      </c>
      <c r="L5944" s="19" t="s">
        <v>14</v>
      </c>
      <c r="M5944" s="19" t="s">
        <v>63</v>
      </c>
      <c r="N5944" t="b">
        <v>0</v>
      </c>
      <c r="O5944">
        <v>0</v>
      </c>
      <c r="P5944">
        <v>0</v>
      </c>
      <c r="Q5944">
        <v>1</v>
      </c>
      <c r="R5944">
        <v>0</v>
      </c>
    </row>
    <row r="5945" spans="1:18" x14ac:dyDescent="0.45">
      <c r="A5945" s="19" t="s">
        <v>578</v>
      </c>
      <c r="B5945" s="19" t="s">
        <v>63</v>
      </c>
      <c r="C5945">
        <v>2</v>
      </c>
      <c r="D5945">
        <v>3</v>
      </c>
      <c r="E5945">
        <v>2</v>
      </c>
      <c r="F5945" s="15">
        <v>46265</v>
      </c>
      <c r="G5945" s="19" t="s">
        <v>712</v>
      </c>
      <c r="H5945">
        <v>4</v>
      </c>
      <c r="I5945">
        <v>2026</v>
      </c>
      <c r="J5945">
        <v>8</v>
      </c>
      <c r="K5945" s="19" t="s">
        <v>87</v>
      </c>
      <c r="L5945" s="19" t="s">
        <v>11</v>
      </c>
      <c r="M5945" s="19" t="s">
        <v>63</v>
      </c>
      <c r="N5945" t="b">
        <v>0</v>
      </c>
      <c r="O5945">
        <v>0</v>
      </c>
      <c r="P5945">
        <v>0</v>
      </c>
      <c r="Q5945">
        <v>1</v>
      </c>
      <c r="R5945">
        <v>0</v>
      </c>
    </row>
    <row r="5946" spans="1:18" x14ac:dyDescent="0.45">
      <c r="A5946" s="19" t="s">
        <v>578</v>
      </c>
      <c r="B5946" s="19" t="s">
        <v>63</v>
      </c>
      <c r="C5946">
        <v>2</v>
      </c>
      <c r="D5946">
        <v>3</v>
      </c>
      <c r="E5946">
        <v>2</v>
      </c>
      <c r="F5946" s="15">
        <v>46265</v>
      </c>
      <c r="G5946" s="19" t="s">
        <v>712</v>
      </c>
      <c r="H5946">
        <v>4</v>
      </c>
      <c r="I5946">
        <v>2026</v>
      </c>
      <c r="J5946">
        <v>8</v>
      </c>
      <c r="K5946" s="19" t="s">
        <v>87</v>
      </c>
      <c r="L5946" s="19" t="s">
        <v>7</v>
      </c>
      <c r="M5946" s="19" t="s">
        <v>63</v>
      </c>
      <c r="N5946" t="b">
        <v>0</v>
      </c>
      <c r="O5946">
        <v>0</v>
      </c>
      <c r="P5946">
        <v>0</v>
      </c>
      <c r="Q5946">
        <v>1</v>
      </c>
      <c r="R5946">
        <v>0</v>
      </c>
    </row>
    <row r="5947" spans="1:18" x14ac:dyDescent="0.45">
      <c r="A5947" s="19" t="s">
        <v>578</v>
      </c>
      <c r="B5947" s="19" t="s">
        <v>63</v>
      </c>
      <c r="C5947">
        <v>2</v>
      </c>
      <c r="D5947">
        <v>3</v>
      </c>
      <c r="E5947">
        <v>2</v>
      </c>
      <c r="F5947" s="15">
        <v>46265</v>
      </c>
      <c r="G5947" s="19" t="s">
        <v>712</v>
      </c>
      <c r="H5947">
        <v>4</v>
      </c>
      <c r="I5947">
        <v>2026</v>
      </c>
      <c r="J5947">
        <v>8</v>
      </c>
      <c r="K5947" s="19" t="s">
        <v>87</v>
      </c>
      <c r="L5947" s="19" t="s">
        <v>14</v>
      </c>
      <c r="M5947" s="19" t="s">
        <v>63</v>
      </c>
      <c r="N5947" t="b">
        <v>0</v>
      </c>
      <c r="O5947">
        <v>0</v>
      </c>
      <c r="P5947">
        <v>0</v>
      </c>
      <c r="Q5947">
        <v>1</v>
      </c>
      <c r="R5947">
        <v>0</v>
      </c>
    </row>
    <row r="5948" spans="1:18" x14ac:dyDescent="0.45">
      <c r="A5948" s="19" t="s">
        <v>7</v>
      </c>
      <c r="B5948" s="19" t="s">
        <v>63</v>
      </c>
      <c r="C5948">
        <v>3</v>
      </c>
      <c r="D5948">
        <v>3</v>
      </c>
      <c r="E5948">
        <v>2</v>
      </c>
      <c r="F5948" s="15">
        <v>46265</v>
      </c>
      <c r="G5948" s="19" t="s">
        <v>712</v>
      </c>
      <c r="H5948">
        <v>4</v>
      </c>
      <c r="I5948">
        <v>2026</v>
      </c>
      <c r="J5948">
        <v>8</v>
      </c>
      <c r="K5948" s="19" t="s">
        <v>87</v>
      </c>
      <c r="L5948" s="19" t="s">
        <v>11</v>
      </c>
      <c r="M5948" s="19" t="s">
        <v>63</v>
      </c>
      <c r="N5948" t="b">
        <v>0</v>
      </c>
      <c r="O5948">
        <v>0</v>
      </c>
      <c r="P5948">
        <v>0</v>
      </c>
      <c r="Q5948">
        <v>1</v>
      </c>
      <c r="R5948">
        <v>0</v>
      </c>
    </row>
    <row r="5949" spans="1:18" x14ac:dyDescent="0.45">
      <c r="A5949" s="19" t="s">
        <v>7</v>
      </c>
      <c r="B5949" s="19" t="s">
        <v>63</v>
      </c>
      <c r="C5949">
        <v>3</v>
      </c>
      <c r="D5949">
        <v>3</v>
      </c>
      <c r="E5949">
        <v>2</v>
      </c>
      <c r="F5949" s="15">
        <v>46265</v>
      </c>
      <c r="G5949" s="19" t="s">
        <v>712</v>
      </c>
      <c r="H5949">
        <v>4</v>
      </c>
      <c r="I5949">
        <v>2026</v>
      </c>
      <c r="J5949">
        <v>8</v>
      </c>
      <c r="K5949" s="19" t="s">
        <v>87</v>
      </c>
      <c r="L5949" s="19" t="s">
        <v>578</v>
      </c>
      <c r="M5949" s="19" t="s">
        <v>63</v>
      </c>
      <c r="N5949" t="b">
        <v>0</v>
      </c>
      <c r="O5949">
        <v>0</v>
      </c>
      <c r="P5949">
        <v>0</v>
      </c>
      <c r="Q5949">
        <v>1</v>
      </c>
      <c r="R5949">
        <v>0</v>
      </c>
    </row>
    <row r="5950" spans="1:18" x14ac:dyDescent="0.45">
      <c r="A5950" s="19" t="s">
        <v>7</v>
      </c>
      <c r="B5950" s="19" t="s">
        <v>63</v>
      </c>
      <c r="C5950">
        <v>3</v>
      </c>
      <c r="D5950">
        <v>3</v>
      </c>
      <c r="E5950">
        <v>2</v>
      </c>
      <c r="F5950" s="15">
        <v>46265</v>
      </c>
      <c r="G5950" s="19" t="s">
        <v>712</v>
      </c>
      <c r="H5950">
        <v>4</v>
      </c>
      <c r="I5950">
        <v>2026</v>
      </c>
      <c r="J5950">
        <v>8</v>
      </c>
      <c r="K5950" s="19" t="s">
        <v>87</v>
      </c>
      <c r="L5950" s="19" t="s">
        <v>14</v>
      </c>
      <c r="M5950" s="19" t="s">
        <v>63</v>
      </c>
      <c r="N5950" t="b">
        <v>0</v>
      </c>
      <c r="O5950">
        <v>0</v>
      </c>
      <c r="P5950">
        <v>0</v>
      </c>
      <c r="Q5950">
        <v>1</v>
      </c>
      <c r="R5950">
        <v>0</v>
      </c>
    </row>
    <row r="5951" spans="1:18" x14ac:dyDescent="0.45">
      <c r="A5951" s="19" t="s">
        <v>14</v>
      </c>
      <c r="B5951" s="19" t="s">
        <v>63</v>
      </c>
      <c r="C5951">
        <v>4</v>
      </c>
      <c r="D5951">
        <v>3</v>
      </c>
      <c r="E5951">
        <v>2</v>
      </c>
      <c r="F5951" s="15">
        <v>46265</v>
      </c>
      <c r="G5951" s="19" t="s">
        <v>712</v>
      </c>
      <c r="H5951">
        <v>4</v>
      </c>
      <c r="I5951">
        <v>2026</v>
      </c>
      <c r="J5951">
        <v>8</v>
      </c>
      <c r="K5951" s="19" t="s">
        <v>87</v>
      </c>
      <c r="L5951" s="19" t="s">
        <v>11</v>
      </c>
      <c r="M5951" s="19" t="s">
        <v>63</v>
      </c>
      <c r="N5951" t="b">
        <v>0</v>
      </c>
      <c r="O5951">
        <v>0</v>
      </c>
      <c r="P5951">
        <v>0</v>
      </c>
      <c r="Q5951">
        <v>1</v>
      </c>
      <c r="R5951">
        <v>0</v>
      </c>
    </row>
    <row r="5952" spans="1:18" x14ac:dyDescent="0.45">
      <c r="A5952" s="19" t="s">
        <v>14</v>
      </c>
      <c r="B5952" s="19" t="s">
        <v>63</v>
      </c>
      <c r="C5952">
        <v>4</v>
      </c>
      <c r="D5952">
        <v>3</v>
      </c>
      <c r="E5952">
        <v>2</v>
      </c>
      <c r="F5952" s="15">
        <v>46265</v>
      </c>
      <c r="G5952" s="19" t="s">
        <v>712</v>
      </c>
      <c r="H5952">
        <v>4</v>
      </c>
      <c r="I5952">
        <v>2026</v>
      </c>
      <c r="J5952">
        <v>8</v>
      </c>
      <c r="K5952" s="19" t="s">
        <v>87</v>
      </c>
      <c r="L5952" s="19" t="s">
        <v>578</v>
      </c>
      <c r="M5952" s="19" t="s">
        <v>63</v>
      </c>
      <c r="N5952" t="b">
        <v>0</v>
      </c>
      <c r="O5952">
        <v>0</v>
      </c>
      <c r="P5952">
        <v>0</v>
      </c>
      <c r="Q5952">
        <v>1</v>
      </c>
      <c r="R5952">
        <v>0</v>
      </c>
    </row>
    <row r="5953" spans="1:18" x14ac:dyDescent="0.45">
      <c r="A5953" s="19" t="s">
        <v>14</v>
      </c>
      <c r="B5953" s="19" t="s">
        <v>63</v>
      </c>
      <c r="C5953">
        <v>4</v>
      </c>
      <c r="D5953">
        <v>3</v>
      </c>
      <c r="E5953">
        <v>2</v>
      </c>
      <c r="F5953" s="15">
        <v>46265</v>
      </c>
      <c r="G5953" s="19" t="s">
        <v>712</v>
      </c>
      <c r="H5953">
        <v>4</v>
      </c>
      <c r="I5953">
        <v>2026</v>
      </c>
      <c r="J5953">
        <v>8</v>
      </c>
      <c r="K5953" s="19" t="s">
        <v>87</v>
      </c>
      <c r="L5953" s="19" t="s">
        <v>7</v>
      </c>
      <c r="M5953" s="19" t="s">
        <v>63</v>
      </c>
      <c r="N5953" t="b">
        <v>0</v>
      </c>
      <c r="O5953">
        <v>0</v>
      </c>
      <c r="P5953">
        <v>0</v>
      </c>
      <c r="Q5953">
        <v>1</v>
      </c>
      <c r="R5953">
        <v>0</v>
      </c>
    </row>
    <row r="5954" spans="1:18" x14ac:dyDescent="0.45">
      <c r="A5954" s="19" t="s">
        <v>9</v>
      </c>
      <c r="B5954" s="19" t="s">
        <v>63</v>
      </c>
      <c r="C5954">
        <v>1</v>
      </c>
      <c r="D5954">
        <v>4</v>
      </c>
      <c r="E5954">
        <v>2</v>
      </c>
      <c r="F5954" s="15">
        <v>46265</v>
      </c>
      <c r="G5954" s="19" t="s">
        <v>713</v>
      </c>
      <c r="H5954">
        <v>4</v>
      </c>
      <c r="I5954">
        <v>2026</v>
      </c>
      <c r="J5954">
        <v>8</v>
      </c>
      <c r="K5954" s="19" t="s">
        <v>87</v>
      </c>
      <c r="L5954" s="19" t="s">
        <v>17</v>
      </c>
      <c r="M5954" s="19" t="s">
        <v>63</v>
      </c>
      <c r="N5954" t="b">
        <v>0</v>
      </c>
      <c r="O5954">
        <v>0</v>
      </c>
      <c r="P5954">
        <v>0</v>
      </c>
      <c r="Q5954">
        <v>1</v>
      </c>
      <c r="R5954">
        <v>0</v>
      </c>
    </row>
    <row r="5955" spans="1:18" x14ac:dyDescent="0.45">
      <c r="A5955" s="19" t="s">
        <v>9</v>
      </c>
      <c r="B5955" s="19" t="s">
        <v>63</v>
      </c>
      <c r="C5955">
        <v>1</v>
      </c>
      <c r="D5955">
        <v>4</v>
      </c>
      <c r="E5955">
        <v>2</v>
      </c>
      <c r="F5955" s="15">
        <v>46265</v>
      </c>
      <c r="G5955" s="19" t="s">
        <v>713</v>
      </c>
      <c r="H5955">
        <v>4</v>
      </c>
      <c r="I5955">
        <v>2026</v>
      </c>
      <c r="J5955">
        <v>8</v>
      </c>
      <c r="K5955" s="19" t="s">
        <v>87</v>
      </c>
      <c r="L5955" s="19" t="s">
        <v>703</v>
      </c>
      <c r="M5955" s="19" t="s">
        <v>63</v>
      </c>
      <c r="N5955" t="b">
        <v>0</v>
      </c>
      <c r="O5955">
        <v>0</v>
      </c>
      <c r="P5955">
        <v>0</v>
      </c>
      <c r="Q5955">
        <v>1</v>
      </c>
      <c r="R5955">
        <v>0</v>
      </c>
    </row>
    <row r="5956" spans="1:18" x14ac:dyDescent="0.45">
      <c r="A5956" s="19" t="s">
        <v>9</v>
      </c>
      <c r="B5956" s="19" t="s">
        <v>63</v>
      </c>
      <c r="C5956">
        <v>1</v>
      </c>
      <c r="D5956">
        <v>4</v>
      </c>
      <c r="E5956">
        <v>2</v>
      </c>
      <c r="F5956" s="15">
        <v>46265</v>
      </c>
      <c r="G5956" s="19" t="s">
        <v>713</v>
      </c>
      <c r="H5956">
        <v>4</v>
      </c>
      <c r="I5956">
        <v>2026</v>
      </c>
      <c r="J5956">
        <v>8</v>
      </c>
      <c r="K5956" s="19" t="s">
        <v>87</v>
      </c>
      <c r="L5956" s="19" t="s">
        <v>10</v>
      </c>
      <c r="M5956" s="19" t="s">
        <v>63</v>
      </c>
      <c r="N5956" t="b">
        <v>0</v>
      </c>
      <c r="O5956">
        <v>0</v>
      </c>
      <c r="P5956">
        <v>0</v>
      </c>
      <c r="Q5956">
        <v>1</v>
      </c>
      <c r="R5956">
        <v>0</v>
      </c>
    </row>
    <row r="5957" spans="1:18" x14ac:dyDescent="0.45">
      <c r="A5957" s="19" t="s">
        <v>17</v>
      </c>
      <c r="B5957" s="19" t="s">
        <v>63</v>
      </c>
      <c r="C5957">
        <v>2</v>
      </c>
      <c r="D5957">
        <v>4</v>
      </c>
      <c r="E5957">
        <v>2</v>
      </c>
      <c r="F5957" s="15">
        <v>46265</v>
      </c>
      <c r="G5957" s="19" t="s">
        <v>713</v>
      </c>
      <c r="H5957">
        <v>4</v>
      </c>
      <c r="I5957">
        <v>2026</v>
      </c>
      <c r="J5957">
        <v>8</v>
      </c>
      <c r="K5957" s="19" t="s">
        <v>87</v>
      </c>
      <c r="L5957" s="19" t="s">
        <v>9</v>
      </c>
      <c r="M5957" s="19" t="s">
        <v>63</v>
      </c>
      <c r="N5957" t="b">
        <v>0</v>
      </c>
      <c r="O5957">
        <v>0</v>
      </c>
      <c r="P5957">
        <v>0</v>
      </c>
      <c r="Q5957">
        <v>1</v>
      </c>
      <c r="R5957">
        <v>0</v>
      </c>
    </row>
    <row r="5958" spans="1:18" x14ac:dyDescent="0.45">
      <c r="A5958" s="19" t="s">
        <v>17</v>
      </c>
      <c r="B5958" s="19" t="s">
        <v>63</v>
      </c>
      <c r="C5958">
        <v>2</v>
      </c>
      <c r="D5958">
        <v>4</v>
      </c>
      <c r="E5958">
        <v>2</v>
      </c>
      <c r="F5958" s="15">
        <v>46265</v>
      </c>
      <c r="G5958" s="19" t="s">
        <v>713</v>
      </c>
      <c r="H5958">
        <v>4</v>
      </c>
      <c r="I5958">
        <v>2026</v>
      </c>
      <c r="J5958">
        <v>8</v>
      </c>
      <c r="K5958" s="19" t="s">
        <v>87</v>
      </c>
      <c r="L5958" s="19" t="s">
        <v>703</v>
      </c>
      <c r="M5958" s="19" t="s">
        <v>63</v>
      </c>
      <c r="N5958" t="b">
        <v>0</v>
      </c>
      <c r="O5958">
        <v>0</v>
      </c>
      <c r="P5958">
        <v>0</v>
      </c>
      <c r="Q5958">
        <v>1</v>
      </c>
      <c r="R5958">
        <v>0</v>
      </c>
    </row>
    <row r="5959" spans="1:18" x14ac:dyDescent="0.45">
      <c r="A5959" s="19" t="s">
        <v>17</v>
      </c>
      <c r="B5959" s="19" t="s">
        <v>63</v>
      </c>
      <c r="C5959">
        <v>2</v>
      </c>
      <c r="D5959">
        <v>4</v>
      </c>
      <c r="E5959">
        <v>2</v>
      </c>
      <c r="F5959" s="15">
        <v>46265</v>
      </c>
      <c r="G5959" s="19" t="s">
        <v>713</v>
      </c>
      <c r="H5959">
        <v>4</v>
      </c>
      <c r="I5959">
        <v>2026</v>
      </c>
      <c r="J5959">
        <v>8</v>
      </c>
      <c r="K5959" s="19" t="s">
        <v>87</v>
      </c>
      <c r="L5959" s="19" t="s">
        <v>10</v>
      </c>
      <c r="M5959" s="19" t="s">
        <v>63</v>
      </c>
      <c r="N5959" t="b">
        <v>0</v>
      </c>
      <c r="O5959">
        <v>0</v>
      </c>
      <c r="P5959">
        <v>0</v>
      </c>
      <c r="Q5959">
        <v>1</v>
      </c>
      <c r="R5959">
        <v>0</v>
      </c>
    </row>
    <row r="5960" spans="1:18" x14ac:dyDescent="0.45">
      <c r="A5960" s="19" t="s">
        <v>703</v>
      </c>
      <c r="B5960" s="19" t="s">
        <v>63</v>
      </c>
      <c r="C5960">
        <v>3</v>
      </c>
      <c r="D5960">
        <v>4</v>
      </c>
      <c r="E5960">
        <v>2</v>
      </c>
      <c r="F5960" s="15">
        <v>46265</v>
      </c>
      <c r="G5960" s="19" t="s">
        <v>713</v>
      </c>
      <c r="H5960">
        <v>4</v>
      </c>
      <c r="I5960">
        <v>2026</v>
      </c>
      <c r="J5960">
        <v>8</v>
      </c>
      <c r="K5960" s="19" t="s">
        <v>87</v>
      </c>
      <c r="L5960" s="19" t="s">
        <v>9</v>
      </c>
      <c r="M5960" s="19" t="s">
        <v>63</v>
      </c>
      <c r="N5960" t="b">
        <v>0</v>
      </c>
      <c r="O5960">
        <v>0</v>
      </c>
      <c r="P5960">
        <v>0</v>
      </c>
      <c r="Q5960">
        <v>1</v>
      </c>
      <c r="R5960">
        <v>0</v>
      </c>
    </row>
    <row r="5961" spans="1:18" x14ac:dyDescent="0.45">
      <c r="A5961" s="19" t="s">
        <v>703</v>
      </c>
      <c r="B5961" s="19" t="s">
        <v>63</v>
      </c>
      <c r="C5961">
        <v>3</v>
      </c>
      <c r="D5961">
        <v>4</v>
      </c>
      <c r="E5961">
        <v>2</v>
      </c>
      <c r="F5961" s="15">
        <v>46265</v>
      </c>
      <c r="G5961" s="19" t="s">
        <v>713</v>
      </c>
      <c r="H5961">
        <v>4</v>
      </c>
      <c r="I5961">
        <v>2026</v>
      </c>
      <c r="J5961">
        <v>8</v>
      </c>
      <c r="K5961" s="19" t="s">
        <v>87</v>
      </c>
      <c r="L5961" s="19" t="s">
        <v>17</v>
      </c>
      <c r="M5961" s="19" t="s">
        <v>63</v>
      </c>
      <c r="N5961" t="b">
        <v>0</v>
      </c>
      <c r="O5961">
        <v>0</v>
      </c>
      <c r="P5961">
        <v>0</v>
      </c>
      <c r="Q5961">
        <v>1</v>
      </c>
      <c r="R5961">
        <v>0</v>
      </c>
    </row>
    <row r="5962" spans="1:18" x14ac:dyDescent="0.45">
      <c r="A5962" s="19" t="s">
        <v>703</v>
      </c>
      <c r="B5962" s="19" t="s">
        <v>63</v>
      </c>
      <c r="C5962">
        <v>3</v>
      </c>
      <c r="D5962">
        <v>4</v>
      </c>
      <c r="E5962">
        <v>2</v>
      </c>
      <c r="F5962" s="15">
        <v>46265</v>
      </c>
      <c r="G5962" s="19" t="s">
        <v>713</v>
      </c>
      <c r="H5962">
        <v>4</v>
      </c>
      <c r="I5962">
        <v>2026</v>
      </c>
      <c r="J5962">
        <v>8</v>
      </c>
      <c r="K5962" s="19" t="s">
        <v>87</v>
      </c>
      <c r="L5962" s="19" t="s">
        <v>10</v>
      </c>
      <c r="M5962" s="19" t="s">
        <v>63</v>
      </c>
      <c r="N5962" t="b">
        <v>0</v>
      </c>
      <c r="O5962">
        <v>0</v>
      </c>
      <c r="P5962">
        <v>0</v>
      </c>
      <c r="Q5962">
        <v>1</v>
      </c>
      <c r="R5962">
        <v>0</v>
      </c>
    </row>
    <row r="5963" spans="1:18" x14ac:dyDescent="0.45">
      <c r="A5963" s="19" t="s">
        <v>10</v>
      </c>
      <c r="B5963" s="19" t="s">
        <v>63</v>
      </c>
      <c r="C5963">
        <v>4</v>
      </c>
      <c r="D5963">
        <v>4</v>
      </c>
      <c r="E5963">
        <v>2</v>
      </c>
      <c r="F5963" s="15">
        <v>46265</v>
      </c>
      <c r="G5963" s="19" t="s">
        <v>713</v>
      </c>
      <c r="H5963">
        <v>4</v>
      </c>
      <c r="I5963">
        <v>2026</v>
      </c>
      <c r="J5963">
        <v>8</v>
      </c>
      <c r="K5963" s="19" t="s">
        <v>87</v>
      </c>
      <c r="L5963" s="19" t="s">
        <v>9</v>
      </c>
      <c r="M5963" s="19" t="s">
        <v>63</v>
      </c>
      <c r="N5963" t="b">
        <v>0</v>
      </c>
      <c r="O5963">
        <v>0</v>
      </c>
      <c r="P5963">
        <v>0</v>
      </c>
      <c r="Q5963">
        <v>1</v>
      </c>
      <c r="R5963">
        <v>0</v>
      </c>
    </row>
    <row r="5964" spans="1:18" x14ac:dyDescent="0.45">
      <c r="A5964" s="19" t="s">
        <v>10</v>
      </c>
      <c r="B5964" s="19" t="s">
        <v>63</v>
      </c>
      <c r="C5964">
        <v>4</v>
      </c>
      <c r="D5964">
        <v>4</v>
      </c>
      <c r="E5964">
        <v>2</v>
      </c>
      <c r="F5964" s="15">
        <v>46265</v>
      </c>
      <c r="G5964" s="19" t="s">
        <v>713</v>
      </c>
      <c r="H5964">
        <v>4</v>
      </c>
      <c r="I5964">
        <v>2026</v>
      </c>
      <c r="J5964">
        <v>8</v>
      </c>
      <c r="K5964" s="19" t="s">
        <v>87</v>
      </c>
      <c r="L5964" s="19" t="s">
        <v>17</v>
      </c>
      <c r="M5964" s="19" t="s">
        <v>63</v>
      </c>
      <c r="N5964" t="b">
        <v>0</v>
      </c>
      <c r="O5964">
        <v>0</v>
      </c>
      <c r="P5964">
        <v>0</v>
      </c>
      <c r="Q5964">
        <v>1</v>
      </c>
      <c r="R5964">
        <v>0</v>
      </c>
    </row>
    <row r="5965" spans="1:18" x14ac:dyDescent="0.45">
      <c r="A5965" s="19" t="s">
        <v>10</v>
      </c>
      <c r="B5965" s="19" t="s">
        <v>63</v>
      </c>
      <c r="C5965">
        <v>4</v>
      </c>
      <c r="D5965">
        <v>4</v>
      </c>
      <c r="E5965">
        <v>2</v>
      </c>
      <c r="F5965" s="15">
        <v>46265</v>
      </c>
      <c r="G5965" s="19" t="s">
        <v>713</v>
      </c>
      <c r="H5965">
        <v>4</v>
      </c>
      <c r="I5965">
        <v>2026</v>
      </c>
      <c r="J5965">
        <v>8</v>
      </c>
      <c r="K5965" s="19" t="s">
        <v>87</v>
      </c>
      <c r="L5965" s="19" t="s">
        <v>703</v>
      </c>
      <c r="M5965" s="19" t="s">
        <v>63</v>
      </c>
      <c r="N5965" t="b">
        <v>0</v>
      </c>
      <c r="O5965">
        <v>0</v>
      </c>
      <c r="P5965">
        <v>0</v>
      </c>
      <c r="Q5965">
        <v>1</v>
      </c>
      <c r="R5965">
        <v>0</v>
      </c>
    </row>
    <row r="5966" spans="1:18" x14ac:dyDescent="0.45">
      <c r="A5966" s="19" t="s">
        <v>51</v>
      </c>
      <c r="B5966" s="19" t="s">
        <v>6</v>
      </c>
      <c r="C5966">
        <v>1</v>
      </c>
      <c r="D5966">
        <v>5</v>
      </c>
      <c r="E5966">
        <v>2</v>
      </c>
      <c r="F5966" s="15">
        <v>46265</v>
      </c>
      <c r="G5966" s="19" t="s">
        <v>714</v>
      </c>
      <c r="H5966">
        <v>3</v>
      </c>
      <c r="I5966">
        <v>2026</v>
      </c>
      <c r="J5966">
        <v>8</v>
      </c>
      <c r="K5966" s="19" t="s">
        <v>87</v>
      </c>
      <c r="L5966" s="19" t="s">
        <v>27</v>
      </c>
      <c r="M5966" s="19" t="s">
        <v>6</v>
      </c>
      <c r="N5966" t="b">
        <v>0</v>
      </c>
      <c r="O5966">
        <v>0</v>
      </c>
      <c r="P5966">
        <v>1</v>
      </c>
      <c r="Q5966">
        <v>0</v>
      </c>
      <c r="R5966">
        <v>0</v>
      </c>
    </row>
    <row r="5967" spans="1:18" x14ac:dyDescent="0.45">
      <c r="A5967" s="19" t="s">
        <v>51</v>
      </c>
      <c r="B5967" s="19" t="s">
        <v>6</v>
      </c>
      <c r="C5967">
        <v>1</v>
      </c>
      <c r="D5967">
        <v>5</v>
      </c>
      <c r="E5967">
        <v>2</v>
      </c>
      <c r="F5967" s="15">
        <v>46265</v>
      </c>
      <c r="G5967" s="19" t="s">
        <v>714</v>
      </c>
      <c r="H5967">
        <v>3</v>
      </c>
      <c r="I5967">
        <v>2026</v>
      </c>
      <c r="J5967">
        <v>8</v>
      </c>
      <c r="K5967" s="19" t="s">
        <v>87</v>
      </c>
      <c r="L5967" s="19" t="s">
        <v>19</v>
      </c>
      <c r="M5967" s="19" t="s">
        <v>8</v>
      </c>
      <c r="N5967" t="b">
        <v>0</v>
      </c>
      <c r="O5967">
        <v>0</v>
      </c>
      <c r="P5967">
        <v>1</v>
      </c>
      <c r="Q5967">
        <v>0</v>
      </c>
      <c r="R5967">
        <v>1</v>
      </c>
    </row>
    <row r="5968" spans="1:18" x14ac:dyDescent="0.45">
      <c r="A5968" s="19" t="s">
        <v>27</v>
      </c>
      <c r="B5968" s="19" t="s">
        <v>6</v>
      </c>
      <c r="C5968">
        <v>2</v>
      </c>
      <c r="D5968">
        <v>5</v>
      </c>
      <c r="E5968">
        <v>2</v>
      </c>
      <c r="F5968" s="15">
        <v>46265</v>
      </c>
      <c r="G5968" s="19" t="s">
        <v>714</v>
      </c>
      <c r="H5968">
        <v>3</v>
      </c>
      <c r="I5968">
        <v>2026</v>
      </c>
      <c r="J5968">
        <v>8</v>
      </c>
      <c r="K5968" s="19" t="s">
        <v>87</v>
      </c>
      <c r="L5968" s="19" t="s">
        <v>51</v>
      </c>
      <c r="M5968" s="19" t="s">
        <v>6</v>
      </c>
      <c r="N5968" t="b">
        <v>0</v>
      </c>
      <c r="O5968">
        <v>0</v>
      </c>
      <c r="P5968">
        <v>1</v>
      </c>
      <c r="Q5968">
        <v>0</v>
      </c>
      <c r="R5968">
        <v>0</v>
      </c>
    </row>
    <row r="5969" spans="1:18" x14ac:dyDescent="0.45">
      <c r="A5969" s="19" t="s">
        <v>27</v>
      </c>
      <c r="B5969" s="19" t="s">
        <v>6</v>
      </c>
      <c r="C5969">
        <v>2</v>
      </c>
      <c r="D5969">
        <v>5</v>
      </c>
      <c r="E5969">
        <v>2</v>
      </c>
      <c r="F5969" s="15">
        <v>46265</v>
      </c>
      <c r="G5969" s="19" t="s">
        <v>714</v>
      </c>
      <c r="H5969">
        <v>3</v>
      </c>
      <c r="I5969">
        <v>2026</v>
      </c>
      <c r="J5969">
        <v>8</v>
      </c>
      <c r="K5969" s="19" t="s">
        <v>87</v>
      </c>
      <c r="L5969" s="19" t="s">
        <v>19</v>
      </c>
      <c r="M5969" s="19" t="s">
        <v>8</v>
      </c>
      <c r="N5969" t="b">
        <v>0</v>
      </c>
      <c r="O5969">
        <v>0</v>
      </c>
      <c r="P5969">
        <v>1</v>
      </c>
      <c r="Q5969">
        <v>0</v>
      </c>
      <c r="R5969">
        <v>1</v>
      </c>
    </row>
    <row r="5970" spans="1:18" x14ac:dyDescent="0.45">
      <c r="A5970" s="19" t="s">
        <v>19</v>
      </c>
      <c r="B5970" s="19" t="s">
        <v>8</v>
      </c>
      <c r="C5970">
        <v>3</v>
      </c>
      <c r="D5970">
        <v>5</v>
      </c>
      <c r="E5970">
        <v>2</v>
      </c>
      <c r="F5970" s="15">
        <v>46265</v>
      </c>
      <c r="G5970" s="19" t="s">
        <v>714</v>
      </c>
      <c r="H5970">
        <v>3</v>
      </c>
      <c r="I5970">
        <v>2026</v>
      </c>
      <c r="J5970">
        <v>8</v>
      </c>
      <c r="K5970" s="19" t="s">
        <v>87</v>
      </c>
      <c r="L5970" s="19" t="s">
        <v>51</v>
      </c>
      <c r="M5970" s="19" t="s">
        <v>6</v>
      </c>
      <c r="N5970" t="b">
        <v>0</v>
      </c>
      <c r="O5970">
        <v>1</v>
      </c>
      <c r="P5970">
        <v>0</v>
      </c>
      <c r="Q5970">
        <v>0</v>
      </c>
      <c r="R5970">
        <v>0</v>
      </c>
    </row>
    <row r="5971" spans="1:18" x14ac:dyDescent="0.45">
      <c r="A5971" s="19" t="s">
        <v>19</v>
      </c>
      <c r="B5971" s="19" t="s">
        <v>8</v>
      </c>
      <c r="C5971">
        <v>3</v>
      </c>
      <c r="D5971">
        <v>5</v>
      </c>
      <c r="E5971">
        <v>2</v>
      </c>
      <c r="F5971" s="15">
        <v>46265</v>
      </c>
      <c r="G5971" s="19" t="s">
        <v>714</v>
      </c>
      <c r="H5971">
        <v>3</v>
      </c>
      <c r="I5971">
        <v>2026</v>
      </c>
      <c r="J5971">
        <v>8</v>
      </c>
      <c r="K5971" s="19" t="s">
        <v>87</v>
      </c>
      <c r="L5971" s="19" t="s">
        <v>27</v>
      </c>
      <c r="M5971" s="19" t="s">
        <v>6</v>
      </c>
      <c r="N5971" t="b">
        <v>0</v>
      </c>
      <c r="O5971">
        <v>1</v>
      </c>
      <c r="P5971">
        <v>0</v>
      </c>
      <c r="Q5971">
        <v>0</v>
      </c>
      <c r="R5971">
        <v>0</v>
      </c>
    </row>
    <row r="5972" spans="1:18" x14ac:dyDescent="0.45">
      <c r="A5972" s="19" t="s">
        <v>325</v>
      </c>
      <c r="B5972" s="19" t="s">
        <v>6</v>
      </c>
      <c r="C5972">
        <v>1</v>
      </c>
      <c r="D5972">
        <v>1</v>
      </c>
      <c r="E5972">
        <v>1</v>
      </c>
      <c r="F5972" s="15">
        <v>46272</v>
      </c>
      <c r="G5972" s="19" t="s">
        <v>715</v>
      </c>
      <c r="H5972">
        <v>4</v>
      </c>
      <c r="I5972">
        <v>2026</v>
      </c>
      <c r="J5972">
        <v>9</v>
      </c>
      <c r="K5972" s="19" t="s">
        <v>87</v>
      </c>
      <c r="L5972" s="19" t="s">
        <v>11</v>
      </c>
      <c r="M5972" s="19" t="s">
        <v>8</v>
      </c>
      <c r="N5972" t="b">
        <v>0</v>
      </c>
      <c r="O5972">
        <v>0</v>
      </c>
      <c r="P5972">
        <v>1</v>
      </c>
      <c r="Q5972">
        <v>0</v>
      </c>
      <c r="R5972">
        <v>1</v>
      </c>
    </row>
    <row r="5973" spans="1:18" x14ac:dyDescent="0.45">
      <c r="A5973" s="19" t="s">
        <v>325</v>
      </c>
      <c r="B5973" s="19" t="s">
        <v>6</v>
      </c>
      <c r="C5973">
        <v>1</v>
      </c>
      <c r="D5973">
        <v>1</v>
      </c>
      <c r="E5973">
        <v>1</v>
      </c>
      <c r="F5973" s="15">
        <v>46272</v>
      </c>
      <c r="G5973" s="19" t="s">
        <v>715</v>
      </c>
      <c r="H5973">
        <v>4</v>
      </c>
      <c r="I5973">
        <v>2026</v>
      </c>
      <c r="J5973">
        <v>9</v>
      </c>
      <c r="K5973" s="19" t="s">
        <v>87</v>
      </c>
      <c r="L5973" s="19" t="s">
        <v>402</v>
      </c>
      <c r="M5973" s="19" t="s">
        <v>6</v>
      </c>
      <c r="N5973" t="b">
        <v>0</v>
      </c>
      <c r="O5973">
        <v>0</v>
      </c>
      <c r="P5973">
        <v>1</v>
      </c>
      <c r="Q5973">
        <v>0</v>
      </c>
      <c r="R5973">
        <v>0</v>
      </c>
    </row>
    <row r="5974" spans="1:18" x14ac:dyDescent="0.45">
      <c r="A5974" s="19" t="s">
        <v>325</v>
      </c>
      <c r="B5974" s="19" t="s">
        <v>6</v>
      </c>
      <c r="C5974">
        <v>1</v>
      </c>
      <c r="D5974">
        <v>1</v>
      </c>
      <c r="E5974">
        <v>1</v>
      </c>
      <c r="F5974" s="15">
        <v>46272</v>
      </c>
      <c r="G5974" s="19" t="s">
        <v>715</v>
      </c>
      <c r="H5974">
        <v>4</v>
      </c>
      <c r="I5974">
        <v>2026</v>
      </c>
      <c r="J5974">
        <v>9</v>
      </c>
      <c r="K5974" s="19" t="s">
        <v>87</v>
      </c>
      <c r="L5974" s="19" t="s">
        <v>42</v>
      </c>
      <c r="M5974" s="19" t="s">
        <v>6</v>
      </c>
      <c r="N5974" t="b">
        <v>0</v>
      </c>
      <c r="O5974">
        <v>0</v>
      </c>
      <c r="P5974">
        <v>1</v>
      </c>
      <c r="Q5974">
        <v>0</v>
      </c>
      <c r="R5974">
        <v>0</v>
      </c>
    </row>
    <row r="5975" spans="1:18" x14ac:dyDescent="0.45">
      <c r="A5975" s="19" t="s">
        <v>11</v>
      </c>
      <c r="B5975" s="19" t="s">
        <v>8</v>
      </c>
      <c r="C5975">
        <v>2</v>
      </c>
      <c r="D5975">
        <v>1</v>
      </c>
      <c r="E5975">
        <v>1</v>
      </c>
      <c r="F5975" s="15">
        <v>46272</v>
      </c>
      <c r="G5975" s="19" t="s">
        <v>715</v>
      </c>
      <c r="H5975">
        <v>4</v>
      </c>
      <c r="I5975">
        <v>2026</v>
      </c>
      <c r="J5975">
        <v>9</v>
      </c>
      <c r="K5975" s="19" t="s">
        <v>87</v>
      </c>
      <c r="L5975" s="19" t="s">
        <v>325</v>
      </c>
      <c r="M5975" s="19" t="s">
        <v>6</v>
      </c>
      <c r="N5975" t="b">
        <v>0</v>
      </c>
      <c r="O5975">
        <v>1</v>
      </c>
      <c r="P5975">
        <v>0</v>
      </c>
      <c r="Q5975">
        <v>0</v>
      </c>
      <c r="R5975">
        <v>0</v>
      </c>
    </row>
    <row r="5976" spans="1:18" x14ac:dyDescent="0.45">
      <c r="A5976" s="19" t="s">
        <v>11</v>
      </c>
      <c r="B5976" s="19" t="s">
        <v>8</v>
      </c>
      <c r="C5976">
        <v>2</v>
      </c>
      <c r="D5976">
        <v>1</v>
      </c>
      <c r="E5976">
        <v>1</v>
      </c>
      <c r="F5976" s="15">
        <v>46272</v>
      </c>
      <c r="G5976" s="19" t="s">
        <v>715</v>
      </c>
      <c r="H5976">
        <v>4</v>
      </c>
      <c r="I5976">
        <v>2026</v>
      </c>
      <c r="J5976">
        <v>9</v>
      </c>
      <c r="K5976" s="19" t="s">
        <v>87</v>
      </c>
      <c r="L5976" s="19" t="s">
        <v>402</v>
      </c>
      <c r="M5976" s="19" t="s">
        <v>6</v>
      </c>
      <c r="N5976" t="b">
        <v>0</v>
      </c>
      <c r="O5976">
        <v>1</v>
      </c>
      <c r="P5976">
        <v>0</v>
      </c>
      <c r="Q5976">
        <v>0</v>
      </c>
      <c r="R5976">
        <v>0</v>
      </c>
    </row>
    <row r="5977" spans="1:18" x14ac:dyDescent="0.45">
      <c r="A5977" s="19" t="s">
        <v>11</v>
      </c>
      <c r="B5977" s="19" t="s">
        <v>8</v>
      </c>
      <c r="C5977">
        <v>2</v>
      </c>
      <c r="D5977">
        <v>1</v>
      </c>
      <c r="E5977">
        <v>1</v>
      </c>
      <c r="F5977" s="15">
        <v>46272</v>
      </c>
      <c r="G5977" s="19" t="s">
        <v>715</v>
      </c>
      <c r="H5977">
        <v>4</v>
      </c>
      <c r="I5977">
        <v>2026</v>
      </c>
      <c r="J5977">
        <v>9</v>
      </c>
      <c r="K5977" s="19" t="s">
        <v>87</v>
      </c>
      <c r="L5977" s="19" t="s">
        <v>42</v>
      </c>
      <c r="M5977" s="19" t="s">
        <v>6</v>
      </c>
      <c r="N5977" t="b">
        <v>0</v>
      </c>
      <c r="O5977">
        <v>1</v>
      </c>
      <c r="P5977">
        <v>0</v>
      </c>
      <c r="Q5977">
        <v>0</v>
      </c>
      <c r="R5977">
        <v>0</v>
      </c>
    </row>
    <row r="5978" spans="1:18" x14ac:dyDescent="0.45">
      <c r="A5978" s="19" t="s">
        <v>402</v>
      </c>
      <c r="B5978" s="19" t="s">
        <v>6</v>
      </c>
      <c r="C5978">
        <v>3</v>
      </c>
      <c r="D5978">
        <v>1</v>
      </c>
      <c r="E5978">
        <v>1</v>
      </c>
      <c r="F5978" s="15">
        <v>46272</v>
      </c>
      <c r="G5978" s="19" t="s">
        <v>715</v>
      </c>
      <c r="H5978">
        <v>4</v>
      </c>
      <c r="I5978">
        <v>2026</v>
      </c>
      <c r="J5978">
        <v>9</v>
      </c>
      <c r="K5978" s="19" t="s">
        <v>87</v>
      </c>
      <c r="L5978" s="19" t="s">
        <v>325</v>
      </c>
      <c r="M5978" s="19" t="s">
        <v>6</v>
      </c>
      <c r="N5978" t="b">
        <v>0</v>
      </c>
      <c r="O5978">
        <v>0</v>
      </c>
      <c r="P5978">
        <v>1</v>
      </c>
      <c r="Q5978">
        <v>0</v>
      </c>
      <c r="R5978">
        <v>0</v>
      </c>
    </row>
    <row r="5979" spans="1:18" x14ac:dyDescent="0.45">
      <c r="A5979" s="19" t="s">
        <v>402</v>
      </c>
      <c r="B5979" s="19" t="s">
        <v>6</v>
      </c>
      <c r="C5979">
        <v>3</v>
      </c>
      <c r="D5979">
        <v>1</v>
      </c>
      <c r="E5979">
        <v>1</v>
      </c>
      <c r="F5979" s="15">
        <v>46272</v>
      </c>
      <c r="G5979" s="19" t="s">
        <v>715</v>
      </c>
      <c r="H5979">
        <v>4</v>
      </c>
      <c r="I5979">
        <v>2026</v>
      </c>
      <c r="J5979">
        <v>9</v>
      </c>
      <c r="K5979" s="19" t="s">
        <v>87</v>
      </c>
      <c r="L5979" s="19" t="s">
        <v>11</v>
      </c>
      <c r="M5979" s="19" t="s">
        <v>8</v>
      </c>
      <c r="N5979" t="b">
        <v>0</v>
      </c>
      <c r="O5979">
        <v>0</v>
      </c>
      <c r="P5979">
        <v>1</v>
      </c>
      <c r="Q5979">
        <v>0</v>
      </c>
      <c r="R5979">
        <v>1</v>
      </c>
    </row>
    <row r="5980" spans="1:18" x14ac:dyDescent="0.45">
      <c r="A5980" s="19" t="s">
        <v>402</v>
      </c>
      <c r="B5980" s="19" t="s">
        <v>6</v>
      </c>
      <c r="C5980">
        <v>3</v>
      </c>
      <c r="D5980">
        <v>1</v>
      </c>
      <c r="E5980">
        <v>1</v>
      </c>
      <c r="F5980" s="15">
        <v>46272</v>
      </c>
      <c r="G5980" s="19" t="s">
        <v>715</v>
      </c>
      <c r="H5980">
        <v>4</v>
      </c>
      <c r="I5980">
        <v>2026</v>
      </c>
      <c r="J5980">
        <v>9</v>
      </c>
      <c r="K5980" s="19" t="s">
        <v>87</v>
      </c>
      <c r="L5980" s="19" t="s">
        <v>42</v>
      </c>
      <c r="M5980" s="19" t="s">
        <v>6</v>
      </c>
      <c r="N5980" t="b">
        <v>0</v>
      </c>
      <c r="O5980">
        <v>0</v>
      </c>
      <c r="P5980">
        <v>1</v>
      </c>
      <c r="Q5980">
        <v>0</v>
      </c>
      <c r="R5980">
        <v>0</v>
      </c>
    </row>
    <row r="5981" spans="1:18" x14ac:dyDescent="0.45">
      <c r="A5981" s="19" t="s">
        <v>42</v>
      </c>
      <c r="B5981" s="19" t="s">
        <v>6</v>
      </c>
      <c r="C5981">
        <v>4</v>
      </c>
      <c r="D5981">
        <v>1</v>
      </c>
      <c r="E5981">
        <v>1</v>
      </c>
      <c r="F5981" s="15">
        <v>46272</v>
      </c>
      <c r="G5981" s="19" t="s">
        <v>715</v>
      </c>
      <c r="H5981">
        <v>4</v>
      </c>
      <c r="I5981">
        <v>2026</v>
      </c>
      <c r="J5981">
        <v>9</v>
      </c>
      <c r="K5981" s="19" t="s">
        <v>87</v>
      </c>
      <c r="L5981" s="19" t="s">
        <v>325</v>
      </c>
      <c r="M5981" s="19" t="s">
        <v>6</v>
      </c>
      <c r="N5981" t="b">
        <v>0</v>
      </c>
      <c r="O5981">
        <v>0</v>
      </c>
      <c r="P5981">
        <v>1</v>
      </c>
      <c r="Q5981">
        <v>0</v>
      </c>
      <c r="R5981">
        <v>0</v>
      </c>
    </row>
    <row r="5982" spans="1:18" x14ac:dyDescent="0.45">
      <c r="A5982" s="19" t="s">
        <v>42</v>
      </c>
      <c r="B5982" s="19" t="s">
        <v>6</v>
      </c>
      <c r="C5982">
        <v>4</v>
      </c>
      <c r="D5982">
        <v>1</v>
      </c>
      <c r="E5982">
        <v>1</v>
      </c>
      <c r="F5982" s="15">
        <v>46272</v>
      </c>
      <c r="G5982" s="19" t="s">
        <v>715</v>
      </c>
      <c r="H5982">
        <v>4</v>
      </c>
      <c r="I5982">
        <v>2026</v>
      </c>
      <c r="J5982">
        <v>9</v>
      </c>
      <c r="K5982" s="19" t="s">
        <v>87</v>
      </c>
      <c r="L5982" s="19" t="s">
        <v>11</v>
      </c>
      <c r="M5982" s="19" t="s">
        <v>8</v>
      </c>
      <c r="N5982" t="b">
        <v>0</v>
      </c>
      <c r="O5982">
        <v>0</v>
      </c>
      <c r="P5982">
        <v>1</v>
      </c>
      <c r="Q5982">
        <v>0</v>
      </c>
      <c r="R5982">
        <v>1</v>
      </c>
    </row>
    <row r="5983" spans="1:18" x14ac:dyDescent="0.45">
      <c r="A5983" s="19" t="s">
        <v>42</v>
      </c>
      <c r="B5983" s="19" t="s">
        <v>6</v>
      </c>
      <c r="C5983">
        <v>4</v>
      </c>
      <c r="D5983">
        <v>1</v>
      </c>
      <c r="E5983">
        <v>1</v>
      </c>
      <c r="F5983" s="15">
        <v>46272</v>
      </c>
      <c r="G5983" s="19" t="s">
        <v>715</v>
      </c>
      <c r="H5983">
        <v>4</v>
      </c>
      <c r="I5983">
        <v>2026</v>
      </c>
      <c r="J5983">
        <v>9</v>
      </c>
      <c r="K5983" s="19" t="s">
        <v>87</v>
      </c>
      <c r="L5983" s="19" t="s">
        <v>402</v>
      </c>
      <c r="M5983" s="19" t="s">
        <v>6</v>
      </c>
      <c r="N5983" t="b">
        <v>0</v>
      </c>
      <c r="O5983">
        <v>0</v>
      </c>
      <c r="P5983">
        <v>1</v>
      </c>
      <c r="Q5983">
        <v>0</v>
      </c>
      <c r="R5983">
        <v>0</v>
      </c>
    </row>
    <row r="5984" spans="1:18" x14ac:dyDescent="0.45">
      <c r="A5984" s="19" t="s">
        <v>7</v>
      </c>
      <c r="B5984" s="19" t="s">
        <v>63</v>
      </c>
      <c r="C5984">
        <v>1</v>
      </c>
      <c r="D5984">
        <v>2</v>
      </c>
      <c r="E5984">
        <v>1</v>
      </c>
      <c r="F5984" s="15">
        <v>46272</v>
      </c>
      <c r="G5984" s="19" t="s">
        <v>716</v>
      </c>
      <c r="H5984">
        <v>4</v>
      </c>
      <c r="I5984">
        <v>2026</v>
      </c>
      <c r="J5984">
        <v>9</v>
      </c>
      <c r="K5984" s="19" t="s">
        <v>87</v>
      </c>
      <c r="L5984" s="19" t="s">
        <v>51</v>
      </c>
      <c r="M5984" s="19" t="s">
        <v>63</v>
      </c>
      <c r="N5984" t="b">
        <v>0</v>
      </c>
      <c r="O5984">
        <v>0</v>
      </c>
      <c r="P5984">
        <v>0</v>
      </c>
      <c r="Q5984">
        <v>1</v>
      </c>
      <c r="R5984">
        <v>0</v>
      </c>
    </row>
    <row r="5985" spans="1:18" x14ac:dyDescent="0.45">
      <c r="A5985" s="19" t="s">
        <v>7</v>
      </c>
      <c r="B5985" s="19" t="s">
        <v>63</v>
      </c>
      <c r="C5985">
        <v>1</v>
      </c>
      <c r="D5985">
        <v>2</v>
      </c>
      <c r="E5985">
        <v>1</v>
      </c>
      <c r="F5985" s="15">
        <v>46272</v>
      </c>
      <c r="G5985" s="19" t="s">
        <v>716</v>
      </c>
      <c r="H5985">
        <v>4</v>
      </c>
      <c r="I5985">
        <v>2026</v>
      </c>
      <c r="J5985">
        <v>9</v>
      </c>
      <c r="K5985" s="19" t="s">
        <v>87</v>
      </c>
      <c r="L5985" s="19" t="s">
        <v>10</v>
      </c>
      <c r="M5985" s="19" t="s">
        <v>63</v>
      </c>
      <c r="N5985" t="b">
        <v>0</v>
      </c>
      <c r="O5985">
        <v>0</v>
      </c>
      <c r="P5985">
        <v>0</v>
      </c>
      <c r="Q5985">
        <v>1</v>
      </c>
      <c r="R5985">
        <v>0</v>
      </c>
    </row>
    <row r="5986" spans="1:18" x14ac:dyDescent="0.45">
      <c r="A5986" s="19" t="s">
        <v>7</v>
      </c>
      <c r="B5986" s="19" t="s">
        <v>63</v>
      </c>
      <c r="C5986">
        <v>1</v>
      </c>
      <c r="D5986">
        <v>2</v>
      </c>
      <c r="E5986">
        <v>1</v>
      </c>
      <c r="F5986" s="15">
        <v>46272</v>
      </c>
      <c r="G5986" s="19" t="s">
        <v>716</v>
      </c>
      <c r="H5986">
        <v>4</v>
      </c>
      <c r="I5986">
        <v>2026</v>
      </c>
      <c r="J5986">
        <v>9</v>
      </c>
      <c r="K5986" s="19" t="s">
        <v>87</v>
      </c>
      <c r="L5986" s="19" t="s">
        <v>19</v>
      </c>
      <c r="M5986" s="19" t="s">
        <v>63</v>
      </c>
      <c r="N5986" t="b">
        <v>0</v>
      </c>
      <c r="O5986">
        <v>0</v>
      </c>
      <c r="P5986">
        <v>0</v>
      </c>
      <c r="Q5986">
        <v>1</v>
      </c>
      <c r="R5986">
        <v>0</v>
      </c>
    </row>
    <row r="5987" spans="1:18" x14ac:dyDescent="0.45">
      <c r="A5987" s="19" t="s">
        <v>51</v>
      </c>
      <c r="B5987" s="19" t="s">
        <v>63</v>
      </c>
      <c r="C5987">
        <v>2</v>
      </c>
      <c r="D5987">
        <v>2</v>
      </c>
      <c r="E5987">
        <v>1</v>
      </c>
      <c r="F5987" s="15">
        <v>46272</v>
      </c>
      <c r="G5987" s="19" t="s">
        <v>716</v>
      </c>
      <c r="H5987">
        <v>4</v>
      </c>
      <c r="I5987">
        <v>2026</v>
      </c>
      <c r="J5987">
        <v>9</v>
      </c>
      <c r="K5987" s="19" t="s">
        <v>87</v>
      </c>
      <c r="L5987" s="19" t="s">
        <v>7</v>
      </c>
      <c r="M5987" s="19" t="s">
        <v>63</v>
      </c>
      <c r="N5987" t="b">
        <v>0</v>
      </c>
      <c r="O5987">
        <v>0</v>
      </c>
      <c r="P5987">
        <v>0</v>
      </c>
      <c r="Q5987">
        <v>1</v>
      </c>
      <c r="R5987">
        <v>0</v>
      </c>
    </row>
    <row r="5988" spans="1:18" x14ac:dyDescent="0.45">
      <c r="A5988" s="19" t="s">
        <v>51</v>
      </c>
      <c r="B5988" s="19" t="s">
        <v>63</v>
      </c>
      <c r="C5988">
        <v>2</v>
      </c>
      <c r="D5988">
        <v>2</v>
      </c>
      <c r="E5988">
        <v>1</v>
      </c>
      <c r="F5988" s="15">
        <v>46272</v>
      </c>
      <c r="G5988" s="19" t="s">
        <v>716</v>
      </c>
      <c r="H5988">
        <v>4</v>
      </c>
      <c r="I5988">
        <v>2026</v>
      </c>
      <c r="J5988">
        <v>9</v>
      </c>
      <c r="K5988" s="19" t="s">
        <v>87</v>
      </c>
      <c r="L5988" s="19" t="s">
        <v>10</v>
      </c>
      <c r="M5988" s="19" t="s">
        <v>63</v>
      </c>
      <c r="N5988" t="b">
        <v>0</v>
      </c>
      <c r="O5988">
        <v>0</v>
      </c>
      <c r="P5988">
        <v>0</v>
      </c>
      <c r="Q5988">
        <v>1</v>
      </c>
      <c r="R5988">
        <v>0</v>
      </c>
    </row>
    <row r="5989" spans="1:18" x14ac:dyDescent="0.45">
      <c r="A5989" s="19" t="s">
        <v>51</v>
      </c>
      <c r="B5989" s="19" t="s">
        <v>63</v>
      </c>
      <c r="C5989">
        <v>2</v>
      </c>
      <c r="D5989">
        <v>2</v>
      </c>
      <c r="E5989">
        <v>1</v>
      </c>
      <c r="F5989" s="15">
        <v>46272</v>
      </c>
      <c r="G5989" s="19" t="s">
        <v>716</v>
      </c>
      <c r="H5989">
        <v>4</v>
      </c>
      <c r="I5989">
        <v>2026</v>
      </c>
      <c r="J5989">
        <v>9</v>
      </c>
      <c r="K5989" s="19" t="s">
        <v>87</v>
      </c>
      <c r="L5989" s="19" t="s">
        <v>19</v>
      </c>
      <c r="M5989" s="19" t="s">
        <v>63</v>
      </c>
      <c r="N5989" t="b">
        <v>0</v>
      </c>
      <c r="O5989">
        <v>0</v>
      </c>
      <c r="P5989">
        <v>0</v>
      </c>
      <c r="Q5989">
        <v>1</v>
      </c>
      <c r="R5989">
        <v>0</v>
      </c>
    </row>
    <row r="5990" spans="1:18" x14ac:dyDescent="0.45">
      <c r="A5990" s="19" t="s">
        <v>10</v>
      </c>
      <c r="B5990" s="19" t="s">
        <v>63</v>
      </c>
      <c r="C5990">
        <v>3</v>
      </c>
      <c r="D5990">
        <v>2</v>
      </c>
      <c r="E5990">
        <v>1</v>
      </c>
      <c r="F5990" s="15">
        <v>46272</v>
      </c>
      <c r="G5990" s="19" t="s">
        <v>716</v>
      </c>
      <c r="H5990">
        <v>4</v>
      </c>
      <c r="I5990">
        <v>2026</v>
      </c>
      <c r="J5990">
        <v>9</v>
      </c>
      <c r="K5990" s="19" t="s">
        <v>87</v>
      </c>
      <c r="L5990" s="19" t="s">
        <v>7</v>
      </c>
      <c r="M5990" s="19" t="s">
        <v>63</v>
      </c>
      <c r="N5990" t="b">
        <v>0</v>
      </c>
      <c r="O5990">
        <v>0</v>
      </c>
      <c r="P5990">
        <v>0</v>
      </c>
      <c r="Q5990">
        <v>1</v>
      </c>
      <c r="R5990">
        <v>0</v>
      </c>
    </row>
    <row r="5991" spans="1:18" x14ac:dyDescent="0.45">
      <c r="A5991" s="19" t="s">
        <v>10</v>
      </c>
      <c r="B5991" s="19" t="s">
        <v>63</v>
      </c>
      <c r="C5991">
        <v>3</v>
      </c>
      <c r="D5991">
        <v>2</v>
      </c>
      <c r="E5991">
        <v>1</v>
      </c>
      <c r="F5991" s="15">
        <v>46272</v>
      </c>
      <c r="G5991" s="19" t="s">
        <v>716</v>
      </c>
      <c r="H5991">
        <v>4</v>
      </c>
      <c r="I5991">
        <v>2026</v>
      </c>
      <c r="J5991">
        <v>9</v>
      </c>
      <c r="K5991" s="19" t="s">
        <v>87</v>
      </c>
      <c r="L5991" s="19" t="s">
        <v>51</v>
      </c>
      <c r="M5991" s="19" t="s">
        <v>63</v>
      </c>
      <c r="N5991" t="b">
        <v>0</v>
      </c>
      <c r="O5991">
        <v>0</v>
      </c>
      <c r="P5991">
        <v>0</v>
      </c>
      <c r="Q5991">
        <v>1</v>
      </c>
      <c r="R5991">
        <v>0</v>
      </c>
    </row>
    <row r="5992" spans="1:18" x14ac:dyDescent="0.45">
      <c r="A5992" s="19" t="s">
        <v>10</v>
      </c>
      <c r="B5992" s="19" t="s">
        <v>63</v>
      </c>
      <c r="C5992">
        <v>3</v>
      </c>
      <c r="D5992">
        <v>2</v>
      </c>
      <c r="E5992">
        <v>1</v>
      </c>
      <c r="F5992" s="15">
        <v>46272</v>
      </c>
      <c r="G5992" s="19" t="s">
        <v>716</v>
      </c>
      <c r="H5992">
        <v>4</v>
      </c>
      <c r="I5992">
        <v>2026</v>
      </c>
      <c r="J5992">
        <v>9</v>
      </c>
      <c r="K5992" s="19" t="s">
        <v>87</v>
      </c>
      <c r="L5992" s="19" t="s">
        <v>19</v>
      </c>
      <c r="M5992" s="19" t="s">
        <v>63</v>
      </c>
      <c r="N5992" t="b">
        <v>0</v>
      </c>
      <c r="O5992">
        <v>0</v>
      </c>
      <c r="P5992">
        <v>0</v>
      </c>
      <c r="Q5992">
        <v>1</v>
      </c>
      <c r="R5992">
        <v>0</v>
      </c>
    </row>
    <row r="5993" spans="1:18" x14ac:dyDescent="0.45">
      <c r="A5993" s="19" t="s">
        <v>19</v>
      </c>
      <c r="B5993" s="19" t="s">
        <v>63</v>
      </c>
      <c r="C5993">
        <v>4</v>
      </c>
      <c r="D5993">
        <v>2</v>
      </c>
      <c r="E5993">
        <v>1</v>
      </c>
      <c r="F5993" s="15">
        <v>46272</v>
      </c>
      <c r="G5993" s="19" t="s">
        <v>716</v>
      </c>
      <c r="H5993">
        <v>4</v>
      </c>
      <c r="I5993">
        <v>2026</v>
      </c>
      <c r="J5993">
        <v>9</v>
      </c>
      <c r="K5993" s="19" t="s">
        <v>87</v>
      </c>
      <c r="L5993" s="19" t="s">
        <v>7</v>
      </c>
      <c r="M5993" s="19" t="s">
        <v>63</v>
      </c>
      <c r="N5993" t="b">
        <v>0</v>
      </c>
      <c r="O5993">
        <v>0</v>
      </c>
      <c r="P5993">
        <v>0</v>
      </c>
      <c r="Q5993">
        <v>1</v>
      </c>
      <c r="R5993">
        <v>0</v>
      </c>
    </row>
    <row r="5994" spans="1:18" x14ac:dyDescent="0.45">
      <c r="A5994" s="19" t="s">
        <v>19</v>
      </c>
      <c r="B5994" s="19" t="s">
        <v>63</v>
      </c>
      <c r="C5994">
        <v>4</v>
      </c>
      <c r="D5994">
        <v>2</v>
      </c>
      <c r="E5994">
        <v>1</v>
      </c>
      <c r="F5994" s="15">
        <v>46272</v>
      </c>
      <c r="G5994" s="19" t="s">
        <v>716</v>
      </c>
      <c r="H5994">
        <v>4</v>
      </c>
      <c r="I5994">
        <v>2026</v>
      </c>
      <c r="J5994">
        <v>9</v>
      </c>
      <c r="K5994" s="19" t="s">
        <v>87</v>
      </c>
      <c r="L5994" s="19" t="s">
        <v>51</v>
      </c>
      <c r="M5994" s="19" t="s">
        <v>63</v>
      </c>
      <c r="N5994" t="b">
        <v>0</v>
      </c>
      <c r="O5994">
        <v>0</v>
      </c>
      <c r="P5994">
        <v>0</v>
      </c>
      <c r="Q5994">
        <v>1</v>
      </c>
      <c r="R5994">
        <v>0</v>
      </c>
    </row>
    <row r="5995" spans="1:18" x14ac:dyDescent="0.45">
      <c r="A5995" s="19" t="s">
        <v>19</v>
      </c>
      <c r="B5995" s="19" t="s">
        <v>63</v>
      </c>
      <c r="C5995">
        <v>4</v>
      </c>
      <c r="D5995">
        <v>2</v>
      </c>
      <c r="E5995">
        <v>1</v>
      </c>
      <c r="F5995" s="15">
        <v>46272</v>
      </c>
      <c r="G5995" s="19" t="s">
        <v>716</v>
      </c>
      <c r="H5995">
        <v>4</v>
      </c>
      <c r="I5995">
        <v>2026</v>
      </c>
      <c r="J5995">
        <v>9</v>
      </c>
      <c r="K5995" s="19" t="s">
        <v>87</v>
      </c>
      <c r="L5995" s="19" t="s">
        <v>10</v>
      </c>
      <c r="M5995" s="19" t="s">
        <v>63</v>
      </c>
      <c r="N5995" t="b">
        <v>0</v>
      </c>
      <c r="O5995">
        <v>0</v>
      </c>
      <c r="P5995">
        <v>0</v>
      </c>
      <c r="Q5995">
        <v>1</v>
      </c>
      <c r="R5995">
        <v>0</v>
      </c>
    </row>
    <row r="5996" spans="1:18" x14ac:dyDescent="0.45">
      <c r="A5996" s="19" t="s">
        <v>578</v>
      </c>
      <c r="B5996" s="19" t="s">
        <v>63</v>
      </c>
      <c r="C5996">
        <v>1</v>
      </c>
      <c r="D5996">
        <v>3</v>
      </c>
      <c r="E5996">
        <v>1</v>
      </c>
      <c r="F5996" s="15">
        <v>46272</v>
      </c>
      <c r="G5996" s="19" t="s">
        <v>717</v>
      </c>
      <c r="H5996">
        <v>4</v>
      </c>
      <c r="I5996">
        <v>2026</v>
      </c>
      <c r="J5996">
        <v>9</v>
      </c>
      <c r="K5996" s="19" t="s">
        <v>87</v>
      </c>
      <c r="L5996" s="19" t="s">
        <v>15</v>
      </c>
      <c r="M5996" s="19" t="s">
        <v>63</v>
      </c>
      <c r="N5996" t="b">
        <v>0</v>
      </c>
      <c r="O5996">
        <v>0</v>
      </c>
      <c r="P5996">
        <v>0</v>
      </c>
      <c r="Q5996">
        <v>1</v>
      </c>
      <c r="R5996">
        <v>0</v>
      </c>
    </row>
    <row r="5997" spans="1:18" x14ac:dyDescent="0.45">
      <c r="A5997" s="19" t="s">
        <v>578</v>
      </c>
      <c r="B5997" s="19" t="s">
        <v>63</v>
      </c>
      <c r="C5997">
        <v>1</v>
      </c>
      <c r="D5997">
        <v>3</v>
      </c>
      <c r="E5997">
        <v>1</v>
      </c>
      <c r="F5997" s="15">
        <v>46272</v>
      </c>
      <c r="G5997" s="19" t="s">
        <v>717</v>
      </c>
      <c r="H5997">
        <v>4</v>
      </c>
      <c r="I5997">
        <v>2026</v>
      </c>
      <c r="J5997">
        <v>9</v>
      </c>
      <c r="K5997" s="19" t="s">
        <v>87</v>
      </c>
      <c r="L5997" s="19" t="s">
        <v>351</v>
      </c>
      <c r="M5997" s="19" t="s">
        <v>63</v>
      </c>
      <c r="N5997" t="b">
        <v>0</v>
      </c>
      <c r="O5997">
        <v>0</v>
      </c>
      <c r="P5997">
        <v>0</v>
      </c>
      <c r="Q5997">
        <v>1</v>
      </c>
      <c r="R5997">
        <v>0</v>
      </c>
    </row>
    <row r="5998" spans="1:18" x14ac:dyDescent="0.45">
      <c r="A5998" s="19" t="s">
        <v>578</v>
      </c>
      <c r="B5998" s="19" t="s">
        <v>63</v>
      </c>
      <c r="C5998">
        <v>1</v>
      </c>
      <c r="D5998">
        <v>3</v>
      </c>
      <c r="E5998">
        <v>1</v>
      </c>
      <c r="F5998" s="15">
        <v>46272</v>
      </c>
      <c r="G5998" s="19" t="s">
        <v>717</v>
      </c>
      <c r="H5998">
        <v>4</v>
      </c>
      <c r="I5998">
        <v>2026</v>
      </c>
      <c r="J5998">
        <v>9</v>
      </c>
      <c r="K5998" s="19" t="s">
        <v>87</v>
      </c>
      <c r="L5998" s="19" t="s">
        <v>405</v>
      </c>
      <c r="M5998" s="19" t="s">
        <v>63</v>
      </c>
      <c r="N5998" t="b">
        <v>0</v>
      </c>
      <c r="O5998">
        <v>0</v>
      </c>
      <c r="P5998">
        <v>0</v>
      </c>
      <c r="Q5998">
        <v>1</v>
      </c>
      <c r="R5998">
        <v>0</v>
      </c>
    </row>
    <row r="5999" spans="1:18" x14ac:dyDescent="0.45">
      <c r="A5999" s="19" t="s">
        <v>15</v>
      </c>
      <c r="B5999" s="19" t="s">
        <v>63</v>
      </c>
      <c r="C5999">
        <v>2</v>
      </c>
      <c r="D5999">
        <v>3</v>
      </c>
      <c r="E5999">
        <v>1</v>
      </c>
      <c r="F5999" s="15">
        <v>46272</v>
      </c>
      <c r="G5999" s="19" t="s">
        <v>717</v>
      </c>
      <c r="H5999">
        <v>4</v>
      </c>
      <c r="I5999">
        <v>2026</v>
      </c>
      <c r="J5999">
        <v>9</v>
      </c>
      <c r="K5999" s="19" t="s">
        <v>87</v>
      </c>
      <c r="L5999" s="19" t="s">
        <v>578</v>
      </c>
      <c r="M5999" s="19" t="s">
        <v>63</v>
      </c>
      <c r="N5999" t="b">
        <v>0</v>
      </c>
      <c r="O5999">
        <v>0</v>
      </c>
      <c r="P5999">
        <v>0</v>
      </c>
      <c r="Q5999">
        <v>1</v>
      </c>
      <c r="R5999">
        <v>0</v>
      </c>
    </row>
    <row r="6000" spans="1:18" x14ac:dyDescent="0.45">
      <c r="A6000" s="19" t="s">
        <v>15</v>
      </c>
      <c r="B6000" s="19" t="s">
        <v>63</v>
      </c>
      <c r="C6000">
        <v>2</v>
      </c>
      <c r="D6000">
        <v>3</v>
      </c>
      <c r="E6000">
        <v>1</v>
      </c>
      <c r="F6000" s="15">
        <v>46272</v>
      </c>
      <c r="G6000" s="19" t="s">
        <v>717</v>
      </c>
      <c r="H6000">
        <v>4</v>
      </c>
      <c r="I6000">
        <v>2026</v>
      </c>
      <c r="J6000">
        <v>9</v>
      </c>
      <c r="K6000" s="19" t="s">
        <v>87</v>
      </c>
      <c r="L6000" s="19" t="s">
        <v>351</v>
      </c>
      <c r="M6000" s="19" t="s">
        <v>63</v>
      </c>
      <c r="N6000" t="b">
        <v>0</v>
      </c>
      <c r="O6000">
        <v>0</v>
      </c>
      <c r="P6000">
        <v>0</v>
      </c>
      <c r="Q6000">
        <v>1</v>
      </c>
      <c r="R6000">
        <v>0</v>
      </c>
    </row>
    <row r="6001" spans="1:18" x14ac:dyDescent="0.45">
      <c r="A6001" s="19" t="s">
        <v>15</v>
      </c>
      <c r="B6001" s="19" t="s">
        <v>63</v>
      </c>
      <c r="C6001">
        <v>2</v>
      </c>
      <c r="D6001">
        <v>3</v>
      </c>
      <c r="E6001">
        <v>1</v>
      </c>
      <c r="F6001" s="15">
        <v>46272</v>
      </c>
      <c r="G6001" s="19" t="s">
        <v>717</v>
      </c>
      <c r="H6001">
        <v>4</v>
      </c>
      <c r="I6001">
        <v>2026</v>
      </c>
      <c r="J6001">
        <v>9</v>
      </c>
      <c r="K6001" s="19" t="s">
        <v>87</v>
      </c>
      <c r="L6001" s="19" t="s">
        <v>405</v>
      </c>
      <c r="M6001" s="19" t="s">
        <v>63</v>
      </c>
      <c r="N6001" t="b">
        <v>0</v>
      </c>
      <c r="O6001">
        <v>0</v>
      </c>
      <c r="P6001">
        <v>0</v>
      </c>
      <c r="Q6001">
        <v>1</v>
      </c>
      <c r="R6001">
        <v>0</v>
      </c>
    </row>
    <row r="6002" spans="1:18" x14ac:dyDescent="0.45">
      <c r="A6002" s="19" t="s">
        <v>351</v>
      </c>
      <c r="B6002" s="19" t="s">
        <v>63</v>
      </c>
      <c r="C6002">
        <v>3</v>
      </c>
      <c r="D6002">
        <v>3</v>
      </c>
      <c r="E6002">
        <v>1</v>
      </c>
      <c r="F6002" s="15">
        <v>46272</v>
      </c>
      <c r="G6002" s="19" t="s">
        <v>717</v>
      </c>
      <c r="H6002">
        <v>4</v>
      </c>
      <c r="I6002">
        <v>2026</v>
      </c>
      <c r="J6002">
        <v>9</v>
      </c>
      <c r="K6002" s="19" t="s">
        <v>87</v>
      </c>
      <c r="L6002" s="19" t="s">
        <v>578</v>
      </c>
      <c r="M6002" s="19" t="s">
        <v>63</v>
      </c>
      <c r="N6002" t="b">
        <v>0</v>
      </c>
      <c r="O6002">
        <v>0</v>
      </c>
      <c r="P6002">
        <v>0</v>
      </c>
      <c r="Q6002">
        <v>1</v>
      </c>
      <c r="R6002">
        <v>0</v>
      </c>
    </row>
    <row r="6003" spans="1:18" x14ac:dyDescent="0.45">
      <c r="A6003" s="19" t="s">
        <v>351</v>
      </c>
      <c r="B6003" s="19" t="s">
        <v>63</v>
      </c>
      <c r="C6003">
        <v>3</v>
      </c>
      <c r="D6003">
        <v>3</v>
      </c>
      <c r="E6003">
        <v>1</v>
      </c>
      <c r="F6003" s="15">
        <v>46272</v>
      </c>
      <c r="G6003" s="19" t="s">
        <v>717</v>
      </c>
      <c r="H6003">
        <v>4</v>
      </c>
      <c r="I6003">
        <v>2026</v>
      </c>
      <c r="J6003">
        <v>9</v>
      </c>
      <c r="K6003" s="19" t="s">
        <v>87</v>
      </c>
      <c r="L6003" s="19" t="s">
        <v>15</v>
      </c>
      <c r="M6003" s="19" t="s">
        <v>63</v>
      </c>
      <c r="N6003" t="b">
        <v>0</v>
      </c>
      <c r="O6003">
        <v>0</v>
      </c>
      <c r="P6003">
        <v>0</v>
      </c>
      <c r="Q6003">
        <v>1</v>
      </c>
      <c r="R6003">
        <v>0</v>
      </c>
    </row>
    <row r="6004" spans="1:18" x14ac:dyDescent="0.45">
      <c r="A6004" s="19" t="s">
        <v>351</v>
      </c>
      <c r="B6004" s="19" t="s">
        <v>63</v>
      </c>
      <c r="C6004">
        <v>3</v>
      </c>
      <c r="D6004">
        <v>3</v>
      </c>
      <c r="E6004">
        <v>1</v>
      </c>
      <c r="F6004" s="15">
        <v>46272</v>
      </c>
      <c r="G6004" s="19" t="s">
        <v>717</v>
      </c>
      <c r="H6004">
        <v>4</v>
      </c>
      <c r="I6004">
        <v>2026</v>
      </c>
      <c r="J6004">
        <v>9</v>
      </c>
      <c r="K6004" s="19" t="s">
        <v>87</v>
      </c>
      <c r="L6004" s="19" t="s">
        <v>405</v>
      </c>
      <c r="M6004" s="19" t="s">
        <v>63</v>
      </c>
      <c r="N6004" t="b">
        <v>0</v>
      </c>
      <c r="O6004">
        <v>0</v>
      </c>
      <c r="P6004">
        <v>0</v>
      </c>
      <c r="Q6004">
        <v>1</v>
      </c>
      <c r="R6004">
        <v>0</v>
      </c>
    </row>
    <row r="6005" spans="1:18" x14ac:dyDescent="0.45">
      <c r="A6005" s="19" t="s">
        <v>405</v>
      </c>
      <c r="B6005" s="19" t="s">
        <v>63</v>
      </c>
      <c r="C6005">
        <v>4</v>
      </c>
      <c r="D6005">
        <v>3</v>
      </c>
      <c r="E6005">
        <v>1</v>
      </c>
      <c r="F6005" s="15">
        <v>46272</v>
      </c>
      <c r="G6005" s="19" t="s">
        <v>717</v>
      </c>
      <c r="H6005">
        <v>4</v>
      </c>
      <c r="I6005">
        <v>2026</v>
      </c>
      <c r="J6005">
        <v>9</v>
      </c>
      <c r="K6005" s="19" t="s">
        <v>87</v>
      </c>
      <c r="L6005" s="19" t="s">
        <v>578</v>
      </c>
      <c r="M6005" s="19" t="s">
        <v>63</v>
      </c>
      <c r="N6005" t="b">
        <v>0</v>
      </c>
      <c r="O6005">
        <v>0</v>
      </c>
      <c r="P6005">
        <v>0</v>
      </c>
      <c r="Q6005">
        <v>1</v>
      </c>
      <c r="R6005">
        <v>0</v>
      </c>
    </row>
    <row r="6006" spans="1:18" x14ac:dyDescent="0.45">
      <c r="A6006" s="19" t="s">
        <v>405</v>
      </c>
      <c r="B6006" s="19" t="s">
        <v>63</v>
      </c>
      <c r="C6006">
        <v>4</v>
      </c>
      <c r="D6006">
        <v>3</v>
      </c>
      <c r="E6006">
        <v>1</v>
      </c>
      <c r="F6006" s="15">
        <v>46272</v>
      </c>
      <c r="G6006" s="19" t="s">
        <v>717</v>
      </c>
      <c r="H6006">
        <v>4</v>
      </c>
      <c r="I6006">
        <v>2026</v>
      </c>
      <c r="J6006">
        <v>9</v>
      </c>
      <c r="K6006" s="19" t="s">
        <v>87</v>
      </c>
      <c r="L6006" s="19" t="s">
        <v>15</v>
      </c>
      <c r="M6006" s="19" t="s">
        <v>63</v>
      </c>
      <c r="N6006" t="b">
        <v>0</v>
      </c>
      <c r="O6006">
        <v>0</v>
      </c>
      <c r="P6006">
        <v>0</v>
      </c>
      <c r="Q6006">
        <v>1</v>
      </c>
      <c r="R6006">
        <v>0</v>
      </c>
    </row>
    <row r="6007" spans="1:18" x14ac:dyDescent="0.45">
      <c r="A6007" s="19" t="s">
        <v>405</v>
      </c>
      <c r="B6007" s="19" t="s">
        <v>63</v>
      </c>
      <c r="C6007">
        <v>4</v>
      </c>
      <c r="D6007">
        <v>3</v>
      </c>
      <c r="E6007">
        <v>1</v>
      </c>
      <c r="F6007" s="15">
        <v>46272</v>
      </c>
      <c r="G6007" s="19" t="s">
        <v>717</v>
      </c>
      <c r="H6007">
        <v>4</v>
      </c>
      <c r="I6007">
        <v>2026</v>
      </c>
      <c r="J6007">
        <v>9</v>
      </c>
      <c r="K6007" s="19" t="s">
        <v>87</v>
      </c>
      <c r="L6007" s="19" t="s">
        <v>351</v>
      </c>
      <c r="M6007" s="19" t="s">
        <v>63</v>
      </c>
      <c r="N6007" t="b">
        <v>0</v>
      </c>
      <c r="O6007">
        <v>0</v>
      </c>
      <c r="P6007">
        <v>0</v>
      </c>
      <c r="Q6007">
        <v>1</v>
      </c>
      <c r="R6007">
        <v>0</v>
      </c>
    </row>
    <row r="6008" spans="1:18" x14ac:dyDescent="0.45">
      <c r="A6008" s="19" t="s">
        <v>9</v>
      </c>
      <c r="B6008" s="19" t="s">
        <v>63</v>
      </c>
      <c r="C6008">
        <v>1</v>
      </c>
      <c r="D6008">
        <v>4</v>
      </c>
      <c r="E6008">
        <v>1</v>
      </c>
      <c r="F6008" s="15">
        <v>46272</v>
      </c>
      <c r="G6008" s="19" t="s">
        <v>718</v>
      </c>
      <c r="H6008">
        <v>4</v>
      </c>
      <c r="I6008">
        <v>2026</v>
      </c>
      <c r="J6008">
        <v>9</v>
      </c>
      <c r="K6008" s="19" t="s">
        <v>87</v>
      </c>
      <c r="L6008" s="19" t="s">
        <v>13</v>
      </c>
      <c r="M6008" s="19" t="s">
        <v>63</v>
      </c>
      <c r="N6008" t="b">
        <v>0</v>
      </c>
      <c r="O6008">
        <v>0</v>
      </c>
      <c r="P6008">
        <v>0</v>
      </c>
      <c r="Q6008">
        <v>1</v>
      </c>
      <c r="R6008">
        <v>0</v>
      </c>
    </row>
    <row r="6009" spans="1:18" x14ac:dyDescent="0.45">
      <c r="A6009" s="19" t="s">
        <v>9</v>
      </c>
      <c r="B6009" s="19" t="s">
        <v>63</v>
      </c>
      <c r="C6009">
        <v>1</v>
      </c>
      <c r="D6009">
        <v>4</v>
      </c>
      <c r="E6009">
        <v>1</v>
      </c>
      <c r="F6009" s="15">
        <v>46272</v>
      </c>
      <c r="G6009" s="19" t="s">
        <v>718</v>
      </c>
      <c r="H6009">
        <v>4</v>
      </c>
      <c r="I6009">
        <v>2026</v>
      </c>
      <c r="J6009">
        <v>9</v>
      </c>
      <c r="K6009" s="19" t="s">
        <v>87</v>
      </c>
      <c r="L6009" s="19" t="s">
        <v>609</v>
      </c>
      <c r="M6009" s="19" t="s">
        <v>63</v>
      </c>
      <c r="N6009" t="b">
        <v>0</v>
      </c>
      <c r="O6009">
        <v>0</v>
      </c>
      <c r="P6009">
        <v>0</v>
      </c>
      <c r="Q6009">
        <v>1</v>
      </c>
      <c r="R6009">
        <v>0</v>
      </c>
    </row>
    <row r="6010" spans="1:18" x14ac:dyDescent="0.45">
      <c r="A6010" s="19" t="s">
        <v>9</v>
      </c>
      <c r="B6010" s="19" t="s">
        <v>63</v>
      </c>
      <c r="C6010">
        <v>1</v>
      </c>
      <c r="D6010">
        <v>4</v>
      </c>
      <c r="E6010">
        <v>1</v>
      </c>
      <c r="F6010" s="15">
        <v>46272</v>
      </c>
      <c r="G6010" s="19" t="s">
        <v>718</v>
      </c>
      <c r="H6010">
        <v>4</v>
      </c>
      <c r="I6010">
        <v>2026</v>
      </c>
      <c r="J6010">
        <v>9</v>
      </c>
      <c r="K6010" s="19" t="s">
        <v>87</v>
      </c>
      <c r="L6010" s="19" t="s">
        <v>14</v>
      </c>
      <c r="M6010" s="19" t="s">
        <v>63</v>
      </c>
      <c r="N6010" t="b">
        <v>0</v>
      </c>
      <c r="O6010">
        <v>0</v>
      </c>
      <c r="P6010">
        <v>0</v>
      </c>
      <c r="Q6010">
        <v>1</v>
      </c>
      <c r="R6010">
        <v>0</v>
      </c>
    </row>
    <row r="6011" spans="1:18" x14ac:dyDescent="0.45">
      <c r="A6011" s="19" t="s">
        <v>13</v>
      </c>
      <c r="B6011" s="19" t="s">
        <v>63</v>
      </c>
      <c r="C6011">
        <v>2</v>
      </c>
      <c r="D6011">
        <v>4</v>
      </c>
      <c r="E6011">
        <v>1</v>
      </c>
      <c r="F6011" s="15">
        <v>46272</v>
      </c>
      <c r="G6011" s="19" t="s">
        <v>718</v>
      </c>
      <c r="H6011">
        <v>4</v>
      </c>
      <c r="I6011">
        <v>2026</v>
      </c>
      <c r="J6011">
        <v>9</v>
      </c>
      <c r="K6011" s="19" t="s">
        <v>87</v>
      </c>
      <c r="L6011" s="19" t="s">
        <v>9</v>
      </c>
      <c r="M6011" s="19" t="s">
        <v>63</v>
      </c>
      <c r="N6011" t="b">
        <v>0</v>
      </c>
      <c r="O6011">
        <v>0</v>
      </c>
      <c r="P6011">
        <v>0</v>
      </c>
      <c r="Q6011">
        <v>1</v>
      </c>
      <c r="R6011">
        <v>0</v>
      </c>
    </row>
    <row r="6012" spans="1:18" x14ac:dyDescent="0.45">
      <c r="A6012" s="19" t="s">
        <v>13</v>
      </c>
      <c r="B6012" s="19" t="s">
        <v>63</v>
      </c>
      <c r="C6012">
        <v>2</v>
      </c>
      <c r="D6012">
        <v>4</v>
      </c>
      <c r="E6012">
        <v>1</v>
      </c>
      <c r="F6012" s="15">
        <v>46272</v>
      </c>
      <c r="G6012" s="19" t="s">
        <v>718</v>
      </c>
      <c r="H6012">
        <v>4</v>
      </c>
      <c r="I6012">
        <v>2026</v>
      </c>
      <c r="J6012">
        <v>9</v>
      </c>
      <c r="K6012" s="19" t="s">
        <v>87</v>
      </c>
      <c r="L6012" s="19" t="s">
        <v>609</v>
      </c>
      <c r="M6012" s="19" t="s">
        <v>63</v>
      </c>
      <c r="N6012" t="b">
        <v>0</v>
      </c>
      <c r="O6012">
        <v>0</v>
      </c>
      <c r="P6012">
        <v>0</v>
      </c>
      <c r="Q6012">
        <v>1</v>
      </c>
      <c r="R6012">
        <v>0</v>
      </c>
    </row>
    <row r="6013" spans="1:18" x14ac:dyDescent="0.45">
      <c r="A6013" s="19" t="s">
        <v>13</v>
      </c>
      <c r="B6013" s="19" t="s">
        <v>63</v>
      </c>
      <c r="C6013">
        <v>2</v>
      </c>
      <c r="D6013">
        <v>4</v>
      </c>
      <c r="E6013">
        <v>1</v>
      </c>
      <c r="F6013" s="15">
        <v>46272</v>
      </c>
      <c r="G6013" s="19" t="s">
        <v>718</v>
      </c>
      <c r="H6013">
        <v>4</v>
      </c>
      <c r="I6013">
        <v>2026</v>
      </c>
      <c r="J6013">
        <v>9</v>
      </c>
      <c r="K6013" s="19" t="s">
        <v>87</v>
      </c>
      <c r="L6013" s="19" t="s">
        <v>14</v>
      </c>
      <c r="M6013" s="19" t="s">
        <v>63</v>
      </c>
      <c r="N6013" t="b">
        <v>0</v>
      </c>
      <c r="O6013">
        <v>0</v>
      </c>
      <c r="P6013">
        <v>0</v>
      </c>
      <c r="Q6013">
        <v>1</v>
      </c>
      <c r="R6013">
        <v>0</v>
      </c>
    </row>
    <row r="6014" spans="1:18" x14ac:dyDescent="0.45">
      <c r="A6014" s="19" t="s">
        <v>609</v>
      </c>
      <c r="B6014" s="19" t="s">
        <v>63</v>
      </c>
      <c r="C6014">
        <v>3</v>
      </c>
      <c r="D6014">
        <v>4</v>
      </c>
      <c r="E6014">
        <v>1</v>
      </c>
      <c r="F6014" s="15">
        <v>46272</v>
      </c>
      <c r="G6014" s="19" t="s">
        <v>718</v>
      </c>
      <c r="H6014">
        <v>4</v>
      </c>
      <c r="I6014">
        <v>2026</v>
      </c>
      <c r="J6014">
        <v>9</v>
      </c>
      <c r="K6014" s="19" t="s">
        <v>87</v>
      </c>
      <c r="L6014" s="19" t="s">
        <v>9</v>
      </c>
      <c r="M6014" s="19" t="s">
        <v>63</v>
      </c>
      <c r="N6014" t="b">
        <v>0</v>
      </c>
      <c r="O6014">
        <v>0</v>
      </c>
      <c r="P6014">
        <v>0</v>
      </c>
      <c r="Q6014">
        <v>1</v>
      </c>
      <c r="R6014">
        <v>0</v>
      </c>
    </row>
    <row r="6015" spans="1:18" x14ac:dyDescent="0.45">
      <c r="A6015" s="19" t="s">
        <v>609</v>
      </c>
      <c r="B6015" s="19" t="s">
        <v>63</v>
      </c>
      <c r="C6015">
        <v>3</v>
      </c>
      <c r="D6015">
        <v>4</v>
      </c>
      <c r="E6015">
        <v>1</v>
      </c>
      <c r="F6015" s="15">
        <v>46272</v>
      </c>
      <c r="G6015" s="19" t="s">
        <v>718</v>
      </c>
      <c r="H6015">
        <v>4</v>
      </c>
      <c r="I6015">
        <v>2026</v>
      </c>
      <c r="J6015">
        <v>9</v>
      </c>
      <c r="K6015" s="19" t="s">
        <v>87</v>
      </c>
      <c r="L6015" s="19" t="s">
        <v>13</v>
      </c>
      <c r="M6015" s="19" t="s">
        <v>63</v>
      </c>
      <c r="N6015" t="b">
        <v>0</v>
      </c>
      <c r="O6015">
        <v>0</v>
      </c>
      <c r="P6015">
        <v>0</v>
      </c>
      <c r="Q6015">
        <v>1</v>
      </c>
      <c r="R6015">
        <v>0</v>
      </c>
    </row>
    <row r="6016" spans="1:18" x14ac:dyDescent="0.45">
      <c r="A6016" s="19" t="s">
        <v>609</v>
      </c>
      <c r="B6016" s="19" t="s">
        <v>63</v>
      </c>
      <c r="C6016">
        <v>3</v>
      </c>
      <c r="D6016">
        <v>4</v>
      </c>
      <c r="E6016">
        <v>1</v>
      </c>
      <c r="F6016" s="15">
        <v>46272</v>
      </c>
      <c r="G6016" s="19" t="s">
        <v>718</v>
      </c>
      <c r="H6016">
        <v>4</v>
      </c>
      <c r="I6016">
        <v>2026</v>
      </c>
      <c r="J6016">
        <v>9</v>
      </c>
      <c r="K6016" s="19" t="s">
        <v>87</v>
      </c>
      <c r="L6016" s="19" t="s">
        <v>14</v>
      </c>
      <c r="M6016" s="19" t="s">
        <v>63</v>
      </c>
      <c r="N6016" t="b">
        <v>0</v>
      </c>
      <c r="O6016">
        <v>0</v>
      </c>
      <c r="P6016">
        <v>0</v>
      </c>
      <c r="Q6016">
        <v>1</v>
      </c>
      <c r="R6016">
        <v>0</v>
      </c>
    </row>
    <row r="6017" spans="1:18" x14ac:dyDescent="0.45">
      <c r="A6017" s="19" t="s">
        <v>14</v>
      </c>
      <c r="B6017" s="19" t="s">
        <v>63</v>
      </c>
      <c r="C6017">
        <v>4</v>
      </c>
      <c r="D6017">
        <v>4</v>
      </c>
      <c r="E6017">
        <v>1</v>
      </c>
      <c r="F6017" s="15">
        <v>46272</v>
      </c>
      <c r="G6017" s="19" t="s">
        <v>718</v>
      </c>
      <c r="H6017">
        <v>4</v>
      </c>
      <c r="I6017">
        <v>2026</v>
      </c>
      <c r="J6017">
        <v>9</v>
      </c>
      <c r="K6017" s="19" t="s">
        <v>87</v>
      </c>
      <c r="L6017" s="19" t="s">
        <v>9</v>
      </c>
      <c r="M6017" s="19" t="s">
        <v>63</v>
      </c>
      <c r="N6017" t="b">
        <v>0</v>
      </c>
      <c r="O6017">
        <v>0</v>
      </c>
      <c r="P6017">
        <v>0</v>
      </c>
      <c r="Q6017">
        <v>1</v>
      </c>
      <c r="R6017">
        <v>0</v>
      </c>
    </row>
    <row r="6018" spans="1:18" x14ac:dyDescent="0.45">
      <c r="A6018" s="19" t="s">
        <v>14</v>
      </c>
      <c r="B6018" s="19" t="s">
        <v>63</v>
      </c>
      <c r="C6018">
        <v>4</v>
      </c>
      <c r="D6018">
        <v>4</v>
      </c>
      <c r="E6018">
        <v>1</v>
      </c>
      <c r="F6018" s="15">
        <v>46272</v>
      </c>
      <c r="G6018" s="19" t="s">
        <v>718</v>
      </c>
      <c r="H6018">
        <v>4</v>
      </c>
      <c r="I6018">
        <v>2026</v>
      </c>
      <c r="J6018">
        <v>9</v>
      </c>
      <c r="K6018" s="19" t="s">
        <v>87</v>
      </c>
      <c r="L6018" s="19" t="s">
        <v>13</v>
      </c>
      <c r="M6018" s="19" t="s">
        <v>63</v>
      </c>
      <c r="N6018" t="b">
        <v>0</v>
      </c>
      <c r="O6018">
        <v>0</v>
      </c>
      <c r="P6018">
        <v>0</v>
      </c>
      <c r="Q6018">
        <v>1</v>
      </c>
      <c r="R6018">
        <v>0</v>
      </c>
    </row>
    <row r="6019" spans="1:18" x14ac:dyDescent="0.45">
      <c r="A6019" s="19" t="s">
        <v>14</v>
      </c>
      <c r="B6019" s="19" t="s">
        <v>63</v>
      </c>
      <c r="C6019">
        <v>4</v>
      </c>
      <c r="D6019">
        <v>4</v>
      </c>
      <c r="E6019">
        <v>1</v>
      </c>
      <c r="F6019" s="15">
        <v>46272</v>
      </c>
      <c r="G6019" s="19" t="s">
        <v>718</v>
      </c>
      <c r="H6019">
        <v>4</v>
      </c>
      <c r="I6019">
        <v>2026</v>
      </c>
      <c r="J6019">
        <v>9</v>
      </c>
      <c r="K6019" s="19" t="s">
        <v>87</v>
      </c>
      <c r="L6019" s="19" t="s">
        <v>609</v>
      </c>
      <c r="M6019" s="19" t="s">
        <v>63</v>
      </c>
      <c r="N6019" t="b">
        <v>0</v>
      </c>
      <c r="O6019">
        <v>0</v>
      </c>
      <c r="P6019">
        <v>0</v>
      </c>
      <c r="Q6019">
        <v>1</v>
      </c>
      <c r="R6019">
        <v>0</v>
      </c>
    </row>
    <row r="6020" spans="1:18" x14ac:dyDescent="0.45">
      <c r="A6020" s="19" t="s">
        <v>14</v>
      </c>
      <c r="B6020" s="19" t="s">
        <v>63</v>
      </c>
      <c r="C6020">
        <v>1</v>
      </c>
      <c r="D6020">
        <v>1</v>
      </c>
      <c r="E6020">
        <v>2</v>
      </c>
      <c r="F6020" s="15">
        <v>46272</v>
      </c>
      <c r="G6020" s="19" t="s">
        <v>719</v>
      </c>
      <c r="H6020">
        <v>4</v>
      </c>
      <c r="I6020">
        <v>2026</v>
      </c>
      <c r="J6020">
        <v>9</v>
      </c>
      <c r="K6020" s="19" t="s">
        <v>87</v>
      </c>
      <c r="L6020" s="19" t="s">
        <v>19</v>
      </c>
      <c r="M6020" s="19" t="s">
        <v>63</v>
      </c>
      <c r="N6020" t="b">
        <v>0</v>
      </c>
      <c r="O6020">
        <v>0</v>
      </c>
      <c r="P6020">
        <v>0</v>
      </c>
      <c r="Q6020">
        <v>1</v>
      </c>
      <c r="R6020">
        <v>0</v>
      </c>
    </row>
    <row r="6021" spans="1:18" x14ac:dyDescent="0.45">
      <c r="A6021" s="19" t="s">
        <v>14</v>
      </c>
      <c r="B6021" s="19" t="s">
        <v>63</v>
      </c>
      <c r="C6021">
        <v>1</v>
      </c>
      <c r="D6021">
        <v>1</v>
      </c>
      <c r="E6021">
        <v>2</v>
      </c>
      <c r="F6021" s="15">
        <v>46272</v>
      </c>
      <c r="G6021" s="19" t="s">
        <v>719</v>
      </c>
      <c r="H6021">
        <v>4</v>
      </c>
      <c r="I6021">
        <v>2026</v>
      </c>
      <c r="J6021">
        <v>9</v>
      </c>
      <c r="K6021" s="19" t="s">
        <v>87</v>
      </c>
      <c r="L6021" s="19" t="s">
        <v>405</v>
      </c>
      <c r="M6021" s="19" t="s">
        <v>63</v>
      </c>
      <c r="N6021" t="b">
        <v>0</v>
      </c>
      <c r="O6021">
        <v>0</v>
      </c>
      <c r="P6021">
        <v>0</v>
      </c>
      <c r="Q6021">
        <v>1</v>
      </c>
      <c r="R6021">
        <v>0</v>
      </c>
    </row>
    <row r="6022" spans="1:18" x14ac:dyDescent="0.45">
      <c r="A6022" s="19" t="s">
        <v>14</v>
      </c>
      <c r="B6022" s="19" t="s">
        <v>63</v>
      </c>
      <c r="C6022">
        <v>1</v>
      </c>
      <c r="D6022">
        <v>1</v>
      </c>
      <c r="E6022">
        <v>2</v>
      </c>
      <c r="F6022" s="15">
        <v>46272</v>
      </c>
      <c r="G6022" s="19" t="s">
        <v>719</v>
      </c>
      <c r="H6022">
        <v>4</v>
      </c>
      <c r="I6022">
        <v>2026</v>
      </c>
      <c r="J6022">
        <v>9</v>
      </c>
      <c r="K6022" s="19" t="s">
        <v>87</v>
      </c>
      <c r="L6022" s="19" t="s">
        <v>11</v>
      </c>
      <c r="M6022" s="19" t="s">
        <v>63</v>
      </c>
      <c r="N6022" t="b">
        <v>0</v>
      </c>
      <c r="O6022">
        <v>0</v>
      </c>
      <c r="P6022">
        <v>0</v>
      </c>
      <c r="Q6022">
        <v>1</v>
      </c>
      <c r="R6022">
        <v>0</v>
      </c>
    </row>
    <row r="6023" spans="1:18" x14ac:dyDescent="0.45">
      <c r="A6023" s="19" t="s">
        <v>19</v>
      </c>
      <c r="B6023" s="19" t="s">
        <v>63</v>
      </c>
      <c r="C6023">
        <v>2</v>
      </c>
      <c r="D6023">
        <v>1</v>
      </c>
      <c r="E6023">
        <v>2</v>
      </c>
      <c r="F6023" s="15">
        <v>46272</v>
      </c>
      <c r="G6023" s="19" t="s">
        <v>719</v>
      </c>
      <c r="H6023">
        <v>4</v>
      </c>
      <c r="I6023">
        <v>2026</v>
      </c>
      <c r="J6023">
        <v>9</v>
      </c>
      <c r="K6023" s="19" t="s">
        <v>87</v>
      </c>
      <c r="L6023" s="19" t="s">
        <v>14</v>
      </c>
      <c r="M6023" s="19" t="s">
        <v>63</v>
      </c>
      <c r="N6023" t="b">
        <v>0</v>
      </c>
      <c r="O6023">
        <v>0</v>
      </c>
      <c r="P6023">
        <v>0</v>
      </c>
      <c r="Q6023">
        <v>1</v>
      </c>
      <c r="R6023">
        <v>0</v>
      </c>
    </row>
    <row r="6024" spans="1:18" x14ac:dyDescent="0.45">
      <c r="A6024" s="19" t="s">
        <v>19</v>
      </c>
      <c r="B6024" s="19" t="s">
        <v>63</v>
      </c>
      <c r="C6024">
        <v>2</v>
      </c>
      <c r="D6024">
        <v>1</v>
      </c>
      <c r="E6024">
        <v>2</v>
      </c>
      <c r="F6024" s="15">
        <v>46272</v>
      </c>
      <c r="G6024" s="19" t="s">
        <v>719</v>
      </c>
      <c r="H6024">
        <v>4</v>
      </c>
      <c r="I6024">
        <v>2026</v>
      </c>
      <c r="J6024">
        <v>9</v>
      </c>
      <c r="K6024" s="19" t="s">
        <v>87</v>
      </c>
      <c r="L6024" s="19" t="s">
        <v>405</v>
      </c>
      <c r="M6024" s="19" t="s">
        <v>63</v>
      </c>
      <c r="N6024" t="b">
        <v>0</v>
      </c>
      <c r="O6024">
        <v>0</v>
      </c>
      <c r="P6024">
        <v>0</v>
      </c>
      <c r="Q6024">
        <v>1</v>
      </c>
      <c r="R6024">
        <v>0</v>
      </c>
    </row>
    <row r="6025" spans="1:18" x14ac:dyDescent="0.45">
      <c r="A6025" s="19" t="s">
        <v>19</v>
      </c>
      <c r="B6025" s="19" t="s">
        <v>63</v>
      </c>
      <c r="C6025">
        <v>2</v>
      </c>
      <c r="D6025">
        <v>1</v>
      </c>
      <c r="E6025">
        <v>2</v>
      </c>
      <c r="F6025" s="15">
        <v>46272</v>
      </c>
      <c r="G6025" s="19" t="s">
        <v>719</v>
      </c>
      <c r="H6025">
        <v>4</v>
      </c>
      <c r="I6025">
        <v>2026</v>
      </c>
      <c r="J6025">
        <v>9</v>
      </c>
      <c r="K6025" s="19" t="s">
        <v>87</v>
      </c>
      <c r="L6025" s="19" t="s">
        <v>11</v>
      </c>
      <c r="M6025" s="19" t="s">
        <v>63</v>
      </c>
      <c r="N6025" t="b">
        <v>0</v>
      </c>
      <c r="O6025">
        <v>0</v>
      </c>
      <c r="P6025">
        <v>0</v>
      </c>
      <c r="Q6025">
        <v>1</v>
      </c>
      <c r="R6025">
        <v>0</v>
      </c>
    </row>
    <row r="6026" spans="1:18" x14ac:dyDescent="0.45">
      <c r="A6026" s="19" t="s">
        <v>405</v>
      </c>
      <c r="B6026" s="19" t="s">
        <v>63</v>
      </c>
      <c r="C6026">
        <v>3</v>
      </c>
      <c r="D6026">
        <v>1</v>
      </c>
      <c r="E6026">
        <v>2</v>
      </c>
      <c r="F6026" s="15">
        <v>46272</v>
      </c>
      <c r="G6026" s="19" t="s">
        <v>719</v>
      </c>
      <c r="H6026">
        <v>4</v>
      </c>
      <c r="I6026">
        <v>2026</v>
      </c>
      <c r="J6026">
        <v>9</v>
      </c>
      <c r="K6026" s="19" t="s">
        <v>87</v>
      </c>
      <c r="L6026" s="19" t="s">
        <v>14</v>
      </c>
      <c r="M6026" s="19" t="s">
        <v>63</v>
      </c>
      <c r="N6026" t="b">
        <v>0</v>
      </c>
      <c r="O6026">
        <v>0</v>
      </c>
      <c r="P6026">
        <v>0</v>
      </c>
      <c r="Q6026">
        <v>1</v>
      </c>
      <c r="R6026">
        <v>0</v>
      </c>
    </row>
    <row r="6027" spans="1:18" x14ac:dyDescent="0.45">
      <c r="A6027" s="19" t="s">
        <v>405</v>
      </c>
      <c r="B6027" s="19" t="s">
        <v>63</v>
      </c>
      <c r="C6027">
        <v>3</v>
      </c>
      <c r="D6027">
        <v>1</v>
      </c>
      <c r="E6027">
        <v>2</v>
      </c>
      <c r="F6027" s="15">
        <v>46272</v>
      </c>
      <c r="G6027" s="19" t="s">
        <v>719</v>
      </c>
      <c r="H6027">
        <v>4</v>
      </c>
      <c r="I6027">
        <v>2026</v>
      </c>
      <c r="J6027">
        <v>9</v>
      </c>
      <c r="K6027" s="19" t="s">
        <v>87</v>
      </c>
      <c r="L6027" s="19" t="s">
        <v>19</v>
      </c>
      <c r="M6027" s="19" t="s">
        <v>63</v>
      </c>
      <c r="N6027" t="b">
        <v>0</v>
      </c>
      <c r="O6027">
        <v>0</v>
      </c>
      <c r="P6027">
        <v>0</v>
      </c>
      <c r="Q6027">
        <v>1</v>
      </c>
      <c r="R6027">
        <v>0</v>
      </c>
    </row>
    <row r="6028" spans="1:18" x14ac:dyDescent="0.45">
      <c r="A6028" s="19" t="s">
        <v>405</v>
      </c>
      <c r="B6028" s="19" t="s">
        <v>63</v>
      </c>
      <c r="C6028">
        <v>3</v>
      </c>
      <c r="D6028">
        <v>1</v>
      </c>
      <c r="E6028">
        <v>2</v>
      </c>
      <c r="F6028" s="15">
        <v>46272</v>
      </c>
      <c r="G6028" s="19" t="s">
        <v>719</v>
      </c>
      <c r="H6028">
        <v>4</v>
      </c>
      <c r="I6028">
        <v>2026</v>
      </c>
      <c r="J6028">
        <v>9</v>
      </c>
      <c r="K6028" s="19" t="s">
        <v>87</v>
      </c>
      <c r="L6028" s="19" t="s">
        <v>11</v>
      </c>
      <c r="M6028" s="19" t="s">
        <v>63</v>
      </c>
      <c r="N6028" t="b">
        <v>0</v>
      </c>
      <c r="O6028">
        <v>0</v>
      </c>
      <c r="P6028">
        <v>0</v>
      </c>
      <c r="Q6028">
        <v>1</v>
      </c>
      <c r="R6028">
        <v>0</v>
      </c>
    </row>
    <row r="6029" spans="1:18" x14ac:dyDescent="0.45">
      <c r="A6029" s="19" t="s">
        <v>11</v>
      </c>
      <c r="B6029" s="19" t="s">
        <v>63</v>
      </c>
      <c r="C6029">
        <v>4</v>
      </c>
      <c r="D6029">
        <v>1</v>
      </c>
      <c r="E6029">
        <v>2</v>
      </c>
      <c r="F6029" s="15">
        <v>46272</v>
      </c>
      <c r="G6029" s="19" t="s">
        <v>719</v>
      </c>
      <c r="H6029">
        <v>4</v>
      </c>
      <c r="I6029">
        <v>2026</v>
      </c>
      <c r="J6029">
        <v>9</v>
      </c>
      <c r="K6029" s="19" t="s">
        <v>87</v>
      </c>
      <c r="L6029" s="19" t="s">
        <v>14</v>
      </c>
      <c r="M6029" s="19" t="s">
        <v>63</v>
      </c>
      <c r="N6029" t="b">
        <v>0</v>
      </c>
      <c r="O6029">
        <v>0</v>
      </c>
      <c r="P6029">
        <v>0</v>
      </c>
      <c r="Q6029">
        <v>1</v>
      </c>
      <c r="R6029">
        <v>0</v>
      </c>
    </row>
    <row r="6030" spans="1:18" x14ac:dyDescent="0.45">
      <c r="A6030" s="19" t="s">
        <v>11</v>
      </c>
      <c r="B6030" s="19" t="s">
        <v>63</v>
      </c>
      <c r="C6030">
        <v>4</v>
      </c>
      <c r="D6030">
        <v>1</v>
      </c>
      <c r="E6030">
        <v>2</v>
      </c>
      <c r="F6030" s="15">
        <v>46272</v>
      </c>
      <c r="G6030" s="19" t="s">
        <v>719</v>
      </c>
      <c r="H6030">
        <v>4</v>
      </c>
      <c r="I6030">
        <v>2026</v>
      </c>
      <c r="J6030">
        <v>9</v>
      </c>
      <c r="K6030" s="19" t="s">
        <v>87</v>
      </c>
      <c r="L6030" s="19" t="s">
        <v>19</v>
      </c>
      <c r="M6030" s="19" t="s">
        <v>63</v>
      </c>
      <c r="N6030" t="b">
        <v>0</v>
      </c>
      <c r="O6030">
        <v>0</v>
      </c>
      <c r="P6030">
        <v>0</v>
      </c>
      <c r="Q6030">
        <v>1</v>
      </c>
      <c r="R6030">
        <v>0</v>
      </c>
    </row>
    <row r="6031" spans="1:18" x14ac:dyDescent="0.45">
      <c r="A6031" s="19" t="s">
        <v>11</v>
      </c>
      <c r="B6031" s="19" t="s">
        <v>63</v>
      </c>
      <c r="C6031">
        <v>4</v>
      </c>
      <c r="D6031">
        <v>1</v>
      </c>
      <c r="E6031">
        <v>2</v>
      </c>
      <c r="F6031" s="15">
        <v>46272</v>
      </c>
      <c r="G6031" s="19" t="s">
        <v>719</v>
      </c>
      <c r="H6031">
        <v>4</v>
      </c>
      <c r="I6031">
        <v>2026</v>
      </c>
      <c r="J6031">
        <v>9</v>
      </c>
      <c r="K6031" s="19" t="s">
        <v>87</v>
      </c>
      <c r="L6031" s="19" t="s">
        <v>405</v>
      </c>
      <c r="M6031" s="19" t="s">
        <v>63</v>
      </c>
      <c r="N6031" t="b">
        <v>0</v>
      </c>
      <c r="O6031">
        <v>0</v>
      </c>
      <c r="P6031">
        <v>0</v>
      </c>
      <c r="Q6031">
        <v>1</v>
      </c>
      <c r="R6031">
        <v>0</v>
      </c>
    </row>
    <row r="6032" spans="1:18" x14ac:dyDescent="0.45">
      <c r="A6032" s="19" t="s">
        <v>13</v>
      </c>
      <c r="B6032" s="19" t="s">
        <v>6</v>
      </c>
      <c r="C6032">
        <v>1</v>
      </c>
      <c r="D6032">
        <v>2</v>
      </c>
      <c r="E6032">
        <v>2</v>
      </c>
      <c r="F6032" s="15">
        <v>46272</v>
      </c>
      <c r="G6032" s="19" t="s">
        <v>720</v>
      </c>
      <c r="H6032">
        <v>4</v>
      </c>
      <c r="I6032">
        <v>2026</v>
      </c>
      <c r="J6032">
        <v>9</v>
      </c>
      <c r="K6032" s="19" t="s">
        <v>87</v>
      </c>
      <c r="L6032" s="19" t="s">
        <v>402</v>
      </c>
      <c r="M6032" s="19" t="s">
        <v>6</v>
      </c>
      <c r="N6032" t="b">
        <v>0</v>
      </c>
      <c r="O6032">
        <v>0</v>
      </c>
      <c r="P6032">
        <v>1</v>
      </c>
      <c r="Q6032">
        <v>0</v>
      </c>
      <c r="R6032">
        <v>0</v>
      </c>
    </row>
    <row r="6033" spans="1:18" x14ac:dyDescent="0.45">
      <c r="A6033" s="19" t="s">
        <v>13</v>
      </c>
      <c r="B6033" s="19" t="s">
        <v>6</v>
      </c>
      <c r="C6033">
        <v>1</v>
      </c>
      <c r="D6033">
        <v>2</v>
      </c>
      <c r="E6033">
        <v>2</v>
      </c>
      <c r="F6033" s="15">
        <v>46272</v>
      </c>
      <c r="G6033" s="19" t="s">
        <v>720</v>
      </c>
      <c r="H6033">
        <v>4</v>
      </c>
      <c r="I6033">
        <v>2026</v>
      </c>
      <c r="J6033">
        <v>9</v>
      </c>
      <c r="K6033" s="19" t="s">
        <v>87</v>
      </c>
      <c r="L6033" s="19" t="s">
        <v>51</v>
      </c>
      <c r="M6033" s="19" t="s">
        <v>6</v>
      </c>
      <c r="N6033" t="b">
        <v>0</v>
      </c>
      <c r="O6033">
        <v>0</v>
      </c>
      <c r="P6033">
        <v>1</v>
      </c>
      <c r="Q6033">
        <v>0</v>
      </c>
      <c r="R6033">
        <v>0</v>
      </c>
    </row>
    <row r="6034" spans="1:18" x14ac:dyDescent="0.45">
      <c r="A6034" s="19" t="s">
        <v>13</v>
      </c>
      <c r="B6034" s="19" t="s">
        <v>6</v>
      </c>
      <c r="C6034">
        <v>1</v>
      </c>
      <c r="D6034">
        <v>2</v>
      </c>
      <c r="E6034">
        <v>2</v>
      </c>
      <c r="F6034" s="15">
        <v>46272</v>
      </c>
      <c r="G6034" s="19" t="s">
        <v>720</v>
      </c>
      <c r="H6034">
        <v>4</v>
      </c>
      <c r="I6034">
        <v>2026</v>
      </c>
      <c r="J6034">
        <v>9</v>
      </c>
      <c r="K6034" s="19" t="s">
        <v>87</v>
      </c>
      <c r="L6034" s="19" t="s">
        <v>578</v>
      </c>
      <c r="M6034" s="19" t="s">
        <v>8</v>
      </c>
      <c r="N6034" t="b">
        <v>0</v>
      </c>
      <c r="O6034">
        <v>0</v>
      </c>
      <c r="P6034">
        <v>1</v>
      </c>
      <c r="Q6034">
        <v>0</v>
      </c>
      <c r="R6034">
        <v>1</v>
      </c>
    </row>
    <row r="6035" spans="1:18" x14ac:dyDescent="0.45">
      <c r="A6035" s="19" t="s">
        <v>402</v>
      </c>
      <c r="B6035" s="19" t="s">
        <v>6</v>
      </c>
      <c r="C6035">
        <v>2</v>
      </c>
      <c r="D6035">
        <v>2</v>
      </c>
      <c r="E6035">
        <v>2</v>
      </c>
      <c r="F6035" s="15">
        <v>46272</v>
      </c>
      <c r="G6035" s="19" t="s">
        <v>720</v>
      </c>
      <c r="H6035">
        <v>4</v>
      </c>
      <c r="I6035">
        <v>2026</v>
      </c>
      <c r="J6035">
        <v>9</v>
      </c>
      <c r="K6035" s="19" t="s">
        <v>87</v>
      </c>
      <c r="L6035" s="19" t="s">
        <v>13</v>
      </c>
      <c r="M6035" s="19" t="s">
        <v>6</v>
      </c>
      <c r="N6035" t="b">
        <v>0</v>
      </c>
      <c r="O6035">
        <v>0</v>
      </c>
      <c r="P6035">
        <v>1</v>
      </c>
      <c r="Q6035">
        <v>0</v>
      </c>
      <c r="R6035">
        <v>0</v>
      </c>
    </row>
    <row r="6036" spans="1:18" x14ac:dyDescent="0.45">
      <c r="A6036" s="19" t="s">
        <v>402</v>
      </c>
      <c r="B6036" s="19" t="s">
        <v>6</v>
      </c>
      <c r="C6036">
        <v>2</v>
      </c>
      <c r="D6036">
        <v>2</v>
      </c>
      <c r="E6036">
        <v>2</v>
      </c>
      <c r="F6036" s="15">
        <v>46272</v>
      </c>
      <c r="G6036" s="19" t="s">
        <v>720</v>
      </c>
      <c r="H6036">
        <v>4</v>
      </c>
      <c r="I6036">
        <v>2026</v>
      </c>
      <c r="J6036">
        <v>9</v>
      </c>
      <c r="K6036" s="19" t="s">
        <v>87</v>
      </c>
      <c r="L6036" s="19" t="s">
        <v>51</v>
      </c>
      <c r="M6036" s="19" t="s">
        <v>6</v>
      </c>
      <c r="N6036" t="b">
        <v>0</v>
      </c>
      <c r="O6036">
        <v>0</v>
      </c>
      <c r="P6036">
        <v>1</v>
      </c>
      <c r="Q6036">
        <v>0</v>
      </c>
      <c r="R6036">
        <v>0</v>
      </c>
    </row>
    <row r="6037" spans="1:18" x14ac:dyDescent="0.45">
      <c r="A6037" s="19" t="s">
        <v>402</v>
      </c>
      <c r="B6037" s="19" t="s">
        <v>6</v>
      </c>
      <c r="C6037">
        <v>2</v>
      </c>
      <c r="D6037">
        <v>2</v>
      </c>
      <c r="E6037">
        <v>2</v>
      </c>
      <c r="F6037" s="15">
        <v>46272</v>
      </c>
      <c r="G6037" s="19" t="s">
        <v>720</v>
      </c>
      <c r="H6037">
        <v>4</v>
      </c>
      <c r="I6037">
        <v>2026</v>
      </c>
      <c r="J6037">
        <v>9</v>
      </c>
      <c r="K6037" s="19" t="s">
        <v>87</v>
      </c>
      <c r="L6037" s="19" t="s">
        <v>578</v>
      </c>
      <c r="M6037" s="19" t="s">
        <v>8</v>
      </c>
      <c r="N6037" t="b">
        <v>0</v>
      </c>
      <c r="O6037">
        <v>0</v>
      </c>
      <c r="P6037">
        <v>1</v>
      </c>
      <c r="Q6037">
        <v>0</v>
      </c>
      <c r="R6037">
        <v>1</v>
      </c>
    </row>
    <row r="6038" spans="1:18" x14ac:dyDescent="0.45">
      <c r="A6038" s="19" t="s">
        <v>51</v>
      </c>
      <c r="B6038" s="19" t="s">
        <v>6</v>
      </c>
      <c r="C6038">
        <v>3</v>
      </c>
      <c r="D6038">
        <v>2</v>
      </c>
      <c r="E6038">
        <v>2</v>
      </c>
      <c r="F6038" s="15">
        <v>46272</v>
      </c>
      <c r="G6038" s="19" t="s">
        <v>720</v>
      </c>
      <c r="H6038">
        <v>4</v>
      </c>
      <c r="I6038">
        <v>2026</v>
      </c>
      <c r="J6038">
        <v>9</v>
      </c>
      <c r="K6038" s="19" t="s">
        <v>87</v>
      </c>
      <c r="L6038" s="19" t="s">
        <v>13</v>
      </c>
      <c r="M6038" s="19" t="s">
        <v>6</v>
      </c>
      <c r="N6038" t="b">
        <v>0</v>
      </c>
      <c r="O6038">
        <v>0</v>
      </c>
      <c r="P6038">
        <v>1</v>
      </c>
      <c r="Q6038">
        <v>0</v>
      </c>
      <c r="R6038">
        <v>0</v>
      </c>
    </row>
    <row r="6039" spans="1:18" x14ac:dyDescent="0.45">
      <c r="A6039" s="19" t="s">
        <v>51</v>
      </c>
      <c r="B6039" s="19" t="s">
        <v>6</v>
      </c>
      <c r="C6039">
        <v>3</v>
      </c>
      <c r="D6039">
        <v>2</v>
      </c>
      <c r="E6039">
        <v>2</v>
      </c>
      <c r="F6039" s="15">
        <v>46272</v>
      </c>
      <c r="G6039" s="19" t="s">
        <v>720</v>
      </c>
      <c r="H6039">
        <v>4</v>
      </c>
      <c r="I6039">
        <v>2026</v>
      </c>
      <c r="J6039">
        <v>9</v>
      </c>
      <c r="K6039" s="19" t="s">
        <v>87</v>
      </c>
      <c r="L6039" s="19" t="s">
        <v>402</v>
      </c>
      <c r="M6039" s="19" t="s">
        <v>6</v>
      </c>
      <c r="N6039" t="b">
        <v>0</v>
      </c>
      <c r="O6039">
        <v>0</v>
      </c>
      <c r="P6039">
        <v>1</v>
      </c>
      <c r="Q6039">
        <v>0</v>
      </c>
      <c r="R6039">
        <v>0</v>
      </c>
    </row>
    <row r="6040" spans="1:18" x14ac:dyDescent="0.45">
      <c r="A6040" s="19" t="s">
        <v>51</v>
      </c>
      <c r="B6040" s="19" t="s">
        <v>6</v>
      </c>
      <c r="C6040">
        <v>3</v>
      </c>
      <c r="D6040">
        <v>2</v>
      </c>
      <c r="E6040">
        <v>2</v>
      </c>
      <c r="F6040" s="15">
        <v>46272</v>
      </c>
      <c r="G6040" s="19" t="s">
        <v>720</v>
      </c>
      <c r="H6040">
        <v>4</v>
      </c>
      <c r="I6040">
        <v>2026</v>
      </c>
      <c r="J6040">
        <v>9</v>
      </c>
      <c r="K6040" s="19" t="s">
        <v>87</v>
      </c>
      <c r="L6040" s="19" t="s">
        <v>578</v>
      </c>
      <c r="M6040" s="19" t="s">
        <v>8</v>
      </c>
      <c r="N6040" t="b">
        <v>0</v>
      </c>
      <c r="O6040">
        <v>0</v>
      </c>
      <c r="P6040">
        <v>1</v>
      </c>
      <c r="Q6040">
        <v>0</v>
      </c>
      <c r="R6040">
        <v>1</v>
      </c>
    </row>
    <row r="6041" spans="1:18" x14ac:dyDescent="0.45">
      <c r="A6041" s="19" t="s">
        <v>578</v>
      </c>
      <c r="B6041" s="19" t="s">
        <v>8</v>
      </c>
      <c r="C6041">
        <v>4</v>
      </c>
      <c r="D6041">
        <v>2</v>
      </c>
      <c r="E6041">
        <v>2</v>
      </c>
      <c r="F6041" s="15">
        <v>46272</v>
      </c>
      <c r="G6041" s="19" t="s">
        <v>720</v>
      </c>
      <c r="H6041">
        <v>4</v>
      </c>
      <c r="I6041">
        <v>2026</v>
      </c>
      <c r="J6041">
        <v>9</v>
      </c>
      <c r="K6041" s="19" t="s">
        <v>87</v>
      </c>
      <c r="L6041" s="19" t="s">
        <v>13</v>
      </c>
      <c r="M6041" s="19" t="s">
        <v>6</v>
      </c>
      <c r="N6041" t="b">
        <v>0</v>
      </c>
      <c r="O6041">
        <v>1</v>
      </c>
      <c r="P6041">
        <v>0</v>
      </c>
      <c r="Q6041">
        <v>0</v>
      </c>
      <c r="R6041">
        <v>0</v>
      </c>
    </row>
    <row r="6042" spans="1:18" x14ac:dyDescent="0.45">
      <c r="A6042" s="19" t="s">
        <v>578</v>
      </c>
      <c r="B6042" s="19" t="s">
        <v>8</v>
      </c>
      <c r="C6042">
        <v>4</v>
      </c>
      <c r="D6042">
        <v>2</v>
      </c>
      <c r="E6042">
        <v>2</v>
      </c>
      <c r="F6042" s="15">
        <v>46272</v>
      </c>
      <c r="G6042" s="19" t="s">
        <v>720</v>
      </c>
      <c r="H6042">
        <v>4</v>
      </c>
      <c r="I6042">
        <v>2026</v>
      </c>
      <c r="J6042">
        <v>9</v>
      </c>
      <c r="K6042" s="19" t="s">
        <v>87</v>
      </c>
      <c r="L6042" s="19" t="s">
        <v>402</v>
      </c>
      <c r="M6042" s="19" t="s">
        <v>6</v>
      </c>
      <c r="N6042" t="b">
        <v>0</v>
      </c>
      <c r="O6042">
        <v>1</v>
      </c>
      <c r="P6042">
        <v>0</v>
      </c>
      <c r="Q6042">
        <v>0</v>
      </c>
      <c r="R6042">
        <v>0</v>
      </c>
    </row>
    <row r="6043" spans="1:18" x14ac:dyDescent="0.45">
      <c r="A6043" s="19" t="s">
        <v>578</v>
      </c>
      <c r="B6043" s="19" t="s">
        <v>8</v>
      </c>
      <c r="C6043">
        <v>4</v>
      </c>
      <c r="D6043">
        <v>2</v>
      </c>
      <c r="E6043">
        <v>2</v>
      </c>
      <c r="F6043" s="15">
        <v>46272</v>
      </c>
      <c r="G6043" s="19" t="s">
        <v>720</v>
      </c>
      <c r="H6043">
        <v>4</v>
      </c>
      <c r="I6043">
        <v>2026</v>
      </c>
      <c r="J6043">
        <v>9</v>
      </c>
      <c r="K6043" s="19" t="s">
        <v>87</v>
      </c>
      <c r="L6043" s="19" t="s">
        <v>51</v>
      </c>
      <c r="M6043" s="19" t="s">
        <v>6</v>
      </c>
      <c r="N6043" t="b">
        <v>0</v>
      </c>
      <c r="O6043">
        <v>1</v>
      </c>
      <c r="P6043">
        <v>0</v>
      </c>
      <c r="Q6043">
        <v>0</v>
      </c>
      <c r="R6043">
        <v>0</v>
      </c>
    </row>
    <row r="6044" spans="1:18" x14ac:dyDescent="0.45">
      <c r="A6044" s="19" t="s">
        <v>42</v>
      </c>
      <c r="B6044" s="19" t="s">
        <v>6</v>
      </c>
      <c r="C6044">
        <v>1</v>
      </c>
      <c r="D6044">
        <v>3</v>
      </c>
      <c r="E6044">
        <v>2</v>
      </c>
      <c r="F6044" s="15">
        <v>46272</v>
      </c>
      <c r="G6044" s="19" t="s">
        <v>721</v>
      </c>
      <c r="H6044">
        <v>4</v>
      </c>
      <c r="I6044">
        <v>2026</v>
      </c>
      <c r="J6044">
        <v>9</v>
      </c>
      <c r="K6044" s="19" t="s">
        <v>87</v>
      </c>
      <c r="L6044" s="19" t="s">
        <v>10</v>
      </c>
      <c r="M6044" s="19" t="s">
        <v>6</v>
      </c>
      <c r="N6044" t="b">
        <v>0</v>
      </c>
      <c r="O6044">
        <v>0</v>
      </c>
      <c r="P6044">
        <v>1</v>
      </c>
      <c r="Q6044">
        <v>0</v>
      </c>
      <c r="R6044">
        <v>0</v>
      </c>
    </row>
    <row r="6045" spans="1:18" x14ac:dyDescent="0.45">
      <c r="A6045" s="19" t="s">
        <v>42</v>
      </c>
      <c r="B6045" s="19" t="s">
        <v>6</v>
      </c>
      <c r="C6045">
        <v>1</v>
      </c>
      <c r="D6045">
        <v>3</v>
      </c>
      <c r="E6045">
        <v>2</v>
      </c>
      <c r="F6045" s="15">
        <v>46272</v>
      </c>
      <c r="G6045" s="19" t="s">
        <v>721</v>
      </c>
      <c r="H6045">
        <v>4</v>
      </c>
      <c r="I6045">
        <v>2026</v>
      </c>
      <c r="J6045">
        <v>9</v>
      </c>
      <c r="K6045" s="19" t="s">
        <v>87</v>
      </c>
      <c r="L6045" s="19" t="s">
        <v>351</v>
      </c>
      <c r="M6045" s="19" t="s">
        <v>6</v>
      </c>
      <c r="N6045" t="b">
        <v>0</v>
      </c>
      <c r="O6045">
        <v>0</v>
      </c>
      <c r="P6045">
        <v>1</v>
      </c>
      <c r="Q6045">
        <v>0</v>
      </c>
      <c r="R6045">
        <v>0</v>
      </c>
    </row>
    <row r="6046" spans="1:18" x14ac:dyDescent="0.45">
      <c r="A6046" s="19" t="s">
        <v>42</v>
      </c>
      <c r="B6046" s="19" t="s">
        <v>6</v>
      </c>
      <c r="C6046">
        <v>1</v>
      </c>
      <c r="D6046">
        <v>3</v>
      </c>
      <c r="E6046">
        <v>2</v>
      </c>
      <c r="F6046" s="15">
        <v>46272</v>
      </c>
      <c r="G6046" s="19" t="s">
        <v>721</v>
      </c>
      <c r="H6046">
        <v>4</v>
      </c>
      <c r="I6046">
        <v>2026</v>
      </c>
      <c r="J6046">
        <v>9</v>
      </c>
      <c r="K6046" s="19" t="s">
        <v>87</v>
      </c>
      <c r="L6046" s="19" t="s">
        <v>9</v>
      </c>
      <c r="M6046" s="19" t="s">
        <v>8</v>
      </c>
      <c r="N6046" t="b">
        <v>0</v>
      </c>
      <c r="O6046">
        <v>0</v>
      </c>
      <c r="P6046">
        <v>1</v>
      </c>
      <c r="Q6046">
        <v>0</v>
      </c>
      <c r="R6046">
        <v>1</v>
      </c>
    </row>
    <row r="6047" spans="1:18" x14ac:dyDescent="0.45">
      <c r="A6047" s="19" t="s">
        <v>10</v>
      </c>
      <c r="B6047" s="19" t="s">
        <v>6</v>
      </c>
      <c r="C6047">
        <v>2</v>
      </c>
      <c r="D6047">
        <v>3</v>
      </c>
      <c r="E6047">
        <v>2</v>
      </c>
      <c r="F6047" s="15">
        <v>46272</v>
      </c>
      <c r="G6047" s="19" t="s">
        <v>721</v>
      </c>
      <c r="H6047">
        <v>4</v>
      </c>
      <c r="I6047">
        <v>2026</v>
      </c>
      <c r="J6047">
        <v>9</v>
      </c>
      <c r="K6047" s="19" t="s">
        <v>87</v>
      </c>
      <c r="L6047" s="19" t="s">
        <v>42</v>
      </c>
      <c r="M6047" s="19" t="s">
        <v>6</v>
      </c>
      <c r="N6047" t="b">
        <v>0</v>
      </c>
      <c r="O6047">
        <v>0</v>
      </c>
      <c r="P6047">
        <v>1</v>
      </c>
      <c r="Q6047">
        <v>0</v>
      </c>
      <c r="R6047">
        <v>0</v>
      </c>
    </row>
    <row r="6048" spans="1:18" x14ac:dyDescent="0.45">
      <c r="A6048" s="19" t="s">
        <v>10</v>
      </c>
      <c r="B6048" s="19" t="s">
        <v>6</v>
      </c>
      <c r="C6048">
        <v>2</v>
      </c>
      <c r="D6048">
        <v>3</v>
      </c>
      <c r="E6048">
        <v>2</v>
      </c>
      <c r="F6048" s="15">
        <v>46272</v>
      </c>
      <c r="G6048" s="19" t="s">
        <v>721</v>
      </c>
      <c r="H6048">
        <v>4</v>
      </c>
      <c r="I6048">
        <v>2026</v>
      </c>
      <c r="J6048">
        <v>9</v>
      </c>
      <c r="K6048" s="19" t="s">
        <v>87</v>
      </c>
      <c r="L6048" s="19" t="s">
        <v>351</v>
      </c>
      <c r="M6048" s="19" t="s">
        <v>6</v>
      </c>
      <c r="N6048" t="b">
        <v>0</v>
      </c>
      <c r="O6048">
        <v>0</v>
      </c>
      <c r="P6048">
        <v>1</v>
      </c>
      <c r="Q6048">
        <v>0</v>
      </c>
      <c r="R6048">
        <v>0</v>
      </c>
    </row>
    <row r="6049" spans="1:18" x14ac:dyDescent="0.45">
      <c r="A6049" s="19" t="s">
        <v>10</v>
      </c>
      <c r="B6049" s="19" t="s">
        <v>6</v>
      </c>
      <c r="C6049">
        <v>2</v>
      </c>
      <c r="D6049">
        <v>3</v>
      </c>
      <c r="E6049">
        <v>2</v>
      </c>
      <c r="F6049" s="15">
        <v>46272</v>
      </c>
      <c r="G6049" s="19" t="s">
        <v>721</v>
      </c>
      <c r="H6049">
        <v>4</v>
      </c>
      <c r="I6049">
        <v>2026</v>
      </c>
      <c r="J6049">
        <v>9</v>
      </c>
      <c r="K6049" s="19" t="s">
        <v>87</v>
      </c>
      <c r="L6049" s="19" t="s">
        <v>9</v>
      </c>
      <c r="M6049" s="19" t="s">
        <v>8</v>
      </c>
      <c r="N6049" t="b">
        <v>0</v>
      </c>
      <c r="O6049">
        <v>0</v>
      </c>
      <c r="P6049">
        <v>1</v>
      </c>
      <c r="Q6049">
        <v>0</v>
      </c>
      <c r="R6049">
        <v>1</v>
      </c>
    </row>
    <row r="6050" spans="1:18" x14ac:dyDescent="0.45">
      <c r="A6050" s="19" t="s">
        <v>351</v>
      </c>
      <c r="B6050" s="19" t="s">
        <v>6</v>
      </c>
      <c r="C6050">
        <v>3</v>
      </c>
      <c r="D6050">
        <v>3</v>
      </c>
      <c r="E6050">
        <v>2</v>
      </c>
      <c r="F6050" s="15">
        <v>46272</v>
      </c>
      <c r="G6050" s="19" t="s">
        <v>721</v>
      </c>
      <c r="H6050">
        <v>4</v>
      </c>
      <c r="I6050">
        <v>2026</v>
      </c>
      <c r="J6050">
        <v>9</v>
      </c>
      <c r="K6050" s="19" t="s">
        <v>87</v>
      </c>
      <c r="L6050" s="19" t="s">
        <v>42</v>
      </c>
      <c r="M6050" s="19" t="s">
        <v>6</v>
      </c>
      <c r="N6050" t="b">
        <v>0</v>
      </c>
      <c r="O6050">
        <v>0</v>
      </c>
      <c r="P6050">
        <v>1</v>
      </c>
      <c r="Q6050">
        <v>0</v>
      </c>
      <c r="R6050">
        <v>0</v>
      </c>
    </row>
    <row r="6051" spans="1:18" x14ac:dyDescent="0.45">
      <c r="A6051" s="19" t="s">
        <v>351</v>
      </c>
      <c r="B6051" s="19" t="s">
        <v>6</v>
      </c>
      <c r="C6051">
        <v>3</v>
      </c>
      <c r="D6051">
        <v>3</v>
      </c>
      <c r="E6051">
        <v>2</v>
      </c>
      <c r="F6051" s="15">
        <v>46272</v>
      </c>
      <c r="G6051" s="19" t="s">
        <v>721</v>
      </c>
      <c r="H6051">
        <v>4</v>
      </c>
      <c r="I6051">
        <v>2026</v>
      </c>
      <c r="J6051">
        <v>9</v>
      </c>
      <c r="K6051" s="19" t="s">
        <v>87</v>
      </c>
      <c r="L6051" s="19" t="s">
        <v>10</v>
      </c>
      <c r="M6051" s="19" t="s">
        <v>6</v>
      </c>
      <c r="N6051" t="b">
        <v>0</v>
      </c>
      <c r="O6051">
        <v>0</v>
      </c>
      <c r="P6051">
        <v>1</v>
      </c>
      <c r="Q6051">
        <v>0</v>
      </c>
      <c r="R6051">
        <v>0</v>
      </c>
    </row>
    <row r="6052" spans="1:18" x14ac:dyDescent="0.45">
      <c r="A6052" s="19" t="s">
        <v>351</v>
      </c>
      <c r="B6052" s="19" t="s">
        <v>6</v>
      </c>
      <c r="C6052">
        <v>3</v>
      </c>
      <c r="D6052">
        <v>3</v>
      </c>
      <c r="E6052">
        <v>2</v>
      </c>
      <c r="F6052" s="15">
        <v>46272</v>
      </c>
      <c r="G6052" s="19" t="s">
        <v>721</v>
      </c>
      <c r="H6052">
        <v>4</v>
      </c>
      <c r="I6052">
        <v>2026</v>
      </c>
      <c r="J6052">
        <v>9</v>
      </c>
      <c r="K6052" s="19" t="s">
        <v>87</v>
      </c>
      <c r="L6052" s="19" t="s">
        <v>9</v>
      </c>
      <c r="M6052" s="19" t="s">
        <v>8</v>
      </c>
      <c r="N6052" t="b">
        <v>0</v>
      </c>
      <c r="O6052">
        <v>0</v>
      </c>
      <c r="P6052">
        <v>1</v>
      </c>
      <c r="Q6052">
        <v>0</v>
      </c>
      <c r="R6052">
        <v>1</v>
      </c>
    </row>
    <row r="6053" spans="1:18" x14ac:dyDescent="0.45">
      <c r="A6053" s="19" t="s">
        <v>9</v>
      </c>
      <c r="B6053" s="19" t="s">
        <v>8</v>
      </c>
      <c r="C6053">
        <v>4</v>
      </c>
      <c r="D6053">
        <v>3</v>
      </c>
      <c r="E6053">
        <v>2</v>
      </c>
      <c r="F6053" s="15">
        <v>46272</v>
      </c>
      <c r="G6053" s="19" t="s">
        <v>721</v>
      </c>
      <c r="H6053">
        <v>4</v>
      </c>
      <c r="I6053">
        <v>2026</v>
      </c>
      <c r="J6053">
        <v>9</v>
      </c>
      <c r="K6053" s="19" t="s">
        <v>87</v>
      </c>
      <c r="L6053" s="19" t="s">
        <v>42</v>
      </c>
      <c r="M6053" s="19" t="s">
        <v>6</v>
      </c>
      <c r="N6053" t="b">
        <v>0</v>
      </c>
      <c r="O6053">
        <v>1</v>
      </c>
      <c r="P6053">
        <v>0</v>
      </c>
      <c r="Q6053">
        <v>0</v>
      </c>
      <c r="R6053">
        <v>0</v>
      </c>
    </row>
    <row r="6054" spans="1:18" x14ac:dyDescent="0.45">
      <c r="A6054" s="19" t="s">
        <v>9</v>
      </c>
      <c r="B6054" s="19" t="s">
        <v>8</v>
      </c>
      <c r="C6054">
        <v>4</v>
      </c>
      <c r="D6054">
        <v>3</v>
      </c>
      <c r="E6054">
        <v>2</v>
      </c>
      <c r="F6054" s="15">
        <v>46272</v>
      </c>
      <c r="G6054" s="19" t="s">
        <v>721</v>
      </c>
      <c r="H6054">
        <v>4</v>
      </c>
      <c r="I6054">
        <v>2026</v>
      </c>
      <c r="J6054">
        <v>9</v>
      </c>
      <c r="K6054" s="19" t="s">
        <v>87</v>
      </c>
      <c r="L6054" s="19" t="s">
        <v>10</v>
      </c>
      <c r="M6054" s="19" t="s">
        <v>6</v>
      </c>
      <c r="N6054" t="b">
        <v>0</v>
      </c>
      <c r="O6054">
        <v>1</v>
      </c>
      <c r="P6054">
        <v>0</v>
      </c>
      <c r="Q6054">
        <v>0</v>
      </c>
      <c r="R6054">
        <v>0</v>
      </c>
    </row>
    <row r="6055" spans="1:18" x14ac:dyDescent="0.45">
      <c r="A6055" s="19" t="s">
        <v>9</v>
      </c>
      <c r="B6055" s="19" t="s">
        <v>8</v>
      </c>
      <c r="C6055">
        <v>4</v>
      </c>
      <c r="D6055">
        <v>3</v>
      </c>
      <c r="E6055">
        <v>2</v>
      </c>
      <c r="F6055" s="15">
        <v>46272</v>
      </c>
      <c r="G6055" s="19" t="s">
        <v>721</v>
      </c>
      <c r="H6055">
        <v>4</v>
      </c>
      <c r="I6055">
        <v>2026</v>
      </c>
      <c r="J6055">
        <v>9</v>
      </c>
      <c r="K6055" s="19" t="s">
        <v>87</v>
      </c>
      <c r="L6055" s="19" t="s">
        <v>351</v>
      </c>
      <c r="M6055" s="19" t="s">
        <v>6</v>
      </c>
      <c r="N6055" t="b">
        <v>0</v>
      </c>
      <c r="O6055">
        <v>1</v>
      </c>
      <c r="P6055">
        <v>0</v>
      </c>
      <c r="Q6055">
        <v>0</v>
      </c>
      <c r="R6055">
        <v>0</v>
      </c>
    </row>
    <row r="6056" spans="1:18" x14ac:dyDescent="0.45">
      <c r="A6056" s="19" t="s">
        <v>609</v>
      </c>
      <c r="B6056" s="19" t="s">
        <v>6</v>
      </c>
      <c r="C6056">
        <v>1</v>
      </c>
      <c r="D6056">
        <v>4</v>
      </c>
      <c r="E6056">
        <v>2</v>
      </c>
      <c r="F6056" s="15">
        <v>46272</v>
      </c>
      <c r="G6056" s="19" t="s">
        <v>722</v>
      </c>
      <c r="H6056">
        <v>4</v>
      </c>
      <c r="I6056">
        <v>2026</v>
      </c>
      <c r="J6056">
        <v>9</v>
      </c>
      <c r="K6056" s="19" t="s">
        <v>87</v>
      </c>
      <c r="L6056" s="19" t="s">
        <v>15</v>
      </c>
      <c r="M6056" s="19" t="s">
        <v>6</v>
      </c>
      <c r="N6056" t="b">
        <v>0</v>
      </c>
      <c r="O6056">
        <v>0</v>
      </c>
      <c r="P6056">
        <v>1</v>
      </c>
      <c r="Q6056">
        <v>0</v>
      </c>
      <c r="R6056">
        <v>0</v>
      </c>
    </row>
    <row r="6057" spans="1:18" x14ac:dyDescent="0.45">
      <c r="A6057" s="19" t="s">
        <v>609</v>
      </c>
      <c r="B6057" s="19" t="s">
        <v>6</v>
      </c>
      <c r="C6057">
        <v>1</v>
      </c>
      <c r="D6057">
        <v>4</v>
      </c>
      <c r="E6057">
        <v>2</v>
      </c>
      <c r="F6057" s="15">
        <v>46272</v>
      </c>
      <c r="G6057" s="19" t="s">
        <v>722</v>
      </c>
      <c r="H6057">
        <v>4</v>
      </c>
      <c r="I6057">
        <v>2026</v>
      </c>
      <c r="J6057">
        <v>9</v>
      </c>
      <c r="K6057" s="19" t="s">
        <v>87</v>
      </c>
      <c r="L6057" s="19" t="s">
        <v>7</v>
      </c>
      <c r="M6057" s="19" t="s">
        <v>8</v>
      </c>
      <c r="N6057" t="b">
        <v>0</v>
      </c>
      <c r="O6057">
        <v>0</v>
      </c>
      <c r="P6057">
        <v>1</v>
      </c>
      <c r="Q6057">
        <v>0</v>
      </c>
      <c r="R6057">
        <v>1</v>
      </c>
    </row>
    <row r="6058" spans="1:18" x14ac:dyDescent="0.45">
      <c r="A6058" s="19" t="s">
        <v>609</v>
      </c>
      <c r="B6058" s="19" t="s">
        <v>6</v>
      </c>
      <c r="C6058">
        <v>1</v>
      </c>
      <c r="D6058">
        <v>4</v>
      </c>
      <c r="E6058">
        <v>2</v>
      </c>
      <c r="F6058" s="15">
        <v>46272</v>
      </c>
      <c r="G6058" s="19" t="s">
        <v>722</v>
      </c>
      <c r="H6058">
        <v>4</v>
      </c>
      <c r="I6058">
        <v>2026</v>
      </c>
      <c r="J6058">
        <v>9</v>
      </c>
      <c r="K6058" s="19" t="s">
        <v>87</v>
      </c>
      <c r="L6058" s="19" t="s">
        <v>325</v>
      </c>
      <c r="M6058" s="19" t="s">
        <v>6</v>
      </c>
      <c r="N6058" t="b">
        <v>0</v>
      </c>
      <c r="O6058">
        <v>0</v>
      </c>
      <c r="P6058">
        <v>1</v>
      </c>
      <c r="Q6058">
        <v>0</v>
      </c>
      <c r="R6058">
        <v>0</v>
      </c>
    </row>
    <row r="6059" spans="1:18" x14ac:dyDescent="0.45">
      <c r="A6059" s="19" t="s">
        <v>15</v>
      </c>
      <c r="B6059" s="19" t="s">
        <v>6</v>
      </c>
      <c r="C6059">
        <v>2</v>
      </c>
      <c r="D6059">
        <v>4</v>
      </c>
      <c r="E6059">
        <v>2</v>
      </c>
      <c r="F6059" s="15">
        <v>46272</v>
      </c>
      <c r="G6059" s="19" t="s">
        <v>722</v>
      </c>
      <c r="H6059">
        <v>4</v>
      </c>
      <c r="I6059">
        <v>2026</v>
      </c>
      <c r="J6059">
        <v>9</v>
      </c>
      <c r="K6059" s="19" t="s">
        <v>87</v>
      </c>
      <c r="L6059" s="19" t="s">
        <v>609</v>
      </c>
      <c r="M6059" s="19" t="s">
        <v>6</v>
      </c>
      <c r="N6059" t="b">
        <v>0</v>
      </c>
      <c r="O6059">
        <v>0</v>
      </c>
      <c r="P6059">
        <v>1</v>
      </c>
      <c r="Q6059">
        <v>0</v>
      </c>
      <c r="R6059">
        <v>0</v>
      </c>
    </row>
    <row r="6060" spans="1:18" x14ac:dyDescent="0.45">
      <c r="A6060" s="19" t="s">
        <v>15</v>
      </c>
      <c r="B6060" s="19" t="s">
        <v>6</v>
      </c>
      <c r="C6060">
        <v>2</v>
      </c>
      <c r="D6060">
        <v>4</v>
      </c>
      <c r="E6060">
        <v>2</v>
      </c>
      <c r="F6060" s="15">
        <v>46272</v>
      </c>
      <c r="G6060" s="19" t="s">
        <v>722</v>
      </c>
      <c r="H6060">
        <v>4</v>
      </c>
      <c r="I6060">
        <v>2026</v>
      </c>
      <c r="J6060">
        <v>9</v>
      </c>
      <c r="K6060" s="19" t="s">
        <v>87</v>
      </c>
      <c r="L6060" s="19" t="s">
        <v>7</v>
      </c>
      <c r="M6060" s="19" t="s">
        <v>8</v>
      </c>
      <c r="N6060" t="b">
        <v>0</v>
      </c>
      <c r="O6060">
        <v>0</v>
      </c>
      <c r="P6060">
        <v>1</v>
      </c>
      <c r="Q6060">
        <v>0</v>
      </c>
      <c r="R6060">
        <v>1</v>
      </c>
    </row>
    <row r="6061" spans="1:18" x14ac:dyDescent="0.45">
      <c r="A6061" s="19" t="s">
        <v>15</v>
      </c>
      <c r="B6061" s="19" t="s">
        <v>6</v>
      </c>
      <c r="C6061">
        <v>2</v>
      </c>
      <c r="D6061">
        <v>4</v>
      </c>
      <c r="E6061">
        <v>2</v>
      </c>
      <c r="F6061" s="15">
        <v>46272</v>
      </c>
      <c r="G6061" s="19" t="s">
        <v>722</v>
      </c>
      <c r="H6061">
        <v>4</v>
      </c>
      <c r="I6061">
        <v>2026</v>
      </c>
      <c r="J6061">
        <v>9</v>
      </c>
      <c r="K6061" s="19" t="s">
        <v>87</v>
      </c>
      <c r="L6061" s="19" t="s">
        <v>325</v>
      </c>
      <c r="M6061" s="19" t="s">
        <v>6</v>
      </c>
      <c r="N6061" t="b">
        <v>0</v>
      </c>
      <c r="O6061">
        <v>0</v>
      </c>
      <c r="P6061">
        <v>1</v>
      </c>
      <c r="Q6061">
        <v>0</v>
      </c>
      <c r="R6061">
        <v>0</v>
      </c>
    </row>
    <row r="6062" spans="1:18" x14ac:dyDescent="0.45">
      <c r="A6062" s="19" t="s">
        <v>7</v>
      </c>
      <c r="B6062" s="19" t="s">
        <v>8</v>
      </c>
      <c r="C6062">
        <v>3</v>
      </c>
      <c r="D6062">
        <v>4</v>
      </c>
      <c r="E6062">
        <v>2</v>
      </c>
      <c r="F6062" s="15">
        <v>46272</v>
      </c>
      <c r="G6062" s="19" t="s">
        <v>722</v>
      </c>
      <c r="H6062">
        <v>4</v>
      </c>
      <c r="I6062">
        <v>2026</v>
      </c>
      <c r="J6062">
        <v>9</v>
      </c>
      <c r="K6062" s="19" t="s">
        <v>87</v>
      </c>
      <c r="L6062" s="19" t="s">
        <v>609</v>
      </c>
      <c r="M6062" s="19" t="s">
        <v>6</v>
      </c>
      <c r="N6062" t="b">
        <v>0</v>
      </c>
      <c r="O6062">
        <v>1</v>
      </c>
      <c r="P6062">
        <v>0</v>
      </c>
      <c r="Q6062">
        <v>0</v>
      </c>
      <c r="R6062">
        <v>0</v>
      </c>
    </row>
    <row r="6063" spans="1:18" x14ac:dyDescent="0.45">
      <c r="A6063" s="19" t="s">
        <v>7</v>
      </c>
      <c r="B6063" s="19" t="s">
        <v>8</v>
      </c>
      <c r="C6063">
        <v>3</v>
      </c>
      <c r="D6063">
        <v>4</v>
      </c>
      <c r="E6063">
        <v>2</v>
      </c>
      <c r="F6063" s="15">
        <v>46272</v>
      </c>
      <c r="G6063" s="19" t="s">
        <v>722</v>
      </c>
      <c r="H6063">
        <v>4</v>
      </c>
      <c r="I6063">
        <v>2026</v>
      </c>
      <c r="J6063">
        <v>9</v>
      </c>
      <c r="K6063" s="19" t="s">
        <v>87</v>
      </c>
      <c r="L6063" s="19" t="s">
        <v>15</v>
      </c>
      <c r="M6063" s="19" t="s">
        <v>6</v>
      </c>
      <c r="N6063" t="b">
        <v>0</v>
      </c>
      <c r="O6063">
        <v>1</v>
      </c>
      <c r="P6063">
        <v>0</v>
      </c>
      <c r="Q6063">
        <v>0</v>
      </c>
      <c r="R6063">
        <v>0</v>
      </c>
    </row>
    <row r="6064" spans="1:18" x14ac:dyDescent="0.45">
      <c r="A6064" s="19" t="s">
        <v>7</v>
      </c>
      <c r="B6064" s="19" t="s">
        <v>8</v>
      </c>
      <c r="C6064">
        <v>3</v>
      </c>
      <c r="D6064">
        <v>4</v>
      </c>
      <c r="E6064">
        <v>2</v>
      </c>
      <c r="F6064" s="15">
        <v>46272</v>
      </c>
      <c r="G6064" s="19" t="s">
        <v>722</v>
      </c>
      <c r="H6064">
        <v>4</v>
      </c>
      <c r="I6064">
        <v>2026</v>
      </c>
      <c r="J6064">
        <v>9</v>
      </c>
      <c r="K6064" s="19" t="s">
        <v>87</v>
      </c>
      <c r="L6064" s="19" t="s">
        <v>325</v>
      </c>
      <c r="M6064" s="19" t="s">
        <v>6</v>
      </c>
      <c r="N6064" t="b">
        <v>0</v>
      </c>
      <c r="O6064">
        <v>1</v>
      </c>
      <c r="P6064">
        <v>0</v>
      </c>
      <c r="Q6064">
        <v>0</v>
      </c>
      <c r="R6064">
        <v>0</v>
      </c>
    </row>
    <row r="6065" spans="1:18" x14ac:dyDescent="0.45">
      <c r="A6065" s="19" t="s">
        <v>325</v>
      </c>
      <c r="B6065" s="19" t="s">
        <v>6</v>
      </c>
      <c r="C6065">
        <v>4</v>
      </c>
      <c r="D6065">
        <v>4</v>
      </c>
      <c r="E6065">
        <v>2</v>
      </c>
      <c r="F6065" s="15">
        <v>46272</v>
      </c>
      <c r="G6065" s="19" t="s">
        <v>722</v>
      </c>
      <c r="H6065">
        <v>4</v>
      </c>
      <c r="I6065">
        <v>2026</v>
      </c>
      <c r="J6065">
        <v>9</v>
      </c>
      <c r="K6065" s="19" t="s">
        <v>87</v>
      </c>
      <c r="L6065" s="19" t="s">
        <v>609</v>
      </c>
      <c r="M6065" s="19" t="s">
        <v>6</v>
      </c>
      <c r="N6065" t="b">
        <v>0</v>
      </c>
      <c r="O6065">
        <v>0</v>
      </c>
      <c r="P6065">
        <v>1</v>
      </c>
      <c r="Q6065">
        <v>0</v>
      </c>
      <c r="R6065">
        <v>0</v>
      </c>
    </row>
    <row r="6066" spans="1:18" x14ac:dyDescent="0.45">
      <c r="A6066" s="19" t="s">
        <v>325</v>
      </c>
      <c r="B6066" s="19" t="s">
        <v>6</v>
      </c>
      <c r="C6066">
        <v>4</v>
      </c>
      <c r="D6066">
        <v>4</v>
      </c>
      <c r="E6066">
        <v>2</v>
      </c>
      <c r="F6066" s="15">
        <v>46272</v>
      </c>
      <c r="G6066" s="19" t="s">
        <v>722</v>
      </c>
      <c r="H6066">
        <v>4</v>
      </c>
      <c r="I6066">
        <v>2026</v>
      </c>
      <c r="J6066">
        <v>9</v>
      </c>
      <c r="K6066" s="19" t="s">
        <v>87</v>
      </c>
      <c r="L6066" s="19" t="s">
        <v>15</v>
      </c>
      <c r="M6066" s="19" t="s">
        <v>6</v>
      </c>
      <c r="N6066" t="b">
        <v>0</v>
      </c>
      <c r="O6066">
        <v>0</v>
      </c>
      <c r="P6066">
        <v>1</v>
      </c>
      <c r="Q6066">
        <v>0</v>
      </c>
      <c r="R6066">
        <v>0</v>
      </c>
    </row>
    <row r="6067" spans="1:18" x14ac:dyDescent="0.45">
      <c r="A6067" s="19" t="s">
        <v>325</v>
      </c>
      <c r="B6067" s="19" t="s">
        <v>6</v>
      </c>
      <c r="C6067">
        <v>4</v>
      </c>
      <c r="D6067">
        <v>4</v>
      </c>
      <c r="E6067">
        <v>2</v>
      </c>
      <c r="F6067" s="15">
        <v>46272</v>
      </c>
      <c r="G6067" s="19" t="s">
        <v>722</v>
      </c>
      <c r="H6067">
        <v>4</v>
      </c>
      <c r="I6067">
        <v>2026</v>
      </c>
      <c r="J6067">
        <v>9</v>
      </c>
      <c r="K6067" s="19" t="s">
        <v>87</v>
      </c>
      <c r="L6067" s="19" t="s">
        <v>7</v>
      </c>
      <c r="M6067" s="19" t="s">
        <v>8</v>
      </c>
      <c r="N6067" t="b">
        <v>0</v>
      </c>
      <c r="O6067">
        <v>0</v>
      </c>
      <c r="P6067">
        <v>1</v>
      </c>
      <c r="Q6067">
        <v>0</v>
      </c>
      <c r="R6067">
        <v>1</v>
      </c>
    </row>
    <row r="6068" spans="1:18" x14ac:dyDescent="0.45">
      <c r="A6068" s="19" t="s">
        <v>13</v>
      </c>
      <c r="B6068" s="19" t="s">
        <v>6</v>
      </c>
      <c r="C6068">
        <v>1</v>
      </c>
      <c r="D6068">
        <v>1</v>
      </c>
      <c r="E6068">
        <v>1</v>
      </c>
      <c r="F6068" s="15">
        <v>46279</v>
      </c>
      <c r="G6068" s="19" t="s">
        <v>724</v>
      </c>
      <c r="H6068">
        <v>4</v>
      </c>
      <c r="I6068">
        <v>2026</v>
      </c>
      <c r="J6068">
        <v>9</v>
      </c>
      <c r="K6068" s="19" t="s">
        <v>87</v>
      </c>
      <c r="L6068" s="19" t="s">
        <v>578</v>
      </c>
      <c r="M6068" s="19" t="s">
        <v>8</v>
      </c>
      <c r="N6068" t="b">
        <v>0</v>
      </c>
      <c r="O6068">
        <v>0</v>
      </c>
      <c r="P6068">
        <v>1</v>
      </c>
      <c r="Q6068">
        <v>0</v>
      </c>
      <c r="R6068">
        <v>1</v>
      </c>
    </row>
    <row r="6069" spans="1:18" x14ac:dyDescent="0.45">
      <c r="A6069" s="19" t="s">
        <v>13</v>
      </c>
      <c r="B6069" s="19" t="s">
        <v>6</v>
      </c>
      <c r="C6069">
        <v>1</v>
      </c>
      <c r="D6069">
        <v>1</v>
      </c>
      <c r="E6069">
        <v>1</v>
      </c>
      <c r="F6069" s="15">
        <v>46279</v>
      </c>
      <c r="G6069" s="19" t="s">
        <v>724</v>
      </c>
      <c r="H6069">
        <v>4</v>
      </c>
      <c r="I6069">
        <v>2026</v>
      </c>
      <c r="J6069">
        <v>9</v>
      </c>
      <c r="K6069" s="19" t="s">
        <v>87</v>
      </c>
      <c r="L6069" s="19" t="s">
        <v>19</v>
      </c>
      <c r="M6069" s="19" t="s">
        <v>6</v>
      </c>
      <c r="N6069" t="b">
        <v>0</v>
      </c>
      <c r="O6069">
        <v>0</v>
      </c>
      <c r="P6069">
        <v>1</v>
      </c>
      <c r="Q6069">
        <v>0</v>
      </c>
      <c r="R6069">
        <v>0</v>
      </c>
    </row>
    <row r="6070" spans="1:18" x14ac:dyDescent="0.45">
      <c r="A6070" s="19" t="s">
        <v>13</v>
      </c>
      <c r="B6070" s="19" t="s">
        <v>6</v>
      </c>
      <c r="C6070">
        <v>1</v>
      </c>
      <c r="D6070">
        <v>1</v>
      </c>
      <c r="E6070">
        <v>1</v>
      </c>
      <c r="F6070" s="15">
        <v>46279</v>
      </c>
      <c r="G6070" s="19" t="s">
        <v>724</v>
      </c>
      <c r="H6070">
        <v>4</v>
      </c>
      <c r="I6070">
        <v>2026</v>
      </c>
      <c r="J6070">
        <v>9</v>
      </c>
      <c r="K6070" s="19" t="s">
        <v>87</v>
      </c>
      <c r="L6070" s="19" t="s">
        <v>609</v>
      </c>
      <c r="M6070" s="19" t="s">
        <v>6</v>
      </c>
      <c r="N6070" t="b">
        <v>0</v>
      </c>
      <c r="O6070">
        <v>0</v>
      </c>
      <c r="P6070">
        <v>1</v>
      </c>
      <c r="Q6070">
        <v>0</v>
      </c>
      <c r="R6070">
        <v>0</v>
      </c>
    </row>
    <row r="6071" spans="1:18" x14ac:dyDescent="0.45">
      <c r="A6071" s="19" t="s">
        <v>578</v>
      </c>
      <c r="B6071" s="19" t="s">
        <v>8</v>
      </c>
      <c r="C6071">
        <v>2</v>
      </c>
      <c r="D6071">
        <v>1</v>
      </c>
      <c r="E6071">
        <v>1</v>
      </c>
      <c r="F6071" s="15">
        <v>46279</v>
      </c>
      <c r="G6071" s="19" t="s">
        <v>724</v>
      </c>
      <c r="H6071">
        <v>4</v>
      </c>
      <c r="I6071">
        <v>2026</v>
      </c>
      <c r="J6071">
        <v>9</v>
      </c>
      <c r="K6071" s="19" t="s">
        <v>87</v>
      </c>
      <c r="L6071" s="19" t="s">
        <v>13</v>
      </c>
      <c r="M6071" s="19" t="s">
        <v>6</v>
      </c>
      <c r="N6071" t="b">
        <v>0</v>
      </c>
      <c r="O6071">
        <v>1</v>
      </c>
      <c r="P6071">
        <v>0</v>
      </c>
      <c r="Q6071">
        <v>0</v>
      </c>
      <c r="R6071">
        <v>0</v>
      </c>
    </row>
    <row r="6072" spans="1:18" x14ac:dyDescent="0.45">
      <c r="A6072" s="19" t="s">
        <v>578</v>
      </c>
      <c r="B6072" s="19" t="s">
        <v>8</v>
      </c>
      <c r="C6072">
        <v>2</v>
      </c>
      <c r="D6072">
        <v>1</v>
      </c>
      <c r="E6072">
        <v>1</v>
      </c>
      <c r="F6072" s="15">
        <v>46279</v>
      </c>
      <c r="G6072" s="19" t="s">
        <v>724</v>
      </c>
      <c r="H6072">
        <v>4</v>
      </c>
      <c r="I6072">
        <v>2026</v>
      </c>
      <c r="J6072">
        <v>9</v>
      </c>
      <c r="K6072" s="19" t="s">
        <v>87</v>
      </c>
      <c r="L6072" s="19" t="s">
        <v>19</v>
      </c>
      <c r="M6072" s="19" t="s">
        <v>6</v>
      </c>
      <c r="N6072" t="b">
        <v>0</v>
      </c>
      <c r="O6072">
        <v>1</v>
      </c>
      <c r="P6072">
        <v>0</v>
      </c>
      <c r="Q6072">
        <v>0</v>
      </c>
      <c r="R6072">
        <v>0</v>
      </c>
    </row>
    <row r="6073" spans="1:18" x14ac:dyDescent="0.45">
      <c r="A6073" s="19" t="s">
        <v>578</v>
      </c>
      <c r="B6073" s="19" t="s">
        <v>8</v>
      </c>
      <c r="C6073">
        <v>2</v>
      </c>
      <c r="D6073">
        <v>1</v>
      </c>
      <c r="E6073">
        <v>1</v>
      </c>
      <c r="F6073" s="15">
        <v>46279</v>
      </c>
      <c r="G6073" s="19" t="s">
        <v>724</v>
      </c>
      <c r="H6073">
        <v>4</v>
      </c>
      <c r="I6073">
        <v>2026</v>
      </c>
      <c r="J6073">
        <v>9</v>
      </c>
      <c r="K6073" s="19" t="s">
        <v>87</v>
      </c>
      <c r="L6073" s="19" t="s">
        <v>609</v>
      </c>
      <c r="M6073" s="19" t="s">
        <v>6</v>
      </c>
      <c r="N6073" t="b">
        <v>0</v>
      </c>
      <c r="O6073">
        <v>1</v>
      </c>
      <c r="P6073">
        <v>0</v>
      </c>
      <c r="Q6073">
        <v>0</v>
      </c>
      <c r="R6073">
        <v>0</v>
      </c>
    </row>
    <row r="6074" spans="1:18" x14ac:dyDescent="0.45">
      <c r="A6074" s="19" t="s">
        <v>19</v>
      </c>
      <c r="B6074" s="19" t="s">
        <v>6</v>
      </c>
      <c r="C6074">
        <v>3</v>
      </c>
      <c r="D6074">
        <v>1</v>
      </c>
      <c r="E6074">
        <v>1</v>
      </c>
      <c r="F6074" s="15">
        <v>46279</v>
      </c>
      <c r="G6074" s="19" t="s">
        <v>724</v>
      </c>
      <c r="H6074">
        <v>4</v>
      </c>
      <c r="I6074">
        <v>2026</v>
      </c>
      <c r="J6074">
        <v>9</v>
      </c>
      <c r="K6074" s="19" t="s">
        <v>87</v>
      </c>
      <c r="L6074" s="19" t="s">
        <v>13</v>
      </c>
      <c r="M6074" s="19" t="s">
        <v>6</v>
      </c>
      <c r="N6074" t="b">
        <v>0</v>
      </c>
      <c r="O6074">
        <v>0</v>
      </c>
      <c r="P6074">
        <v>1</v>
      </c>
      <c r="Q6074">
        <v>0</v>
      </c>
      <c r="R6074">
        <v>0</v>
      </c>
    </row>
    <row r="6075" spans="1:18" x14ac:dyDescent="0.45">
      <c r="A6075" s="19" t="s">
        <v>19</v>
      </c>
      <c r="B6075" s="19" t="s">
        <v>6</v>
      </c>
      <c r="C6075">
        <v>3</v>
      </c>
      <c r="D6075">
        <v>1</v>
      </c>
      <c r="E6075">
        <v>1</v>
      </c>
      <c r="F6075" s="15">
        <v>46279</v>
      </c>
      <c r="G6075" s="19" t="s">
        <v>724</v>
      </c>
      <c r="H6075">
        <v>4</v>
      </c>
      <c r="I6075">
        <v>2026</v>
      </c>
      <c r="J6075">
        <v>9</v>
      </c>
      <c r="K6075" s="19" t="s">
        <v>87</v>
      </c>
      <c r="L6075" s="19" t="s">
        <v>578</v>
      </c>
      <c r="M6075" s="19" t="s">
        <v>8</v>
      </c>
      <c r="N6075" t="b">
        <v>0</v>
      </c>
      <c r="O6075">
        <v>0</v>
      </c>
      <c r="P6075">
        <v>1</v>
      </c>
      <c r="Q6075">
        <v>0</v>
      </c>
      <c r="R6075">
        <v>1</v>
      </c>
    </row>
    <row r="6076" spans="1:18" x14ac:dyDescent="0.45">
      <c r="A6076" s="19" t="s">
        <v>19</v>
      </c>
      <c r="B6076" s="19" t="s">
        <v>6</v>
      </c>
      <c r="C6076">
        <v>3</v>
      </c>
      <c r="D6076">
        <v>1</v>
      </c>
      <c r="E6076">
        <v>1</v>
      </c>
      <c r="F6076" s="15">
        <v>46279</v>
      </c>
      <c r="G6076" s="19" t="s">
        <v>724</v>
      </c>
      <c r="H6076">
        <v>4</v>
      </c>
      <c r="I6076">
        <v>2026</v>
      </c>
      <c r="J6076">
        <v>9</v>
      </c>
      <c r="K6076" s="19" t="s">
        <v>87</v>
      </c>
      <c r="L6076" s="19" t="s">
        <v>609</v>
      </c>
      <c r="M6076" s="19" t="s">
        <v>6</v>
      </c>
      <c r="N6076" t="b">
        <v>0</v>
      </c>
      <c r="O6076">
        <v>0</v>
      </c>
      <c r="P6076">
        <v>1</v>
      </c>
      <c r="Q6076">
        <v>0</v>
      </c>
      <c r="R6076">
        <v>0</v>
      </c>
    </row>
    <row r="6077" spans="1:18" x14ac:dyDescent="0.45">
      <c r="A6077" s="19" t="s">
        <v>609</v>
      </c>
      <c r="B6077" s="19" t="s">
        <v>6</v>
      </c>
      <c r="C6077">
        <v>4</v>
      </c>
      <c r="D6077">
        <v>1</v>
      </c>
      <c r="E6077">
        <v>1</v>
      </c>
      <c r="F6077" s="15">
        <v>46279</v>
      </c>
      <c r="G6077" s="19" t="s">
        <v>724</v>
      </c>
      <c r="H6077">
        <v>4</v>
      </c>
      <c r="I6077">
        <v>2026</v>
      </c>
      <c r="J6077">
        <v>9</v>
      </c>
      <c r="K6077" s="19" t="s">
        <v>87</v>
      </c>
      <c r="L6077" s="19" t="s">
        <v>13</v>
      </c>
      <c r="M6077" s="19" t="s">
        <v>6</v>
      </c>
      <c r="N6077" t="b">
        <v>0</v>
      </c>
      <c r="O6077">
        <v>0</v>
      </c>
      <c r="P6077">
        <v>1</v>
      </c>
      <c r="Q6077">
        <v>0</v>
      </c>
      <c r="R6077">
        <v>0</v>
      </c>
    </row>
    <row r="6078" spans="1:18" x14ac:dyDescent="0.45">
      <c r="A6078" s="19" t="s">
        <v>609</v>
      </c>
      <c r="B6078" s="19" t="s">
        <v>6</v>
      </c>
      <c r="C6078">
        <v>4</v>
      </c>
      <c r="D6078">
        <v>1</v>
      </c>
      <c r="E6078">
        <v>1</v>
      </c>
      <c r="F6078" s="15">
        <v>46279</v>
      </c>
      <c r="G6078" s="19" t="s">
        <v>724</v>
      </c>
      <c r="H6078">
        <v>4</v>
      </c>
      <c r="I6078">
        <v>2026</v>
      </c>
      <c r="J6078">
        <v>9</v>
      </c>
      <c r="K6078" s="19" t="s">
        <v>87</v>
      </c>
      <c r="L6078" s="19" t="s">
        <v>578</v>
      </c>
      <c r="M6078" s="19" t="s">
        <v>8</v>
      </c>
      <c r="N6078" t="b">
        <v>0</v>
      </c>
      <c r="O6078">
        <v>0</v>
      </c>
      <c r="P6078">
        <v>1</v>
      </c>
      <c r="Q6078">
        <v>0</v>
      </c>
      <c r="R6078">
        <v>1</v>
      </c>
    </row>
    <row r="6079" spans="1:18" x14ac:dyDescent="0.45">
      <c r="A6079" s="19" t="s">
        <v>609</v>
      </c>
      <c r="B6079" s="19" t="s">
        <v>6</v>
      </c>
      <c r="C6079">
        <v>4</v>
      </c>
      <c r="D6079">
        <v>1</v>
      </c>
      <c r="E6079">
        <v>1</v>
      </c>
      <c r="F6079" s="15">
        <v>46279</v>
      </c>
      <c r="G6079" s="19" t="s">
        <v>724</v>
      </c>
      <c r="H6079">
        <v>4</v>
      </c>
      <c r="I6079">
        <v>2026</v>
      </c>
      <c r="J6079">
        <v>9</v>
      </c>
      <c r="K6079" s="19" t="s">
        <v>87</v>
      </c>
      <c r="L6079" s="19" t="s">
        <v>19</v>
      </c>
      <c r="M6079" s="19" t="s">
        <v>6</v>
      </c>
      <c r="N6079" t="b">
        <v>0</v>
      </c>
      <c r="O6079">
        <v>0</v>
      </c>
      <c r="P6079">
        <v>1</v>
      </c>
      <c r="Q6079">
        <v>0</v>
      </c>
      <c r="R6079">
        <v>0</v>
      </c>
    </row>
    <row r="6080" spans="1:18" x14ac:dyDescent="0.45">
      <c r="A6080" s="19" t="s">
        <v>28</v>
      </c>
      <c r="B6080" s="19" t="s">
        <v>63</v>
      </c>
      <c r="C6080">
        <v>1</v>
      </c>
      <c r="D6080">
        <v>2</v>
      </c>
      <c r="E6080">
        <v>1</v>
      </c>
      <c r="F6080" s="15">
        <v>46279</v>
      </c>
      <c r="G6080" s="19" t="s">
        <v>725</v>
      </c>
      <c r="H6080">
        <v>4</v>
      </c>
      <c r="I6080">
        <v>2026</v>
      </c>
      <c r="J6080">
        <v>9</v>
      </c>
      <c r="K6080" s="19" t="s">
        <v>87</v>
      </c>
      <c r="L6080" s="19" t="s">
        <v>17</v>
      </c>
      <c r="M6080" s="19" t="s">
        <v>63</v>
      </c>
      <c r="N6080" t="b">
        <v>0</v>
      </c>
      <c r="O6080">
        <v>0</v>
      </c>
      <c r="P6080">
        <v>0</v>
      </c>
      <c r="Q6080">
        <v>1</v>
      </c>
      <c r="R6080">
        <v>0</v>
      </c>
    </row>
    <row r="6081" spans="1:18" x14ac:dyDescent="0.45">
      <c r="A6081" s="19" t="s">
        <v>28</v>
      </c>
      <c r="B6081" s="19" t="s">
        <v>63</v>
      </c>
      <c r="C6081">
        <v>1</v>
      </c>
      <c r="D6081">
        <v>2</v>
      </c>
      <c r="E6081">
        <v>1</v>
      </c>
      <c r="F6081" s="15">
        <v>46279</v>
      </c>
      <c r="G6081" s="19" t="s">
        <v>725</v>
      </c>
      <c r="H6081">
        <v>4</v>
      </c>
      <c r="I6081">
        <v>2026</v>
      </c>
      <c r="J6081">
        <v>9</v>
      </c>
      <c r="K6081" s="19" t="s">
        <v>87</v>
      </c>
      <c r="L6081" s="19" t="s">
        <v>325</v>
      </c>
      <c r="M6081" s="19" t="s">
        <v>63</v>
      </c>
      <c r="N6081" t="b">
        <v>0</v>
      </c>
      <c r="O6081">
        <v>0</v>
      </c>
      <c r="P6081">
        <v>0</v>
      </c>
      <c r="Q6081">
        <v>1</v>
      </c>
      <c r="R6081">
        <v>0</v>
      </c>
    </row>
    <row r="6082" spans="1:18" x14ac:dyDescent="0.45">
      <c r="A6082" s="19" t="s">
        <v>28</v>
      </c>
      <c r="B6082" s="19" t="s">
        <v>63</v>
      </c>
      <c r="C6082">
        <v>1</v>
      </c>
      <c r="D6082">
        <v>2</v>
      </c>
      <c r="E6082">
        <v>1</v>
      </c>
      <c r="F6082" s="15">
        <v>46279</v>
      </c>
      <c r="G6082" s="19" t="s">
        <v>725</v>
      </c>
      <c r="H6082">
        <v>4</v>
      </c>
      <c r="I6082">
        <v>2026</v>
      </c>
      <c r="J6082">
        <v>9</v>
      </c>
      <c r="K6082" s="19" t="s">
        <v>87</v>
      </c>
      <c r="L6082" s="19" t="s">
        <v>9</v>
      </c>
      <c r="M6082" s="19" t="s">
        <v>63</v>
      </c>
      <c r="N6082" t="b">
        <v>0</v>
      </c>
      <c r="O6082">
        <v>0</v>
      </c>
      <c r="P6082">
        <v>0</v>
      </c>
      <c r="Q6082">
        <v>1</v>
      </c>
      <c r="R6082">
        <v>0</v>
      </c>
    </row>
    <row r="6083" spans="1:18" x14ac:dyDescent="0.45">
      <c r="A6083" s="19" t="s">
        <v>17</v>
      </c>
      <c r="B6083" s="19" t="s">
        <v>63</v>
      </c>
      <c r="C6083">
        <v>2</v>
      </c>
      <c r="D6083">
        <v>2</v>
      </c>
      <c r="E6083">
        <v>1</v>
      </c>
      <c r="F6083" s="15">
        <v>46279</v>
      </c>
      <c r="G6083" s="19" t="s">
        <v>725</v>
      </c>
      <c r="H6083">
        <v>4</v>
      </c>
      <c r="I6083">
        <v>2026</v>
      </c>
      <c r="J6083">
        <v>9</v>
      </c>
      <c r="K6083" s="19" t="s">
        <v>87</v>
      </c>
      <c r="L6083" s="19" t="s">
        <v>28</v>
      </c>
      <c r="M6083" s="19" t="s">
        <v>63</v>
      </c>
      <c r="N6083" t="b">
        <v>0</v>
      </c>
      <c r="O6083">
        <v>0</v>
      </c>
      <c r="P6083">
        <v>0</v>
      </c>
      <c r="Q6083">
        <v>1</v>
      </c>
      <c r="R6083">
        <v>0</v>
      </c>
    </row>
    <row r="6084" spans="1:18" x14ac:dyDescent="0.45">
      <c r="A6084" s="19" t="s">
        <v>17</v>
      </c>
      <c r="B6084" s="19" t="s">
        <v>63</v>
      </c>
      <c r="C6084">
        <v>2</v>
      </c>
      <c r="D6084">
        <v>2</v>
      </c>
      <c r="E6084">
        <v>1</v>
      </c>
      <c r="F6084" s="15">
        <v>46279</v>
      </c>
      <c r="G6084" s="19" t="s">
        <v>725</v>
      </c>
      <c r="H6084">
        <v>4</v>
      </c>
      <c r="I6084">
        <v>2026</v>
      </c>
      <c r="J6084">
        <v>9</v>
      </c>
      <c r="K6084" s="19" t="s">
        <v>87</v>
      </c>
      <c r="L6084" s="19" t="s">
        <v>325</v>
      </c>
      <c r="M6084" s="19" t="s">
        <v>63</v>
      </c>
      <c r="N6084" t="b">
        <v>0</v>
      </c>
      <c r="O6084">
        <v>0</v>
      </c>
      <c r="P6084">
        <v>0</v>
      </c>
      <c r="Q6084">
        <v>1</v>
      </c>
      <c r="R6084">
        <v>0</v>
      </c>
    </row>
    <row r="6085" spans="1:18" x14ac:dyDescent="0.45">
      <c r="A6085" s="19" t="s">
        <v>17</v>
      </c>
      <c r="B6085" s="19" t="s">
        <v>63</v>
      </c>
      <c r="C6085">
        <v>2</v>
      </c>
      <c r="D6085">
        <v>2</v>
      </c>
      <c r="E6085">
        <v>1</v>
      </c>
      <c r="F6085" s="15">
        <v>46279</v>
      </c>
      <c r="G6085" s="19" t="s">
        <v>725</v>
      </c>
      <c r="H6085">
        <v>4</v>
      </c>
      <c r="I6085">
        <v>2026</v>
      </c>
      <c r="J6085">
        <v>9</v>
      </c>
      <c r="K6085" s="19" t="s">
        <v>87</v>
      </c>
      <c r="L6085" s="19" t="s">
        <v>9</v>
      </c>
      <c r="M6085" s="19" t="s">
        <v>63</v>
      </c>
      <c r="N6085" t="b">
        <v>0</v>
      </c>
      <c r="O6085">
        <v>0</v>
      </c>
      <c r="P6085">
        <v>0</v>
      </c>
      <c r="Q6085">
        <v>1</v>
      </c>
      <c r="R6085">
        <v>0</v>
      </c>
    </row>
    <row r="6086" spans="1:18" x14ac:dyDescent="0.45">
      <c r="A6086" s="19" t="s">
        <v>325</v>
      </c>
      <c r="B6086" s="19" t="s">
        <v>63</v>
      </c>
      <c r="C6086">
        <v>3</v>
      </c>
      <c r="D6086">
        <v>2</v>
      </c>
      <c r="E6086">
        <v>1</v>
      </c>
      <c r="F6086" s="15">
        <v>46279</v>
      </c>
      <c r="G6086" s="19" t="s">
        <v>725</v>
      </c>
      <c r="H6086">
        <v>4</v>
      </c>
      <c r="I6086">
        <v>2026</v>
      </c>
      <c r="J6086">
        <v>9</v>
      </c>
      <c r="K6086" s="19" t="s">
        <v>87</v>
      </c>
      <c r="L6086" s="19" t="s">
        <v>28</v>
      </c>
      <c r="M6086" s="19" t="s">
        <v>63</v>
      </c>
      <c r="N6086" t="b">
        <v>0</v>
      </c>
      <c r="O6086">
        <v>0</v>
      </c>
      <c r="P6086">
        <v>0</v>
      </c>
      <c r="Q6086">
        <v>1</v>
      </c>
      <c r="R6086">
        <v>0</v>
      </c>
    </row>
    <row r="6087" spans="1:18" x14ac:dyDescent="0.45">
      <c r="A6087" s="19" t="s">
        <v>325</v>
      </c>
      <c r="B6087" s="19" t="s">
        <v>63</v>
      </c>
      <c r="C6087">
        <v>3</v>
      </c>
      <c r="D6087">
        <v>2</v>
      </c>
      <c r="E6087">
        <v>1</v>
      </c>
      <c r="F6087" s="15">
        <v>46279</v>
      </c>
      <c r="G6087" s="19" t="s">
        <v>725</v>
      </c>
      <c r="H6087">
        <v>4</v>
      </c>
      <c r="I6087">
        <v>2026</v>
      </c>
      <c r="J6087">
        <v>9</v>
      </c>
      <c r="K6087" s="19" t="s">
        <v>87</v>
      </c>
      <c r="L6087" s="19" t="s">
        <v>17</v>
      </c>
      <c r="M6087" s="19" t="s">
        <v>63</v>
      </c>
      <c r="N6087" t="b">
        <v>0</v>
      </c>
      <c r="O6087">
        <v>0</v>
      </c>
      <c r="P6087">
        <v>0</v>
      </c>
      <c r="Q6087">
        <v>1</v>
      </c>
      <c r="R6087">
        <v>0</v>
      </c>
    </row>
    <row r="6088" spans="1:18" x14ac:dyDescent="0.45">
      <c r="A6088" s="19" t="s">
        <v>325</v>
      </c>
      <c r="B6088" s="19" t="s">
        <v>63</v>
      </c>
      <c r="C6088">
        <v>3</v>
      </c>
      <c r="D6088">
        <v>2</v>
      </c>
      <c r="E6088">
        <v>1</v>
      </c>
      <c r="F6088" s="15">
        <v>46279</v>
      </c>
      <c r="G6088" s="19" t="s">
        <v>725</v>
      </c>
      <c r="H6088">
        <v>4</v>
      </c>
      <c r="I6088">
        <v>2026</v>
      </c>
      <c r="J6088">
        <v>9</v>
      </c>
      <c r="K6088" s="19" t="s">
        <v>87</v>
      </c>
      <c r="L6088" s="19" t="s">
        <v>9</v>
      </c>
      <c r="M6088" s="19" t="s">
        <v>63</v>
      </c>
      <c r="N6088" t="b">
        <v>0</v>
      </c>
      <c r="O6088">
        <v>0</v>
      </c>
      <c r="P6088">
        <v>0</v>
      </c>
      <c r="Q6088">
        <v>1</v>
      </c>
      <c r="R6088">
        <v>0</v>
      </c>
    </row>
    <row r="6089" spans="1:18" x14ac:dyDescent="0.45">
      <c r="A6089" s="19" t="s">
        <v>9</v>
      </c>
      <c r="B6089" s="19" t="s">
        <v>63</v>
      </c>
      <c r="C6089">
        <v>4</v>
      </c>
      <c r="D6089">
        <v>2</v>
      </c>
      <c r="E6089">
        <v>1</v>
      </c>
      <c r="F6089" s="15">
        <v>46279</v>
      </c>
      <c r="G6089" s="19" t="s">
        <v>725</v>
      </c>
      <c r="H6089">
        <v>4</v>
      </c>
      <c r="I6089">
        <v>2026</v>
      </c>
      <c r="J6089">
        <v>9</v>
      </c>
      <c r="K6089" s="19" t="s">
        <v>87</v>
      </c>
      <c r="L6089" s="19" t="s">
        <v>28</v>
      </c>
      <c r="M6089" s="19" t="s">
        <v>63</v>
      </c>
      <c r="N6089" t="b">
        <v>0</v>
      </c>
      <c r="O6089">
        <v>0</v>
      </c>
      <c r="P6089">
        <v>0</v>
      </c>
      <c r="Q6089">
        <v>1</v>
      </c>
      <c r="R6089">
        <v>0</v>
      </c>
    </row>
    <row r="6090" spans="1:18" x14ac:dyDescent="0.45">
      <c r="A6090" s="19" t="s">
        <v>9</v>
      </c>
      <c r="B6090" s="19" t="s">
        <v>63</v>
      </c>
      <c r="C6090">
        <v>4</v>
      </c>
      <c r="D6090">
        <v>2</v>
      </c>
      <c r="E6090">
        <v>1</v>
      </c>
      <c r="F6090" s="15">
        <v>46279</v>
      </c>
      <c r="G6090" s="19" t="s">
        <v>725</v>
      </c>
      <c r="H6090">
        <v>4</v>
      </c>
      <c r="I6090">
        <v>2026</v>
      </c>
      <c r="J6090">
        <v>9</v>
      </c>
      <c r="K6090" s="19" t="s">
        <v>87</v>
      </c>
      <c r="L6090" s="19" t="s">
        <v>17</v>
      </c>
      <c r="M6090" s="19" t="s">
        <v>63</v>
      </c>
      <c r="N6090" t="b">
        <v>0</v>
      </c>
      <c r="O6090">
        <v>0</v>
      </c>
      <c r="P6090">
        <v>0</v>
      </c>
      <c r="Q6090">
        <v>1</v>
      </c>
      <c r="R6090">
        <v>0</v>
      </c>
    </row>
    <row r="6091" spans="1:18" x14ac:dyDescent="0.45">
      <c r="A6091" s="19" t="s">
        <v>9</v>
      </c>
      <c r="B6091" s="19" t="s">
        <v>63</v>
      </c>
      <c r="C6091">
        <v>4</v>
      </c>
      <c r="D6091">
        <v>2</v>
      </c>
      <c r="E6091">
        <v>1</v>
      </c>
      <c r="F6091" s="15">
        <v>46279</v>
      </c>
      <c r="G6091" s="19" t="s">
        <v>725</v>
      </c>
      <c r="H6091">
        <v>4</v>
      </c>
      <c r="I6091">
        <v>2026</v>
      </c>
      <c r="J6091">
        <v>9</v>
      </c>
      <c r="K6091" s="19" t="s">
        <v>87</v>
      </c>
      <c r="L6091" s="19" t="s">
        <v>325</v>
      </c>
      <c r="M6091" s="19" t="s">
        <v>63</v>
      </c>
      <c r="N6091" t="b">
        <v>0</v>
      </c>
      <c r="O6091">
        <v>0</v>
      </c>
      <c r="P6091">
        <v>0</v>
      </c>
      <c r="Q6091">
        <v>1</v>
      </c>
      <c r="R6091">
        <v>0</v>
      </c>
    </row>
    <row r="6092" spans="1:18" x14ac:dyDescent="0.45">
      <c r="A6092" s="19" t="s">
        <v>10</v>
      </c>
      <c r="B6092" s="19" t="s">
        <v>63</v>
      </c>
      <c r="C6092">
        <v>1</v>
      </c>
      <c r="D6092">
        <v>3</v>
      </c>
      <c r="E6092">
        <v>1</v>
      </c>
      <c r="F6092" s="15">
        <v>46279</v>
      </c>
      <c r="G6092" s="19" t="s">
        <v>726</v>
      </c>
      <c r="H6092">
        <v>4</v>
      </c>
      <c r="I6092">
        <v>2026</v>
      </c>
      <c r="J6092">
        <v>9</v>
      </c>
      <c r="K6092" s="19" t="s">
        <v>87</v>
      </c>
      <c r="L6092" s="19" t="s">
        <v>7</v>
      </c>
      <c r="M6092" s="19" t="s">
        <v>63</v>
      </c>
      <c r="N6092" t="b">
        <v>0</v>
      </c>
      <c r="O6092">
        <v>0</v>
      </c>
      <c r="P6092">
        <v>0</v>
      </c>
      <c r="Q6092">
        <v>1</v>
      </c>
      <c r="R6092">
        <v>0</v>
      </c>
    </row>
    <row r="6093" spans="1:18" x14ac:dyDescent="0.45">
      <c r="A6093" s="19" t="s">
        <v>10</v>
      </c>
      <c r="B6093" s="19" t="s">
        <v>63</v>
      </c>
      <c r="C6093">
        <v>1</v>
      </c>
      <c r="D6093">
        <v>3</v>
      </c>
      <c r="E6093">
        <v>1</v>
      </c>
      <c r="F6093" s="15">
        <v>46279</v>
      </c>
      <c r="G6093" s="19" t="s">
        <v>726</v>
      </c>
      <c r="H6093">
        <v>4</v>
      </c>
      <c r="I6093">
        <v>2026</v>
      </c>
      <c r="J6093">
        <v>9</v>
      </c>
      <c r="K6093" s="19" t="s">
        <v>87</v>
      </c>
      <c r="L6093" s="19" t="s">
        <v>519</v>
      </c>
      <c r="M6093" s="19" t="s">
        <v>63</v>
      </c>
      <c r="N6093" t="b">
        <v>0</v>
      </c>
      <c r="O6093">
        <v>0</v>
      </c>
      <c r="P6093">
        <v>0</v>
      </c>
      <c r="Q6093">
        <v>1</v>
      </c>
      <c r="R6093">
        <v>0</v>
      </c>
    </row>
    <row r="6094" spans="1:18" x14ac:dyDescent="0.45">
      <c r="A6094" s="19" t="s">
        <v>10</v>
      </c>
      <c r="B6094" s="19" t="s">
        <v>63</v>
      </c>
      <c r="C6094">
        <v>1</v>
      </c>
      <c r="D6094">
        <v>3</v>
      </c>
      <c r="E6094">
        <v>1</v>
      </c>
      <c r="F6094" s="15">
        <v>46279</v>
      </c>
      <c r="G6094" s="19" t="s">
        <v>726</v>
      </c>
      <c r="H6094">
        <v>4</v>
      </c>
      <c r="I6094">
        <v>2026</v>
      </c>
      <c r="J6094">
        <v>9</v>
      </c>
      <c r="K6094" s="19" t="s">
        <v>87</v>
      </c>
      <c r="L6094" s="19" t="s">
        <v>351</v>
      </c>
      <c r="M6094" s="19" t="s">
        <v>63</v>
      </c>
      <c r="N6094" t="b">
        <v>0</v>
      </c>
      <c r="O6094">
        <v>0</v>
      </c>
      <c r="P6094">
        <v>0</v>
      </c>
      <c r="Q6094">
        <v>1</v>
      </c>
      <c r="R6094">
        <v>0</v>
      </c>
    </row>
    <row r="6095" spans="1:18" x14ac:dyDescent="0.45">
      <c r="A6095" s="19" t="s">
        <v>7</v>
      </c>
      <c r="B6095" s="19" t="s">
        <v>63</v>
      </c>
      <c r="C6095">
        <v>2</v>
      </c>
      <c r="D6095">
        <v>3</v>
      </c>
      <c r="E6095">
        <v>1</v>
      </c>
      <c r="F6095" s="15">
        <v>46279</v>
      </c>
      <c r="G6095" s="19" t="s">
        <v>726</v>
      </c>
      <c r="H6095">
        <v>4</v>
      </c>
      <c r="I6095">
        <v>2026</v>
      </c>
      <c r="J6095">
        <v>9</v>
      </c>
      <c r="K6095" s="19" t="s">
        <v>87</v>
      </c>
      <c r="L6095" s="19" t="s">
        <v>10</v>
      </c>
      <c r="M6095" s="19" t="s">
        <v>63</v>
      </c>
      <c r="N6095" t="b">
        <v>0</v>
      </c>
      <c r="O6095">
        <v>0</v>
      </c>
      <c r="P6095">
        <v>0</v>
      </c>
      <c r="Q6095">
        <v>1</v>
      </c>
      <c r="R6095">
        <v>0</v>
      </c>
    </row>
    <row r="6096" spans="1:18" x14ac:dyDescent="0.45">
      <c r="A6096" s="19" t="s">
        <v>7</v>
      </c>
      <c r="B6096" s="19" t="s">
        <v>63</v>
      </c>
      <c r="C6096">
        <v>2</v>
      </c>
      <c r="D6096">
        <v>3</v>
      </c>
      <c r="E6096">
        <v>1</v>
      </c>
      <c r="F6096" s="15">
        <v>46279</v>
      </c>
      <c r="G6096" s="19" t="s">
        <v>726</v>
      </c>
      <c r="H6096">
        <v>4</v>
      </c>
      <c r="I6096">
        <v>2026</v>
      </c>
      <c r="J6096">
        <v>9</v>
      </c>
      <c r="K6096" s="19" t="s">
        <v>87</v>
      </c>
      <c r="L6096" s="19" t="s">
        <v>519</v>
      </c>
      <c r="M6096" s="19" t="s">
        <v>63</v>
      </c>
      <c r="N6096" t="b">
        <v>0</v>
      </c>
      <c r="O6096">
        <v>0</v>
      </c>
      <c r="P6096">
        <v>0</v>
      </c>
      <c r="Q6096">
        <v>1</v>
      </c>
      <c r="R6096">
        <v>0</v>
      </c>
    </row>
    <row r="6097" spans="1:18" x14ac:dyDescent="0.45">
      <c r="A6097" s="19" t="s">
        <v>7</v>
      </c>
      <c r="B6097" s="19" t="s">
        <v>63</v>
      </c>
      <c r="C6097">
        <v>2</v>
      </c>
      <c r="D6097">
        <v>3</v>
      </c>
      <c r="E6097">
        <v>1</v>
      </c>
      <c r="F6097" s="15">
        <v>46279</v>
      </c>
      <c r="G6097" s="19" t="s">
        <v>726</v>
      </c>
      <c r="H6097">
        <v>4</v>
      </c>
      <c r="I6097">
        <v>2026</v>
      </c>
      <c r="J6097">
        <v>9</v>
      </c>
      <c r="K6097" s="19" t="s">
        <v>87</v>
      </c>
      <c r="L6097" s="19" t="s">
        <v>351</v>
      </c>
      <c r="M6097" s="19" t="s">
        <v>63</v>
      </c>
      <c r="N6097" t="b">
        <v>0</v>
      </c>
      <c r="O6097">
        <v>0</v>
      </c>
      <c r="P6097">
        <v>0</v>
      </c>
      <c r="Q6097">
        <v>1</v>
      </c>
      <c r="R6097">
        <v>0</v>
      </c>
    </row>
    <row r="6098" spans="1:18" x14ac:dyDescent="0.45">
      <c r="A6098" s="19" t="s">
        <v>519</v>
      </c>
      <c r="B6098" s="19" t="s">
        <v>63</v>
      </c>
      <c r="C6098">
        <v>3</v>
      </c>
      <c r="D6098">
        <v>3</v>
      </c>
      <c r="E6098">
        <v>1</v>
      </c>
      <c r="F6098" s="15">
        <v>46279</v>
      </c>
      <c r="G6098" s="19" t="s">
        <v>726</v>
      </c>
      <c r="H6098">
        <v>4</v>
      </c>
      <c r="I6098">
        <v>2026</v>
      </c>
      <c r="J6098">
        <v>9</v>
      </c>
      <c r="K6098" s="19" t="s">
        <v>87</v>
      </c>
      <c r="L6098" s="19" t="s">
        <v>10</v>
      </c>
      <c r="M6098" s="19" t="s">
        <v>63</v>
      </c>
      <c r="N6098" t="b">
        <v>0</v>
      </c>
      <c r="O6098">
        <v>0</v>
      </c>
      <c r="P6098">
        <v>0</v>
      </c>
      <c r="Q6098">
        <v>1</v>
      </c>
      <c r="R6098">
        <v>0</v>
      </c>
    </row>
    <row r="6099" spans="1:18" x14ac:dyDescent="0.45">
      <c r="A6099" s="19" t="s">
        <v>519</v>
      </c>
      <c r="B6099" s="19" t="s">
        <v>63</v>
      </c>
      <c r="C6099">
        <v>3</v>
      </c>
      <c r="D6099">
        <v>3</v>
      </c>
      <c r="E6099">
        <v>1</v>
      </c>
      <c r="F6099" s="15">
        <v>46279</v>
      </c>
      <c r="G6099" s="19" t="s">
        <v>726</v>
      </c>
      <c r="H6099">
        <v>4</v>
      </c>
      <c r="I6099">
        <v>2026</v>
      </c>
      <c r="J6099">
        <v>9</v>
      </c>
      <c r="K6099" s="19" t="s">
        <v>87</v>
      </c>
      <c r="L6099" s="19" t="s">
        <v>7</v>
      </c>
      <c r="M6099" s="19" t="s">
        <v>63</v>
      </c>
      <c r="N6099" t="b">
        <v>0</v>
      </c>
      <c r="O6099">
        <v>0</v>
      </c>
      <c r="P6099">
        <v>0</v>
      </c>
      <c r="Q6099">
        <v>1</v>
      </c>
      <c r="R6099">
        <v>0</v>
      </c>
    </row>
    <row r="6100" spans="1:18" x14ac:dyDescent="0.45">
      <c r="A6100" s="19" t="s">
        <v>519</v>
      </c>
      <c r="B6100" s="19" t="s">
        <v>63</v>
      </c>
      <c r="C6100">
        <v>3</v>
      </c>
      <c r="D6100">
        <v>3</v>
      </c>
      <c r="E6100">
        <v>1</v>
      </c>
      <c r="F6100" s="15">
        <v>46279</v>
      </c>
      <c r="G6100" s="19" t="s">
        <v>726</v>
      </c>
      <c r="H6100">
        <v>4</v>
      </c>
      <c r="I6100">
        <v>2026</v>
      </c>
      <c r="J6100">
        <v>9</v>
      </c>
      <c r="K6100" s="19" t="s">
        <v>87</v>
      </c>
      <c r="L6100" s="19" t="s">
        <v>351</v>
      </c>
      <c r="M6100" s="19" t="s">
        <v>63</v>
      </c>
      <c r="N6100" t="b">
        <v>0</v>
      </c>
      <c r="O6100">
        <v>0</v>
      </c>
      <c r="P6100">
        <v>0</v>
      </c>
      <c r="Q6100">
        <v>1</v>
      </c>
      <c r="R6100">
        <v>0</v>
      </c>
    </row>
    <row r="6101" spans="1:18" x14ac:dyDescent="0.45">
      <c r="A6101" s="19" t="s">
        <v>351</v>
      </c>
      <c r="B6101" s="19" t="s">
        <v>63</v>
      </c>
      <c r="C6101">
        <v>4</v>
      </c>
      <c r="D6101">
        <v>3</v>
      </c>
      <c r="E6101">
        <v>1</v>
      </c>
      <c r="F6101" s="15">
        <v>46279</v>
      </c>
      <c r="G6101" s="19" t="s">
        <v>726</v>
      </c>
      <c r="H6101">
        <v>4</v>
      </c>
      <c r="I6101">
        <v>2026</v>
      </c>
      <c r="J6101">
        <v>9</v>
      </c>
      <c r="K6101" s="19" t="s">
        <v>87</v>
      </c>
      <c r="L6101" s="19" t="s">
        <v>10</v>
      </c>
      <c r="M6101" s="19" t="s">
        <v>63</v>
      </c>
      <c r="N6101" t="b">
        <v>0</v>
      </c>
      <c r="O6101">
        <v>0</v>
      </c>
      <c r="P6101">
        <v>0</v>
      </c>
      <c r="Q6101">
        <v>1</v>
      </c>
      <c r="R6101">
        <v>0</v>
      </c>
    </row>
    <row r="6102" spans="1:18" x14ac:dyDescent="0.45">
      <c r="A6102" s="19" t="s">
        <v>351</v>
      </c>
      <c r="B6102" s="19" t="s">
        <v>63</v>
      </c>
      <c r="C6102">
        <v>4</v>
      </c>
      <c r="D6102">
        <v>3</v>
      </c>
      <c r="E6102">
        <v>1</v>
      </c>
      <c r="F6102" s="15">
        <v>46279</v>
      </c>
      <c r="G6102" s="19" t="s">
        <v>726</v>
      </c>
      <c r="H6102">
        <v>4</v>
      </c>
      <c r="I6102">
        <v>2026</v>
      </c>
      <c r="J6102">
        <v>9</v>
      </c>
      <c r="K6102" s="19" t="s">
        <v>87</v>
      </c>
      <c r="L6102" s="19" t="s">
        <v>7</v>
      </c>
      <c r="M6102" s="19" t="s">
        <v>63</v>
      </c>
      <c r="N6102" t="b">
        <v>0</v>
      </c>
      <c r="O6102">
        <v>0</v>
      </c>
      <c r="P6102">
        <v>0</v>
      </c>
      <c r="Q6102">
        <v>1</v>
      </c>
      <c r="R6102">
        <v>0</v>
      </c>
    </row>
    <row r="6103" spans="1:18" x14ac:dyDescent="0.45">
      <c r="A6103" s="19" t="s">
        <v>351</v>
      </c>
      <c r="B6103" s="19" t="s">
        <v>63</v>
      </c>
      <c r="C6103">
        <v>4</v>
      </c>
      <c r="D6103">
        <v>3</v>
      </c>
      <c r="E6103">
        <v>1</v>
      </c>
      <c r="F6103" s="15">
        <v>46279</v>
      </c>
      <c r="G6103" s="19" t="s">
        <v>726</v>
      </c>
      <c r="H6103">
        <v>4</v>
      </c>
      <c r="I6103">
        <v>2026</v>
      </c>
      <c r="J6103">
        <v>9</v>
      </c>
      <c r="K6103" s="19" t="s">
        <v>87</v>
      </c>
      <c r="L6103" s="19" t="s">
        <v>519</v>
      </c>
      <c r="M6103" s="19" t="s">
        <v>63</v>
      </c>
      <c r="N6103" t="b">
        <v>0</v>
      </c>
      <c r="O6103">
        <v>0</v>
      </c>
      <c r="P6103">
        <v>0</v>
      </c>
      <c r="Q6103">
        <v>1</v>
      </c>
      <c r="R6103">
        <v>0</v>
      </c>
    </row>
    <row r="6104" spans="1:18" x14ac:dyDescent="0.45">
      <c r="A6104" s="19" t="s">
        <v>15</v>
      </c>
      <c r="B6104" s="19" t="s">
        <v>6</v>
      </c>
      <c r="C6104">
        <v>1</v>
      </c>
      <c r="D6104">
        <v>4</v>
      </c>
      <c r="E6104">
        <v>1</v>
      </c>
      <c r="F6104" s="15">
        <v>46279</v>
      </c>
      <c r="G6104" s="19" t="s">
        <v>727</v>
      </c>
      <c r="H6104">
        <v>3</v>
      </c>
      <c r="I6104">
        <v>2026</v>
      </c>
      <c r="J6104">
        <v>9</v>
      </c>
      <c r="K6104" s="19" t="s">
        <v>87</v>
      </c>
      <c r="L6104" s="19" t="s">
        <v>723</v>
      </c>
      <c r="M6104" s="19" t="s">
        <v>6</v>
      </c>
      <c r="N6104" t="b">
        <v>0</v>
      </c>
      <c r="O6104">
        <v>0</v>
      </c>
      <c r="P6104">
        <v>1</v>
      </c>
      <c r="Q6104">
        <v>0</v>
      </c>
      <c r="R6104">
        <v>0</v>
      </c>
    </row>
    <row r="6105" spans="1:18" x14ac:dyDescent="0.45">
      <c r="A6105" s="19" t="s">
        <v>15</v>
      </c>
      <c r="B6105" s="19" t="s">
        <v>6</v>
      </c>
      <c r="C6105">
        <v>1</v>
      </c>
      <c r="D6105">
        <v>4</v>
      </c>
      <c r="E6105">
        <v>1</v>
      </c>
      <c r="F6105" s="15">
        <v>46279</v>
      </c>
      <c r="G6105" s="19" t="s">
        <v>727</v>
      </c>
      <c r="H6105">
        <v>3</v>
      </c>
      <c r="I6105">
        <v>2026</v>
      </c>
      <c r="J6105">
        <v>9</v>
      </c>
      <c r="K6105" s="19" t="s">
        <v>87</v>
      </c>
      <c r="L6105" s="19" t="s">
        <v>41</v>
      </c>
      <c r="M6105" s="19" t="s">
        <v>8</v>
      </c>
      <c r="N6105" t="b">
        <v>0</v>
      </c>
      <c r="O6105">
        <v>0</v>
      </c>
      <c r="P6105">
        <v>1</v>
      </c>
      <c r="Q6105">
        <v>0</v>
      </c>
      <c r="R6105">
        <v>1</v>
      </c>
    </row>
    <row r="6106" spans="1:18" x14ac:dyDescent="0.45">
      <c r="A6106" s="19" t="s">
        <v>723</v>
      </c>
      <c r="B6106" s="19" t="s">
        <v>6</v>
      </c>
      <c r="C6106">
        <v>2</v>
      </c>
      <c r="D6106">
        <v>4</v>
      </c>
      <c r="E6106">
        <v>1</v>
      </c>
      <c r="F6106" s="15">
        <v>46279</v>
      </c>
      <c r="G6106" s="19" t="s">
        <v>727</v>
      </c>
      <c r="H6106">
        <v>3</v>
      </c>
      <c r="I6106">
        <v>2026</v>
      </c>
      <c r="J6106">
        <v>9</v>
      </c>
      <c r="K6106" s="19" t="s">
        <v>87</v>
      </c>
      <c r="L6106" s="19" t="s">
        <v>15</v>
      </c>
      <c r="M6106" s="19" t="s">
        <v>6</v>
      </c>
      <c r="N6106" t="b">
        <v>0</v>
      </c>
      <c r="O6106">
        <v>0</v>
      </c>
      <c r="P6106">
        <v>1</v>
      </c>
      <c r="Q6106">
        <v>0</v>
      </c>
      <c r="R6106">
        <v>0</v>
      </c>
    </row>
    <row r="6107" spans="1:18" x14ac:dyDescent="0.45">
      <c r="A6107" s="19" t="s">
        <v>723</v>
      </c>
      <c r="B6107" s="19" t="s">
        <v>6</v>
      </c>
      <c r="C6107">
        <v>2</v>
      </c>
      <c r="D6107">
        <v>4</v>
      </c>
      <c r="E6107">
        <v>1</v>
      </c>
      <c r="F6107" s="15">
        <v>46279</v>
      </c>
      <c r="G6107" s="19" t="s">
        <v>727</v>
      </c>
      <c r="H6107">
        <v>3</v>
      </c>
      <c r="I6107">
        <v>2026</v>
      </c>
      <c r="J6107">
        <v>9</v>
      </c>
      <c r="K6107" s="19" t="s">
        <v>87</v>
      </c>
      <c r="L6107" s="19" t="s">
        <v>41</v>
      </c>
      <c r="M6107" s="19" t="s">
        <v>8</v>
      </c>
      <c r="N6107" t="b">
        <v>0</v>
      </c>
      <c r="O6107">
        <v>0</v>
      </c>
      <c r="P6107">
        <v>1</v>
      </c>
      <c r="Q6107">
        <v>0</v>
      </c>
      <c r="R6107">
        <v>1</v>
      </c>
    </row>
    <row r="6108" spans="1:18" x14ac:dyDescent="0.45">
      <c r="A6108" s="19" t="s">
        <v>41</v>
      </c>
      <c r="B6108" s="19" t="s">
        <v>8</v>
      </c>
      <c r="C6108">
        <v>3</v>
      </c>
      <c r="D6108">
        <v>4</v>
      </c>
      <c r="E6108">
        <v>1</v>
      </c>
      <c r="F6108" s="15">
        <v>46279</v>
      </c>
      <c r="G6108" s="19" t="s">
        <v>727</v>
      </c>
      <c r="H6108">
        <v>3</v>
      </c>
      <c r="I6108">
        <v>2026</v>
      </c>
      <c r="J6108">
        <v>9</v>
      </c>
      <c r="K6108" s="19" t="s">
        <v>87</v>
      </c>
      <c r="L6108" s="19" t="s">
        <v>15</v>
      </c>
      <c r="M6108" s="19" t="s">
        <v>6</v>
      </c>
      <c r="N6108" t="b">
        <v>0</v>
      </c>
      <c r="O6108">
        <v>1</v>
      </c>
      <c r="P6108">
        <v>0</v>
      </c>
      <c r="Q6108">
        <v>0</v>
      </c>
      <c r="R6108">
        <v>0</v>
      </c>
    </row>
    <row r="6109" spans="1:18" x14ac:dyDescent="0.45">
      <c r="A6109" s="19" t="s">
        <v>41</v>
      </c>
      <c r="B6109" s="19" t="s">
        <v>8</v>
      </c>
      <c r="C6109">
        <v>3</v>
      </c>
      <c r="D6109">
        <v>4</v>
      </c>
      <c r="E6109">
        <v>1</v>
      </c>
      <c r="F6109" s="15">
        <v>46279</v>
      </c>
      <c r="G6109" s="19" t="s">
        <v>727</v>
      </c>
      <c r="H6109">
        <v>3</v>
      </c>
      <c r="I6109">
        <v>2026</v>
      </c>
      <c r="J6109">
        <v>9</v>
      </c>
      <c r="K6109" s="19" t="s">
        <v>87</v>
      </c>
      <c r="L6109" s="19" t="s">
        <v>723</v>
      </c>
      <c r="M6109" s="19" t="s">
        <v>6</v>
      </c>
      <c r="N6109" t="b">
        <v>0</v>
      </c>
      <c r="O6109">
        <v>1</v>
      </c>
      <c r="P6109">
        <v>0</v>
      </c>
      <c r="Q6109">
        <v>0</v>
      </c>
      <c r="R6109">
        <v>0</v>
      </c>
    </row>
    <row r="6110" spans="1:18" x14ac:dyDescent="0.45">
      <c r="A6110" s="19" t="s">
        <v>14</v>
      </c>
      <c r="B6110" s="19" t="s">
        <v>8</v>
      </c>
      <c r="C6110">
        <v>1</v>
      </c>
      <c r="D6110">
        <v>5</v>
      </c>
      <c r="E6110">
        <v>1</v>
      </c>
      <c r="F6110" s="15">
        <v>46279</v>
      </c>
      <c r="G6110" s="19" t="s">
        <v>728</v>
      </c>
      <c r="H6110">
        <v>3</v>
      </c>
      <c r="I6110">
        <v>2026</v>
      </c>
      <c r="J6110">
        <v>9</v>
      </c>
      <c r="K6110" s="19" t="s">
        <v>87</v>
      </c>
      <c r="L6110" s="19" t="s">
        <v>11</v>
      </c>
      <c r="M6110" s="19" t="s">
        <v>6</v>
      </c>
      <c r="N6110" t="b">
        <v>0</v>
      </c>
      <c r="O6110">
        <v>1</v>
      </c>
      <c r="P6110">
        <v>0</v>
      </c>
      <c r="Q6110">
        <v>0</v>
      </c>
      <c r="R6110">
        <v>0</v>
      </c>
    </row>
    <row r="6111" spans="1:18" x14ac:dyDescent="0.45">
      <c r="A6111" s="19" t="s">
        <v>14</v>
      </c>
      <c r="B6111" s="19" t="s">
        <v>8</v>
      </c>
      <c r="C6111">
        <v>1</v>
      </c>
      <c r="D6111">
        <v>5</v>
      </c>
      <c r="E6111">
        <v>1</v>
      </c>
      <c r="F6111" s="15">
        <v>46279</v>
      </c>
      <c r="G6111" s="19" t="s">
        <v>728</v>
      </c>
      <c r="H6111">
        <v>3</v>
      </c>
      <c r="I6111">
        <v>2026</v>
      </c>
      <c r="J6111">
        <v>9</v>
      </c>
      <c r="K6111" s="19" t="s">
        <v>87</v>
      </c>
      <c r="L6111" s="19" t="s">
        <v>20</v>
      </c>
      <c r="M6111" s="19" t="s">
        <v>6</v>
      </c>
      <c r="N6111" t="b">
        <v>0</v>
      </c>
      <c r="O6111">
        <v>1</v>
      </c>
      <c r="P6111">
        <v>0</v>
      </c>
      <c r="Q6111">
        <v>0</v>
      </c>
      <c r="R6111">
        <v>0</v>
      </c>
    </row>
    <row r="6112" spans="1:18" x14ac:dyDescent="0.45">
      <c r="A6112" s="19" t="s">
        <v>11</v>
      </c>
      <c r="B6112" s="19" t="s">
        <v>6</v>
      </c>
      <c r="C6112">
        <v>2</v>
      </c>
      <c r="D6112">
        <v>5</v>
      </c>
      <c r="E6112">
        <v>1</v>
      </c>
      <c r="F6112" s="15">
        <v>46279</v>
      </c>
      <c r="G6112" s="19" t="s">
        <v>728</v>
      </c>
      <c r="H6112">
        <v>3</v>
      </c>
      <c r="I6112">
        <v>2026</v>
      </c>
      <c r="J6112">
        <v>9</v>
      </c>
      <c r="K6112" s="19" t="s">
        <v>87</v>
      </c>
      <c r="L6112" s="19" t="s">
        <v>14</v>
      </c>
      <c r="M6112" s="19" t="s">
        <v>8</v>
      </c>
      <c r="N6112" t="b">
        <v>0</v>
      </c>
      <c r="O6112">
        <v>0</v>
      </c>
      <c r="P6112">
        <v>1</v>
      </c>
      <c r="Q6112">
        <v>0</v>
      </c>
      <c r="R6112">
        <v>1</v>
      </c>
    </row>
    <row r="6113" spans="1:18" x14ac:dyDescent="0.45">
      <c r="A6113" s="19" t="s">
        <v>11</v>
      </c>
      <c r="B6113" s="19" t="s">
        <v>6</v>
      </c>
      <c r="C6113">
        <v>2</v>
      </c>
      <c r="D6113">
        <v>5</v>
      </c>
      <c r="E6113">
        <v>1</v>
      </c>
      <c r="F6113" s="15">
        <v>46279</v>
      </c>
      <c r="G6113" s="19" t="s">
        <v>728</v>
      </c>
      <c r="H6113">
        <v>3</v>
      </c>
      <c r="I6113">
        <v>2026</v>
      </c>
      <c r="J6113">
        <v>9</v>
      </c>
      <c r="K6113" s="19" t="s">
        <v>87</v>
      </c>
      <c r="L6113" s="19" t="s">
        <v>20</v>
      </c>
      <c r="M6113" s="19" t="s">
        <v>6</v>
      </c>
      <c r="N6113" t="b">
        <v>0</v>
      </c>
      <c r="O6113">
        <v>0</v>
      </c>
      <c r="P6113">
        <v>1</v>
      </c>
      <c r="Q6113">
        <v>0</v>
      </c>
      <c r="R6113">
        <v>0</v>
      </c>
    </row>
    <row r="6114" spans="1:18" x14ac:dyDescent="0.45">
      <c r="A6114" s="19" t="s">
        <v>20</v>
      </c>
      <c r="B6114" s="19" t="s">
        <v>6</v>
      </c>
      <c r="C6114">
        <v>3</v>
      </c>
      <c r="D6114">
        <v>5</v>
      </c>
      <c r="E6114">
        <v>1</v>
      </c>
      <c r="F6114" s="15">
        <v>46279</v>
      </c>
      <c r="G6114" s="19" t="s">
        <v>728</v>
      </c>
      <c r="H6114">
        <v>3</v>
      </c>
      <c r="I6114">
        <v>2026</v>
      </c>
      <c r="J6114">
        <v>9</v>
      </c>
      <c r="K6114" s="19" t="s">
        <v>87</v>
      </c>
      <c r="L6114" s="19" t="s">
        <v>14</v>
      </c>
      <c r="M6114" s="19" t="s">
        <v>8</v>
      </c>
      <c r="N6114" t="b">
        <v>0</v>
      </c>
      <c r="O6114">
        <v>0</v>
      </c>
      <c r="P6114">
        <v>1</v>
      </c>
      <c r="Q6114">
        <v>0</v>
      </c>
      <c r="R6114">
        <v>1</v>
      </c>
    </row>
    <row r="6115" spans="1:18" x14ac:dyDescent="0.45">
      <c r="A6115" s="19" t="s">
        <v>20</v>
      </c>
      <c r="B6115" s="19" t="s">
        <v>6</v>
      </c>
      <c r="C6115">
        <v>3</v>
      </c>
      <c r="D6115">
        <v>5</v>
      </c>
      <c r="E6115">
        <v>1</v>
      </c>
      <c r="F6115" s="15">
        <v>46279</v>
      </c>
      <c r="G6115" s="19" t="s">
        <v>728</v>
      </c>
      <c r="H6115">
        <v>3</v>
      </c>
      <c r="I6115">
        <v>2026</v>
      </c>
      <c r="J6115">
        <v>9</v>
      </c>
      <c r="K6115" s="19" t="s">
        <v>87</v>
      </c>
      <c r="L6115" s="19" t="s">
        <v>11</v>
      </c>
      <c r="M6115" s="19" t="s">
        <v>6</v>
      </c>
      <c r="N6115" t="b">
        <v>0</v>
      </c>
      <c r="O6115">
        <v>0</v>
      </c>
      <c r="P6115">
        <v>1</v>
      </c>
      <c r="Q6115">
        <v>0</v>
      </c>
      <c r="R6115">
        <v>0</v>
      </c>
    </row>
    <row r="6116" spans="1:18" x14ac:dyDescent="0.45">
      <c r="A6116" s="19" t="s">
        <v>41</v>
      </c>
      <c r="B6116" s="19" t="s">
        <v>6</v>
      </c>
      <c r="C6116">
        <v>1</v>
      </c>
      <c r="D6116">
        <v>1</v>
      </c>
      <c r="E6116">
        <v>2</v>
      </c>
      <c r="F6116" s="15">
        <v>46279</v>
      </c>
      <c r="G6116" s="19" t="s">
        <v>729</v>
      </c>
      <c r="H6116">
        <v>4</v>
      </c>
      <c r="I6116">
        <v>2026</v>
      </c>
      <c r="J6116">
        <v>9</v>
      </c>
      <c r="K6116" s="19" t="s">
        <v>87</v>
      </c>
      <c r="L6116" s="19" t="s">
        <v>578</v>
      </c>
      <c r="M6116" s="19" t="s">
        <v>6</v>
      </c>
      <c r="N6116" t="b">
        <v>0</v>
      </c>
      <c r="O6116">
        <v>0</v>
      </c>
      <c r="P6116">
        <v>1</v>
      </c>
      <c r="Q6116">
        <v>0</v>
      </c>
      <c r="R6116">
        <v>0</v>
      </c>
    </row>
    <row r="6117" spans="1:18" x14ac:dyDescent="0.45">
      <c r="A6117" s="19" t="s">
        <v>41</v>
      </c>
      <c r="B6117" s="19" t="s">
        <v>6</v>
      </c>
      <c r="C6117">
        <v>1</v>
      </c>
      <c r="D6117">
        <v>1</v>
      </c>
      <c r="E6117">
        <v>2</v>
      </c>
      <c r="F6117" s="15">
        <v>46279</v>
      </c>
      <c r="G6117" s="19" t="s">
        <v>729</v>
      </c>
      <c r="H6117">
        <v>4</v>
      </c>
      <c r="I6117">
        <v>2026</v>
      </c>
      <c r="J6117">
        <v>9</v>
      </c>
      <c r="K6117" s="19" t="s">
        <v>87</v>
      </c>
      <c r="L6117" s="19" t="s">
        <v>14</v>
      </c>
      <c r="M6117" s="19" t="s">
        <v>8</v>
      </c>
      <c r="N6117" t="b">
        <v>0</v>
      </c>
      <c r="O6117">
        <v>0</v>
      </c>
      <c r="P6117">
        <v>1</v>
      </c>
      <c r="Q6117">
        <v>0</v>
      </c>
      <c r="R6117">
        <v>1</v>
      </c>
    </row>
    <row r="6118" spans="1:18" x14ac:dyDescent="0.45">
      <c r="A6118" s="19" t="s">
        <v>41</v>
      </c>
      <c r="B6118" s="19" t="s">
        <v>6</v>
      </c>
      <c r="C6118">
        <v>1</v>
      </c>
      <c r="D6118">
        <v>1</v>
      </c>
      <c r="E6118">
        <v>2</v>
      </c>
      <c r="F6118" s="15">
        <v>46279</v>
      </c>
      <c r="G6118" s="19" t="s">
        <v>729</v>
      </c>
      <c r="H6118">
        <v>4</v>
      </c>
      <c r="I6118">
        <v>2026</v>
      </c>
      <c r="J6118">
        <v>9</v>
      </c>
      <c r="K6118" s="19" t="s">
        <v>87</v>
      </c>
      <c r="L6118" s="19" t="s">
        <v>17</v>
      </c>
      <c r="M6118" s="19" t="s">
        <v>6</v>
      </c>
      <c r="N6118" t="b">
        <v>0</v>
      </c>
      <c r="O6118">
        <v>0</v>
      </c>
      <c r="P6118">
        <v>1</v>
      </c>
      <c r="Q6118">
        <v>0</v>
      </c>
      <c r="R6118">
        <v>0</v>
      </c>
    </row>
    <row r="6119" spans="1:18" x14ac:dyDescent="0.45">
      <c r="A6119" s="19" t="s">
        <v>578</v>
      </c>
      <c r="B6119" s="19" t="s">
        <v>6</v>
      </c>
      <c r="C6119">
        <v>2</v>
      </c>
      <c r="D6119">
        <v>1</v>
      </c>
      <c r="E6119">
        <v>2</v>
      </c>
      <c r="F6119" s="15">
        <v>46279</v>
      </c>
      <c r="G6119" s="19" t="s">
        <v>729</v>
      </c>
      <c r="H6119">
        <v>4</v>
      </c>
      <c r="I6119">
        <v>2026</v>
      </c>
      <c r="J6119">
        <v>9</v>
      </c>
      <c r="K6119" s="19" t="s">
        <v>87</v>
      </c>
      <c r="L6119" s="19" t="s">
        <v>41</v>
      </c>
      <c r="M6119" s="19" t="s">
        <v>6</v>
      </c>
      <c r="N6119" t="b">
        <v>0</v>
      </c>
      <c r="O6119">
        <v>0</v>
      </c>
      <c r="P6119">
        <v>1</v>
      </c>
      <c r="Q6119">
        <v>0</v>
      </c>
      <c r="R6119">
        <v>0</v>
      </c>
    </row>
    <row r="6120" spans="1:18" x14ac:dyDescent="0.45">
      <c r="A6120" s="19" t="s">
        <v>578</v>
      </c>
      <c r="B6120" s="19" t="s">
        <v>6</v>
      </c>
      <c r="C6120">
        <v>2</v>
      </c>
      <c r="D6120">
        <v>1</v>
      </c>
      <c r="E6120">
        <v>2</v>
      </c>
      <c r="F6120" s="15">
        <v>46279</v>
      </c>
      <c r="G6120" s="19" t="s">
        <v>729</v>
      </c>
      <c r="H6120">
        <v>4</v>
      </c>
      <c r="I6120">
        <v>2026</v>
      </c>
      <c r="J6120">
        <v>9</v>
      </c>
      <c r="K6120" s="19" t="s">
        <v>87</v>
      </c>
      <c r="L6120" s="19" t="s">
        <v>14</v>
      </c>
      <c r="M6120" s="19" t="s">
        <v>8</v>
      </c>
      <c r="N6120" t="b">
        <v>0</v>
      </c>
      <c r="O6120">
        <v>0</v>
      </c>
      <c r="P6120">
        <v>1</v>
      </c>
      <c r="Q6120">
        <v>0</v>
      </c>
      <c r="R6120">
        <v>1</v>
      </c>
    </row>
    <row r="6121" spans="1:18" x14ac:dyDescent="0.45">
      <c r="A6121" s="19" t="s">
        <v>578</v>
      </c>
      <c r="B6121" s="19" t="s">
        <v>6</v>
      </c>
      <c r="C6121">
        <v>2</v>
      </c>
      <c r="D6121">
        <v>1</v>
      </c>
      <c r="E6121">
        <v>2</v>
      </c>
      <c r="F6121" s="15">
        <v>46279</v>
      </c>
      <c r="G6121" s="19" t="s">
        <v>729</v>
      </c>
      <c r="H6121">
        <v>4</v>
      </c>
      <c r="I6121">
        <v>2026</v>
      </c>
      <c r="J6121">
        <v>9</v>
      </c>
      <c r="K6121" s="19" t="s">
        <v>87</v>
      </c>
      <c r="L6121" s="19" t="s">
        <v>17</v>
      </c>
      <c r="M6121" s="19" t="s">
        <v>6</v>
      </c>
      <c r="N6121" t="b">
        <v>0</v>
      </c>
      <c r="O6121">
        <v>0</v>
      </c>
      <c r="P6121">
        <v>1</v>
      </c>
      <c r="Q6121">
        <v>0</v>
      </c>
      <c r="R6121">
        <v>0</v>
      </c>
    </row>
    <row r="6122" spans="1:18" x14ac:dyDescent="0.45">
      <c r="A6122" s="19" t="s">
        <v>14</v>
      </c>
      <c r="B6122" s="19" t="s">
        <v>8</v>
      </c>
      <c r="C6122">
        <v>3</v>
      </c>
      <c r="D6122">
        <v>1</v>
      </c>
      <c r="E6122">
        <v>2</v>
      </c>
      <c r="F6122" s="15">
        <v>46279</v>
      </c>
      <c r="G6122" s="19" t="s">
        <v>729</v>
      </c>
      <c r="H6122">
        <v>4</v>
      </c>
      <c r="I6122">
        <v>2026</v>
      </c>
      <c r="J6122">
        <v>9</v>
      </c>
      <c r="K6122" s="19" t="s">
        <v>87</v>
      </c>
      <c r="L6122" s="19" t="s">
        <v>41</v>
      </c>
      <c r="M6122" s="19" t="s">
        <v>6</v>
      </c>
      <c r="N6122" t="b">
        <v>0</v>
      </c>
      <c r="O6122">
        <v>1</v>
      </c>
      <c r="P6122">
        <v>0</v>
      </c>
      <c r="Q6122">
        <v>0</v>
      </c>
      <c r="R6122">
        <v>0</v>
      </c>
    </row>
    <row r="6123" spans="1:18" x14ac:dyDescent="0.45">
      <c r="A6123" s="19" t="s">
        <v>14</v>
      </c>
      <c r="B6123" s="19" t="s">
        <v>8</v>
      </c>
      <c r="C6123">
        <v>3</v>
      </c>
      <c r="D6123">
        <v>1</v>
      </c>
      <c r="E6123">
        <v>2</v>
      </c>
      <c r="F6123" s="15">
        <v>46279</v>
      </c>
      <c r="G6123" s="19" t="s">
        <v>729</v>
      </c>
      <c r="H6123">
        <v>4</v>
      </c>
      <c r="I6123">
        <v>2026</v>
      </c>
      <c r="J6123">
        <v>9</v>
      </c>
      <c r="K6123" s="19" t="s">
        <v>87</v>
      </c>
      <c r="L6123" s="19" t="s">
        <v>578</v>
      </c>
      <c r="M6123" s="19" t="s">
        <v>6</v>
      </c>
      <c r="N6123" t="b">
        <v>0</v>
      </c>
      <c r="O6123">
        <v>1</v>
      </c>
      <c r="P6123">
        <v>0</v>
      </c>
      <c r="Q6123">
        <v>0</v>
      </c>
      <c r="R6123">
        <v>0</v>
      </c>
    </row>
    <row r="6124" spans="1:18" x14ac:dyDescent="0.45">
      <c r="A6124" s="19" t="s">
        <v>14</v>
      </c>
      <c r="B6124" s="19" t="s">
        <v>8</v>
      </c>
      <c r="C6124">
        <v>3</v>
      </c>
      <c r="D6124">
        <v>1</v>
      </c>
      <c r="E6124">
        <v>2</v>
      </c>
      <c r="F6124" s="15">
        <v>46279</v>
      </c>
      <c r="G6124" s="19" t="s">
        <v>729</v>
      </c>
      <c r="H6124">
        <v>4</v>
      </c>
      <c r="I6124">
        <v>2026</v>
      </c>
      <c r="J6124">
        <v>9</v>
      </c>
      <c r="K6124" s="19" t="s">
        <v>87</v>
      </c>
      <c r="L6124" s="19" t="s">
        <v>17</v>
      </c>
      <c r="M6124" s="19" t="s">
        <v>6</v>
      </c>
      <c r="N6124" t="b">
        <v>0</v>
      </c>
      <c r="O6124">
        <v>1</v>
      </c>
      <c r="P6124">
        <v>0</v>
      </c>
      <c r="Q6124">
        <v>0</v>
      </c>
      <c r="R6124">
        <v>0</v>
      </c>
    </row>
    <row r="6125" spans="1:18" x14ac:dyDescent="0.45">
      <c r="A6125" s="19" t="s">
        <v>17</v>
      </c>
      <c r="B6125" s="19" t="s">
        <v>6</v>
      </c>
      <c r="C6125">
        <v>4</v>
      </c>
      <c r="D6125">
        <v>1</v>
      </c>
      <c r="E6125">
        <v>2</v>
      </c>
      <c r="F6125" s="15">
        <v>46279</v>
      </c>
      <c r="G6125" s="19" t="s">
        <v>729</v>
      </c>
      <c r="H6125">
        <v>4</v>
      </c>
      <c r="I6125">
        <v>2026</v>
      </c>
      <c r="J6125">
        <v>9</v>
      </c>
      <c r="K6125" s="19" t="s">
        <v>87</v>
      </c>
      <c r="L6125" s="19" t="s">
        <v>41</v>
      </c>
      <c r="M6125" s="19" t="s">
        <v>6</v>
      </c>
      <c r="N6125" t="b">
        <v>0</v>
      </c>
      <c r="O6125">
        <v>0</v>
      </c>
      <c r="P6125">
        <v>1</v>
      </c>
      <c r="Q6125">
        <v>0</v>
      </c>
      <c r="R6125">
        <v>0</v>
      </c>
    </row>
    <row r="6126" spans="1:18" x14ac:dyDescent="0.45">
      <c r="A6126" s="19" t="s">
        <v>17</v>
      </c>
      <c r="B6126" s="19" t="s">
        <v>6</v>
      </c>
      <c r="C6126">
        <v>4</v>
      </c>
      <c r="D6126">
        <v>1</v>
      </c>
      <c r="E6126">
        <v>2</v>
      </c>
      <c r="F6126" s="15">
        <v>46279</v>
      </c>
      <c r="G6126" s="19" t="s">
        <v>729</v>
      </c>
      <c r="H6126">
        <v>4</v>
      </c>
      <c r="I6126">
        <v>2026</v>
      </c>
      <c r="J6126">
        <v>9</v>
      </c>
      <c r="K6126" s="19" t="s">
        <v>87</v>
      </c>
      <c r="L6126" s="19" t="s">
        <v>578</v>
      </c>
      <c r="M6126" s="19" t="s">
        <v>6</v>
      </c>
      <c r="N6126" t="b">
        <v>0</v>
      </c>
      <c r="O6126">
        <v>0</v>
      </c>
      <c r="P6126">
        <v>1</v>
      </c>
      <c r="Q6126">
        <v>0</v>
      </c>
      <c r="R6126">
        <v>0</v>
      </c>
    </row>
    <row r="6127" spans="1:18" x14ac:dyDescent="0.45">
      <c r="A6127" s="19" t="s">
        <v>17</v>
      </c>
      <c r="B6127" s="19" t="s">
        <v>6</v>
      </c>
      <c r="C6127">
        <v>4</v>
      </c>
      <c r="D6127">
        <v>1</v>
      </c>
      <c r="E6127">
        <v>2</v>
      </c>
      <c r="F6127" s="15">
        <v>46279</v>
      </c>
      <c r="G6127" s="19" t="s">
        <v>729</v>
      </c>
      <c r="H6127">
        <v>4</v>
      </c>
      <c r="I6127">
        <v>2026</v>
      </c>
      <c r="J6127">
        <v>9</v>
      </c>
      <c r="K6127" s="19" t="s">
        <v>87</v>
      </c>
      <c r="L6127" s="19" t="s">
        <v>14</v>
      </c>
      <c r="M6127" s="19" t="s">
        <v>8</v>
      </c>
      <c r="N6127" t="b">
        <v>0</v>
      </c>
      <c r="O6127">
        <v>0</v>
      </c>
      <c r="P6127">
        <v>1</v>
      </c>
      <c r="Q6127">
        <v>0</v>
      </c>
      <c r="R6127">
        <v>1</v>
      </c>
    </row>
    <row r="6128" spans="1:18" x14ac:dyDescent="0.45">
      <c r="A6128" s="19" t="s">
        <v>609</v>
      </c>
      <c r="B6128" s="19" t="s">
        <v>8</v>
      </c>
      <c r="C6128">
        <v>1</v>
      </c>
      <c r="D6128">
        <v>2</v>
      </c>
      <c r="E6128">
        <v>2</v>
      </c>
      <c r="F6128" s="15">
        <v>46279</v>
      </c>
      <c r="G6128" s="19" t="s">
        <v>730</v>
      </c>
      <c r="H6128">
        <v>4</v>
      </c>
      <c r="I6128">
        <v>2026</v>
      </c>
      <c r="J6128">
        <v>9</v>
      </c>
      <c r="K6128" s="19" t="s">
        <v>87</v>
      </c>
      <c r="L6128" s="19" t="s">
        <v>325</v>
      </c>
      <c r="M6128" s="19" t="s">
        <v>6</v>
      </c>
      <c r="N6128" t="b">
        <v>0</v>
      </c>
      <c r="O6128">
        <v>1</v>
      </c>
      <c r="P6128">
        <v>0</v>
      </c>
      <c r="Q6128">
        <v>0</v>
      </c>
      <c r="R6128">
        <v>0</v>
      </c>
    </row>
    <row r="6129" spans="1:18" x14ac:dyDescent="0.45">
      <c r="A6129" s="19" t="s">
        <v>609</v>
      </c>
      <c r="B6129" s="19" t="s">
        <v>8</v>
      </c>
      <c r="C6129">
        <v>1</v>
      </c>
      <c r="D6129">
        <v>2</v>
      </c>
      <c r="E6129">
        <v>2</v>
      </c>
      <c r="F6129" s="15">
        <v>46279</v>
      </c>
      <c r="G6129" s="19" t="s">
        <v>730</v>
      </c>
      <c r="H6129">
        <v>4</v>
      </c>
      <c r="I6129">
        <v>2026</v>
      </c>
      <c r="J6129">
        <v>9</v>
      </c>
      <c r="K6129" s="19" t="s">
        <v>87</v>
      </c>
      <c r="L6129" s="19" t="s">
        <v>723</v>
      </c>
      <c r="M6129" s="19" t="s">
        <v>6</v>
      </c>
      <c r="N6129" t="b">
        <v>0</v>
      </c>
      <c r="O6129">
        <v>1</v>
      </c>
      <c r="P6129">
        <v>0</v>
      </c>
      <c r="Q6129">
        <v>0</v>
      </c>
      <c r="R6129">
        <v>0</v>
      </c>
    </row>
    <row r="6130" spans="1:18" x14ac:dyDescent="0.45">
      <c r="A6130" s="19" t="s">
        <v>609</v>
      </c>
      <c r="B6130" s="19" t="s">
        <v>8</v>
      </c>
      <c r="C6130">
        <v>1</v>
      </c>
      <c r="D6130">
        <v>2</v>
      </c>
      <c r="E6130">
        <v>2</v>
      </c>
      <c r="F6130" s="15">
        <v>46279</v>
      </c>
      <c r="G6130" s="19" t="s">
        <v>730</v>
      </c>
      <c r="H6130">
        <v>4</v>
      </c>
      <c r="I6130">
        <v>2026</v>
      </c>
      <c r="J6130">
        <v>9</v>
      </c>
      <c r="K6130" s="19" t="s">
        <v>87</v>
      </c>
      <c r="L6130" s="19" t="s">
        <v>10</v>
      </c>
      <c r="M6130" s="19" t="s">
        <v>6</v>
      </c>
      <c r="N6130" t="b">
        <v>0</v>
      </c>
      <c r="O6130">
        <v>1</v>
      </c>
      <c r="P6130">
        <v>0</v>
      </c>
      <c r="Q6130">
        <v>0</v>
      </c>
      <c r="R6130">
        <v>0</v>
      </c>
    </row>
    <row r="6131" spans="1:18" x14ac:dyDescent="0.45">
      <c r="A6131" s="19" t="s">
        <v>325</v>
      </c>
      <c r="B6131" s="19" t="s">
        <v>6</v>
      </c>
      <c r="C6131">
        <v>2</v>
      </c>
      <c r="D6131">
        <v>2</v>
      </c>
      <c r="E6131">
        <v>2</v>
      </c>
      <c r="F6131" s="15">
        <v>46279</v>
      </c>
      <c r="G6131" s="19" t="s">
        <v>730</v>
      </c>
      <c r="H6131">
        <v>4</v>
      </c>
      <c r="I6131">
        <v>2026</v>
      </c>
      <c r="J6131">
        <v>9</v>
      </c>
      <c r="K6131" s="19" t="s">
        <v>87</v>
      </c>
      <c r="L6131" s="19" t="s">
        <v>609</v>
      </c>
      <c r="M6131" s="19" t="s">
        <v>8</v>
      </c>
      <c r="N6131" t="b">
        <v>0</v>
      </c>
      <c r="O6131">
        <v>0</v>
      </c>
      <c r="P6131">
        <v>1</v>
      </c>
      <c r="Q6131">
        <v>0</v>
      </c>
      <c r="R6131">
        <v>1</v>
      </c>
    </row>
    <row r="6132" spans="1:18" x14ac:dyDescent="0.45">
      <c r="A6132" s="19" t="s">
        <v>325</v>
      </c>
      <c r="B6132" s="19" t="s">
        <v>6</v>
      </c>
      <c r="C6132">
        <v>2</v>
      </c>
      <c r="D6132">
        <v>2</v>
      </c>
      <c r="E6132">
        <v>2</v>
      </c>
      <c r="F6132" s="15">
        <v>46279</v>
      </c>
      <c r="G6132" s="19" t="s">
        <v>730</v>
      </c>
      <c r="H6132">
        <v>4</v>
      </c>
      <c r="I6132">
        <v>2026</v>
      </c>
      <c r="J6132">
        <v>9</v>
      </c>
      <c r="K6132" s="19" t="s">
        <v>87</v>
      </c>
      <c r="L6132" s="19" t="s">
        <v>723</v>
      </c>
      <c r="M6132" s="19" t="s">
        <v>6</v>
      </c>
      <c r="N6132" t="b">
        <v>0</v>
      </c>
      <c r="O6132">
        <v>0</v>
      </c>
      <c r="P6132">
        <v>1</v>
      </c>
      <c r="Q6132">
        <v>0</v>
      </c>
      <c r="R6132">
        <v>0</v>
      </c>
    </row>
    <row r="6133" spans="1:18" x14ac:dyDescent="0.45">
      <c r="A6133" s="19" t="s">
        <v>325</v>
      </c>
      <c r="B6133" s="19" t="s">
        <v>6</v>
      </c>
      <c r="C6133">
        <v>2</v>
      </c>
      <c r="D6133">
        <v>2</v>
      </c>
      <c r="E6133">
        <v>2</v>
      </c>
      <c r="F6133" s="15">
        <v>46279</v>
      </c>
      <c r="G6133" s="19" t="s">
        <v>730</v>
      </c>
      <c r="H6133">
        <v>4</v>
      </c>
      <c r="I6133">
        <v>2026</v>
      </c>
      <c r="J6133">
        <v>9</v>
      </c>
      <c r="K6133" s="19" t="s">
        <v>87</v>
      </c>
      <c r="L6133" s="19" t="s">
        <v>10</v>
      </c>
      <c r="M6133" s="19" t="s">
        <v>6</v>
      </c>
      <c r="N6133" t="b">
        <v>0</v>
      </c>
      <c r="O6133">
        <v>0</v>
      </c>
      <c r="P6133">
        <v>1</v>
      </c>
      <c r="Q6133">
        <v>0</v>
      </c>
      <c r="R6133">
        <v>0</v>
      </c>
    </row>
    <row r="6134" spans="1:18" x14ac:dyDescent="0.45">
      <c r="A6134" s="19" t="s">
        <v>723</v>
      </c>
      <c r="B6134" s="19" t="s">
        <v>6</v>
      </c>
      <c r="C6134">
        <v>3</v>
      </c>
      <c r="D6134">
        <v>2</v>
      </c>
      <c r="E6134">
        <v>2</v>
      </c>
      <c r="F6134" s="15">
        <v>46279</v>
      </c>
      <c r="G6134" s="19" t="s">
        <v>730</v>
      </c>
      <c r="H6134">
        <v>4</v>
      </c>
      <c r="I6134">
        <v>2026</v>
      </c>
      <c r="J6134">
        <v>9</v>
      </c>
      <c r="K6134" s="19" t="s">
        <v>87</v>
      </c>
      <c r="L6134" s="19" t="s">
        <v>609</v>
      </c>
      <c r="M6134" s="19" t="s">
        <v>8</v>
      </c>
      <c r="N6134" t="b">
        <v>0</v>
      </c>
      <c r="O6134">
        <v>0</v>
      </c>
      <c r="P6134">
        <v>1</v>
      </c>
      <c r="Q6134">
        <v>0</v>
      </c>
      <c r="R6134">
        <v>1</v>
      </c>
    </row>
    <row r="6135" spans="1:18" x14ac:dyDescent="0.45">
      <c r="A6135" s="19" t="s">
        <v>723</v>
      </c>
      <c r="B6135" s="19" t="s">
        <v>6</v>
      </c>
      <c r="C6135">
        <v>3</v>
      </c>
      <c r="D6135">
        <v>2</v>
      </c>
      <c r="E6135">
        <v>2</v>
      </c>
      <c r="F6135" s="15">
        <v>46279</v>
      </c>
      <c r="G6135" s="19" t="s">
        <v>730</v>
      </c>
      <c r="H6135">
        <v>4</v>
      </c>
      <c r="I6135">
        <v>2026</v>
      </c>
      <c r="J6135">
        <v>9</v>
      </c>
      <c r="K6135" s="19" t="s">
        <v>87</v>
      </c>
      <c r="L6135" s="19" t="s">
        <v>325</v>
      </c>
      <c r="M6135" s="19" t="s">
        <v>6</v>
      </c>
      <c r="N6135" t="b">
        <v>0</v>
      </c>
      <c r="O6135">
        <v>0</v>
      </c>
      <c r="P6135">
        <v>1</v>
      </c>
      <c r="Q6135">
        <v>0</v>
      </c>
      <c r="R6135">
        <v>0</v>
      </c>
    </row>
    <row r="6136" spans="1:18" x14ac:dyDescent="0.45">
      <c r="A6136" s="19" t="s">
        <v>723</v>
      </c>
      <c r="B6136" s="19" t="s">
        <v>6</v>
      </c>
      <c r="C6136">
        <v>3</v>
      </c>
      <c r="D6136">
        <v>2</v>
      </c>
      <c r="E6136">
        <v>2</v>
      </c>
      <c r="F6136" s="15">
        <v>46279</v>
      </c>
      <c r="G6136" s="19" t="s">
        <v>730</v>
      </c>
      <c r="H6136">
        <v>4</v>
      </c>
      <c r="I6136">
        <v>2026</v>
      </c>
      <c r="J6136">
        <v>9</v>
      </c>
      <c r="K6136" s="19" t="s">
        <v>87</v>
      </c>
      <c r="L6136" s="19" t="s">
        <v>10</v>
      </c>
      <c r="M6136" s="19" t="s">
        <v>6</v>
      </c>
      <c r="N6136" t="b">
        <v>0</v>
      </c>
      <c r="O6136">
        <v>0</v>
      </c>
      <c r="P6136">
        <v>1</v>
      </c>
      <c r="Q6136">
        <v>0</v>
      </c>
      <c r="R6136">
        <v>0</v>
      </c>
    </row>
    <row r="6137" spans="1:18" x14ac:dyDescent="0.45">
      <c r="A6137" s="19" t="s">
        <v>10</v>
      </c>
      <c r="B6137" s="19" t="s">
        <v>6</v>
      </c>
      <c r="C6137">
        <v>4</v>
      </c>
      <c r="D6137">
        <v>2</v>
      </c>
      <c r="E6137">
        <v>2</v>
      </c>
      <c r="F6137" s="15">
        <v>46279</v>
      </c>
      <c r="G6137" s="19" t="s">
        <v>730</v>
      </c>
      <c r="H6137">
        <v>4</v>
      </c>
      <c r="I6137">
        <v>2026</v>
      </c>
      <c r="J6137">
        <v>9</v>
      </c>
      <c r="K6137" s="19" t="s">
        <v>87</v>
      </c>
      <c r="L6137" s="19" t="s">
        <v>609</v>
      </c>
      <c r="M6137" s="19" t="s">
        <v>8</v>
      </c>
      <c r="N6137" t="b">
        <v>0</v>
      </c>
      <c r="O6137">
        <v>0</v>
      </c>
      <c r="P6137">
        <v>1</v>
      </c>
      <c r="Q6137">
        <v>0</v>
      </c>
      <c r="R6137">
        <v>1</v>
      </c>
    </row>
    <row r="6138" spans="1:18" x14ac:dyDescent="0.45">
      <c r="A6138" s="19" t="s">
        <v>10</v>
      </c>
      <c r="B6138" s="19" t="s">
        <v>6</v>
      </c>
      <c r="C6138">
        <v>4</v>
      </c>
      <c r="D6138">
        <v>2</v>
      </c>
      <c r="E6138">
        <v>2</v>
      </c>
      <c r="F6138" s="15">
        <v>46279</v>
      </c>
      <c r="G6138" s="19" t="s">
        <v>730</v>
      </c>
      <c r="H6138">
        <v>4</v>
      </c>
      <c r="I6138">
        <v>2026</v>
      </c>
      <c r="J6138">
        <v>9</v>
      </c>
      <c r="K6138" s="19" t="s">
        <v>87</v>
      </c>
      <c r="L6138" s="19" t="s">
        <v>325</v>
      </c>
      <c r="M6138" s="19" t="s">
        <v>6</v>
      </c>
      <c r="N6138" t="b">
        <v>0</v>
      </c>
      <c r="O6138">
        <v>0</v>
      </c>
      <c r="P6138">
        <v>1</v>
      </c>
      <c r="Q6138">
        <v>0</v>
      </c>
      <c r="R6138">
        <v>0</v>
      </c>
    </row>
    <row r="6139" spans="1:18" x14ac:dyDescent="0.45">
      <c r="A6139" s="19" t="s">
        <v>10</v>
      </c>
      <c r="B6139" s="19" t="s">
        <v>6</v>
      </c>
      <c r="C6139">
        <v>4</v>
      </c>
      <c r="D6139">
        <v>2</v>
      </c>
      <c r="E6139">
        <v>2</v>
      </c>
      <c r="F6139" s="15">
        <v>46279</v>
      </c>
      <c r="G6139" s="19" t="s">
        <v>730</v>
      </c>
      <c r="H6139">
        <v>4</v>
      </c>
      <c r="I6139">
        <v>2026</v>
      </c>
      <c r="J6139">
        <v>9</v>
      </c>
      <c r="K6139" s="19" t="s">
        <v>87</v>
      </c>
      <c r="L6139" s="19" t="s">
        <v>723</v>
      </c>
      <c r="M6139" s="19" t="s">
        <v>6</v>
      </c>
      <c r="N6139" t="b">
        <v>0</v>
      </c>
      <c r="O6139">
        <v>0</v>
      </c>
      <c r="P6139">
        <v>1</v>
      </c>
      <c r="Q6139">
        <v>0</v>
      </c>
      <c r="R6139">
        <v>0</v>
      </c>
    </row>
    <row r="6140" spans="1:18" x14ac:dyDescent="0.45">
      <c r="A6140" s="19" t="s">
        <v>9</v>
      </c>
      <c r="B6140" s="19" t="s">
        <v>63</v>
      </c>
      <c r="C6140">
        <v>1</v>
      </c>
      <c r="D6140">
        <v>3</v>
      </c>
      <c r="E6140">
        <v>2</v>
      </c>
      <c r="F6140" s="15">
        <v>46279</v>
      </c>
      <c r="G6140" s="19" t="s">
        <v>731</v>
      </c>
      <c r="H6140">
        <v>4</v>
      </c>
      <c r="I6140">
        <v>2026</v>
      </c>
      <c r="J6140">
        <v>9</v>
      </c>
      <c r="K6140" s="19" t="s">
        <v>87</v>
      </c>
      <c r="L6140" s="19" t="s">
        <v>19</v>
      </c>
      <c r="M6140" s="19" t="s">
        <v>63</v>
      </c>
      <c r="N6140" t="b">
        <v>0</v>
      </c>
      <c r="O6140">
        <v>0</v>
      </c>
      <c r="P6140">
        <v>0</v>
      </c>
      <c r="Q6140">
        <v>1</v>
      </c>
      <c r="R6140">
        <v>0</v>
      </c>
    </row>
    <row r="6141" spans="1:18" x14ac:dyDescent="0.45">
      <c r="A6141" s="19" t="s">
        <v>9</v>
      </c>
      <c r="B6141" s="19" t="s">
        <v>63</v>
      </c>
      <c r="C6141">
        <v>1</v>
      </c>
      <c r="D6141">
        <v>3</v>
      </c>
      <c r="E6141">
        <v>2</v>
      </c>
      <c r="F6141" s="15">
        <v>46279</v>
      </c>
      <c r="G6141" s="19" t="s">
        <v>731</v>
      </c>
      <c r="H6141">
        <v>4</v>
      </c>
      <c r="I6141">
        <v>2026</v>
      </c>
      <c r="J6141">
        <v>9</v>
      </c>
      <c r="K6141" s="19" t="s">
        <v>87</v>
      </c>
      <c r="L6141" s="19" t="s">
        <v>11</v>
      </c>
      <c r="M6141" s="19" t="s">
        <v>63</v>
      </c>
      <c r="N6141" t="b">
        <v>0</v>
      </c>
      <c r="O6141">
        <v>0</v>
      </c>
      <c r="P6141">
        <v>0</v>
      </c>
      <c r="Q6141">
        <v>1</v>
      </c>
      <c r="R6141">
        <v>0</v>
      </c>
    </row>
    <row r="6142" spans="1:18" x14ac:dyDescent="0.45">
      <c r="A6142" s="19" t="s">
        <v>9</v>
      </c>
      <c r="B6142" s="19" t="s">
        <v>63</v>
      </c>
      <c r="C6142">
        <v>1</v>
      </c>
      <c r="D6142">
        <v>3</v>
      </c>
      <c r="E6142">
        <v>2</v>
      </c>
      <c r="F6142" s="15">
        <v>46279</v>
      </c>
      <c r="G6142" s="19" t="s">
        <v>731</v>
      </c>
      <c r="H6142">
        <v>4</v>
      </c>
      <c r="I6142">
        <v>2026</v>
      </c>
      <c r="J6142">
        <v>9</v>
      </c>
      <c r="K6142" s="19" t="s">
        <v>87</v>
      </c>
      <c r="L6142" s="19" t="s">
        <v>7</v>
      </c>
      <c r="M6142" s="19" t="s">
        <v>63</v>
      </c>
      <c r="N6142" t="b">
        <v>0</v>
      </c>
      <c r="O6142">
        <v>0</v>
      </c>
      <c r="P6142">
        <v>0</v>
      </c>
      <c r="Q6142">
        <v>1</v>
      </c>
      <c r="R6142">
        <v>0</v>
      </c>
    </row>
    <row r="6143" spans="1:18" x14ac:dyDescent="0.45">
      <c r="A6143" s="19" t="s">
        <v>19</v>
      </c>
      <c r="B6143" s="19" t="s">
        <v>63</v>
      </c>
      <c r="C6143">
        <v>2</v>
      </c>
      <c r="D6143">
        <v>3</v>
      </c>
      <c r="E6143">
        <v>2</v>
      </c>
      <c r="F6143" s="15">
        <v>46279</v>
      </c>
      <c r="G6143" s="19" t="s">
        <v>731</v>
      </c>
      <c r="H6143">
        <v>4</v>
      </c>
      <c r="I6143">
        <v>2026</v>
      </c>
      <c r="J6143">
        <v>9</v>
      </c>
      <c r="K6143" s="19" t="s">
        <v>87</v>
      </c>
      <c r="L6143" s="19" t="s">
        <v>9</v>
      </c>
      <c r="M6143" s="19" t="s">
        <v>63</v>
      </c>
      <c r="N6143" t="b">
        <v>0</v>
      </c>
      <c r="O6143">
        <v>0</v>
      </c>
      <c r="P6143">
        <v>0</v>
      </c>
      <c r="Q6143">
        <v>1</v>
      </c>
      <c r="R6143">
        <v>0</v>
      </c>
    </row>
    <row r="6144" spans="1:18" x14ac:dyDescent="0.45">
      <c r="A6144" s="19" t="s">
        <v>19</v>
      </c>
      <c r="B6144" s="19" t="s">
        <v>63</v>
      </c>
      <c r="C6144">
        <v>2</v>
      </c>
      <c r="D6144">
        <v>3</v>
      </c>
      <c r="E6144">
        <v>2</v>
      </c>
      <c r="F6144" s="15">
        <v>46279</v>
      </c>
      <c r="G6144" s="19" t="s">
        <v>731</v>
      </c>
      <c r="H6144">
        <v>4</v>
      </c>
      <c r="I6144">
        <v>2026</v>
      </c>
      <c r="J6144">
        <v>9</v>
      </c>
      <c r="K6144" s="19" t="s">
        <v>87</v>
      </c>
      <c r="L6144" s="19" t="s">
        <v>11</v>
      </c>
      <c r="M6144" s="19" t="s">
        <v>63</v>
      </c>
      <c r="N6144" t="b">
        <v>0</v>
      </c>
      <c r="O6144">
        <v>0</v>
      </c>
      <c r="P6144">
        <v>0</v>
      </c>
      <c r="Q6144">
        <v>1</v>
      </c>
      <c r="R6144">
        <v>0</v>
      </c>
    </row>
    <row r="6145" spans="1:18" x14ac:dyDescent="0.45">
      <c r="A6145" s="19" t="s">
        <v>19</v>
      </c>
      <c r="B6145" s="19" t="s">
        <v>63</v>
      </c>
      <c r="C6145">
        <v>2</v>
      </c>
      <c r="D6145">
        <v>3</v>
      </c>
      <c r="E6145">
        <v>2</v>
      </c>
      <c r="F6145" s="15">
        <v>46279</v>
      </c>
      <c r="G6145" s="19" t="s">
        <v>731</v>
      </c>
      <c r="H6145">
        <v>4</v>
      </c>
      <c r="I6145">
        <v>2026</v>
      </c>
      <c r="J6145">
        <v>9</v>
      </c>
      <c r="K6145" s="19" t="s">
        <v>87</v>
      </c>
      <c r="L6145" s="19" t="s">
        <v>7</v>
      </c>
      <c r="M6145" s="19" t="s">
        <v>63</v>
      </c>
      <c r="N6145" t="b">
        <v>0</v>
      </c>
      <c r="O6145">
        <v>0</v>
      </c>
      <c r="P6145">
        <v>0</v>
      </c>
      <c r="Q6145">
        <v>1</v>
      </c>
      <c r="R6145">
        <v>0</v>
      </c>
    </row>
    <row r="6146" spans="1:18" x14ac:dyDescent="0.45">
      <c r="A6146" s="19" t="s">
        <v>11</v>
      </c>
      <c r="B6146" s="19" t="s">
        <v>63</v>
      </c>
      <c r="C6146">
        <v>3</v>
      </c>
      <c r="D6146">
        <v>3</v>
      </c>
      <c r="E6146">
        <v>2</v>
      </c>
      <c r="F6146" s="15">
        <v>46279</v>
      </c>
      <c r="G6146" s="19" t="s">
        <v>731</v>
      </c>
      <c r="H6146">
        <v>4</v>
      </c>
      <c r="I6146">
        <v>2026</v>
      </c>
      <c r="J6146">
        <v>9</v>
      </c>
      <c r="K6146" s="19" t="s">
        <v>87</v>
      </c>
      <c r="L6146" s="19" t="s">
        <v>9</v>
      </c>
      <c r="M6146" s="19" t="s">
        <v>63</v>
      </c>
      <c r="N6146" t="b">
        <v>0</v>
      </c>
      <c r="O6146">
        <v>0</v>
      </c>
      <c r="P6146">
        <v>0</v>
      </c>
      <c r="Q6146">
        <v>1</v>
      </c>
      <c r="R6146">
        <v>0</v>
      </c>
    </row>
    <row r="6147" spans="1:18" x14ac:dyDescent="0.45">
      <c r="A6147" s="19" t="s">
        <v>11</v>
      </c>
      <c r="B6147" s="19" t="s">
        <v>63</v>
      </c>
      <c r="C6147">
        <v>3</v>
      </c>
      <c r="D6147">
        <v>3</v>
      </c>
      <c r="E6147">
        <v>2</v>
      </c>
      <c r="F6147" s="15">
        <v>46279</v>
      </c>
      <c r="G6147" s="19" t="s">
        <v>731</v>
      </c>
      <c r="H6147">
        <v>4</v>
      </c>
      <c r="I6147">
        <v>2026</v>
      </c>
      <c r="J6147">
        <v>9</v>
      </c>
      <c r="K6147" s="19" t="s">
        <v>87</v>
      </c>
      <c r="L6147" s="19" t="s">
        <v>19</v>
      </c>
      <c r="M6147" s="19" t="s">
        <v>63</v>
      </c>
      <c r="N6147" t="b">
        <v>0</v>
      </c>
      <c r="O6147">
        <v>0</v>
      </c>
      <c r="P6147">
        <v>0</v>
      </c>
      <c r="Q6147">
        <v>1</v>
      </c>
      <c r="R6147">
        <v>0</v>
      </c>
    </row>
    <row r="6148" spans="1:18" x14ac:dyDescent="0.45">
      <c r="A6148" s="19" t="s">
        <v>11</v>
      </c>
      <c r="B6148" s="19" t="s">
        <v>63</v>
      </c>
      <c r="C6148">
        <v>3</v>
      </c>
      <c r="D6148">
        <v>3</v>
      </c>
      <c r="E6148">
        <v>2</v>
      </c>
      <c r="F6148" s="15">
        <v>46279</v>
      </c>
      <c r="G6148" s="19" t="s">
        <v>731</v>
      </c>
      <c r="H6148">
        <v>4</v>
      </c>
      <c r="I6148">
        <v>2026</v>
      </c>
      <c r="J6148">
        <v>9</v>
      </c>
      <c r="K6148" s="19" t="s">
        <v>87</v>
      </c>
      <c r="L6148" s="19" t="s">
        <v>7</v>
      </c>
      <c r="M6148" s="19" t="s">
        <v>63</v>
      </c>
      <c r="N6148" t="b">
        <v>0</v>
      </c>
      <c r="O6148">
        <v>0</v>
      </c>
      <c r="P6148">
        <v>0</v>
      </c>
      <c r="Q6148">
        <v>1</v>
      </c>
      <c r="R6148">
        <v>0</v>
      </c>
    </row>
    <row r="6149" spans="1:18" x14ac:dyDescent="0.45">
      <c r="A6149" s="19" t="s">
        <v>7</v>
      </c>
      <c r="B6149" s="19" t="s">
        <v>63</v>
      </c>
      <c r="C6149">
        <v>4</v>
      </c>
      <c r="D6149">
        <v>3</v>
      </c>
      <c r="E6149">
        <v>2</v>
      </c>
      <c r="F6149" s="15">
        <v>46279</v>
      </c>
      <c r="G6149" s="19" t="s">
        <v>731</v>
      </c>
      <c r="H6149">
        <v>4</v>
      </c>
      <c r="I6149">
        <v>2026</v>
      </c>
      <c r="J6149">
        <v>9</v>
      </c>
      <c r="K6149" s="19" t="s">
        <v>87</v>
      </c>
      <c r="L6149" s="19" t="s">
        <v>9</v>
      </c>
      <c r="M6149" s="19" t="s">
        <v>63</v>
      </c>
      <c r="N6149" t="b">
        <v>0</v>
      </c>
      <c r="O6149">
        <v>0</v>
      </c>
      <c r="P6149">
        <v>0</v>
      </c>
      <c r="Q6149">
        <v>1</v>
      </c>
      <c r="R6149">
        <v>0</v>
      </c>
    </row>
    <row r="6150" spans="1:18" x14ac:dyDescent="0.45">
      <c r="A6150" s="19" t="s">
        <v>7</v>
      </c>
      <c r="B6150" s="19" t="s">
        <v>63</v>
      </c>
      <c r="C6150">
        <v>4</v>
      </c>
      <c r="D6150">
        <v>3</v>
      </c>
      <c r="E6150">
        <v>2</v>
      </c>
      <c r="F6150" s="15">
        <v>46279</v>
      </c>
      <c r="G6150" s="19" t="s">
        <v>731</v>
      </c>
      <c r="H6150">
        <v>4</v>
      </c>
      <c r="I6150">
        <v>2026</v>
      </c>
      <c r="J6150">
        <v>9</v>
      </c>
      <c r="K6150" s="19" t="s">
        <v>87</v>
      </c>
      <c r="L6150" s="19" t="s">
        <v>19</v>
      </c>
      <c r="M6150" s="19" t="s">
        <v>63</v>
      </c>
      <c r="N6150" t="b">
        <v>0</v>
      </c>
      <c r="O6150">
        <v>0</v>
      </c>
      <c r="P6150">
        <v>0</v>
      </c>
      <c r="Q6150">
        <v>1</v>
      </c>
      <c r="R6150">
        <v>0</v>
      </c>
    </row>
    <row r="6151" spans="1:18" x14ac:dyDescent="0.45">
      <c r="A6151" s="19" t="s">
        <v>7</v>
      </c>
      <c r="B6151" s="19" t="s">
        <v>63</v>
      </c>
      <c r="C6151">
        <v>4</v>
      </c>
      <c r="D6151">
        <v>3</v>
      </c>
      <c r="E6151">
        <v>2</v>
      </c>
      <c r="F6151" s="15">
        <v>46279</v>
      </c>
      <c r="G6151" s="19" t="s">
        <v>731</v>
      </c>
      <c r="H6151">
        <v>4</v>
      </c>
      <c r="I6151">
        <v>2026</v>
      </c>
      <c r="J6151">
        <v>9</v>
      </c>
      <c r="K6151" s="19" t="s">
        <v>87</v>
      </c>
      <c r="L6151" s="19" t="s">
        <v>11</v>
      </c>
      <c r="M6151" s="19" t="s">
        <v>63</v>
      </c>
      <c r="N6151" t="b">
        <v>0</v>
      </c>
      <c r="O6151">
        <v>0</v>
      </c>
      <c r="P6151">
        <v>0</v>
      </c>
      <c r="Q6151">
        <v>1</v>
      </c>
      <c r="R6151">
        <v>0</v>
      </c>
    </row>
    <row r="6152" spans="1:18" x14ac:dyDescent="0.45">
      <c r="A6152" s="19" t="s">
        <v>519</v>
      </c>
      <c r="B6152" s="19" t="s">
        <v>6</v>
      </c>
      <c r="C6152">
        <v>1</v>
      </c>
      <c r="D6152">
        <v>4</v>
      </c>
      <c r="E6152">
        <v>2</v>
      </c>
      <c r="F6152" s="15">
        <v>46279</v>
      </c>
      <c r="G6152" s="19" t="s">
        <v>732</v>
      </c>
      <c r="H6152">
        <v>3</v>
      </c>
      <c r="I6152">
        <v>2026</v>
      </c>
      <c r="J6152">
        <v>9</v>
      </c>
      <c r="K6152" s="19" t="s">
        <v>87</v>
      </c>
      <c r="L6152" s="19" t="s">
        <v>15</v>
      </c>
      <c r="M6152" s="19" t="s">
        <v>8</v>
      </c>
      <c r="N6152" t="b">
        <v>0</v>
      </c>
      <c r="O6152">
        <v>0</v>
      </c>
      <c r="P6152">
        <v>1</v>
      </c>
      <c r="Q6152">
        <v>0</v>
      </c>
      <c r="R6152">
        <v>1</v>
      </c>
    </row>
    <row r="6153" spans="1:18" x14ac:dyDescent="0.45">
      <c r="A6153" s="19" t="s">
        <v>519</v>
      </c>
      <c r="B6153" s="19" t="s">
        <v>6</v>
      </c>
      <c r="C6153">
        <v>1</v>
      </c>
      <c r="D6153">
        <v>4</v>
      </c>
      <c r="E6153">
        <v>2</v>
      </c>
      <c r="F6153" s="15">
        <v>46279</v>
      </c>
      <c r="G6153" s="19" t="s">
        <v>732</v>
      </c>
      <c r="H6153">
        <v>3</v>
      </c>
      <c r="I6153">
        <v>2026</v>
      </c>
      <c r="J6153">
        <v>9</v>
      </c>
      <c r="K6153" s="19" t="s">
        <v>87</v>
      </c>
      <c r="L6153" s="19" t="s">
        <v>28</v>
      </c>
      <c r="M6153" s="19" t="s">
        <v>6</v>
      </c>
      <c r="N6153" t="b">
        <v>0</v>
      </c>
      <c r="O6153">
        <v>0</v>
      </c>
      <c r="P6153">
        <v>1</v>
      </c>
      <c r="Q6153">
        <v>0</v>
      </c>
      <c r="R6153">
        <v>0</v>
      </c>
    </row>
    <row r="6154" spans="1:18" x14ac:dyDescent="0.45">
      <c r="A6154" s="19" t="s">
        <v>15</v>
      </c>
      <c r="B6154" s="19" t="s">
        <v>8</v>
      </c>
      <c r="C6154">
        <v>2</v>
      </c>
      <c r="D6154">
        <v>4</v>
      </c>
      <c r="E6154">
        <v>2</v>
      </c>
      <c r="F6154" s="15">
        <v>46279</v>
      </c>
      <c r="G6154" s="19" t="s">
        <v>732</v>
      </c>
      <c r="H6154">
        <v>3</v>
      </c>
      <c r="I6154">
        <v>2026</v>
      </c>
      <c r="J6154">
        <v>9</v>
      </c>
      <c r="K6154" s="19" t="s">
        <v>87</v>
      </c>
      <c r="L6154" s="19" t="s">
        <v>519</v>
      </c>
      <c r="M6154" s="19" t="s">
        <v>6</v>
      </c>
      <c r="N6154" t="b">
        <v>0</v>
      </c>
      <c r="O6154">
        <v>1</v>
      </c>
      <c r="P6154">
        <v>0</v>
      </c>
      <c r="Q6154">
        <v>0</v>
      </c>
      <c r="R6154">
        <v>0</v>
      </c>
    </row>
    <row r="6155" spans="1:18" x14ac:dyDescent="0.45">
      <c r="A6155" s="19" t="s">
        <v>15</v>
      </c>
      <c r="B6155" s="19" t="s">
        <v>8</v>
      </c>
      <c r="C6155">
        <v>2</v>
      </c>
      <c r="D6155">
        <v>4</v>
      </c>
      <c r="E6155">
        <v>2</v>
      </c>
      <c r="F6155" s="15">
        <v>46279</v>
      </c>
      <c r="G6155" s="19" t="s">
        <v>732</v>
      </c>
      <c r="H6155">
        <v>3</v>
      </c>
      <c r="I6155">
        <v>2026</v>
      </c>
      <c r="J6155">
        <v>9</v>
      </c>
      <c r="K6155" s="19" t="s">
        <v>87</v>
      </c>
      <c r="L6155" s="19" t="s">
        <v>28</v>
      </c>
      <c r="M6155" s="19" t="s">
        <v>6</v>
      </c>
      <c r="N6155" t="b">
        <v>0</v>
      </c>
      <c r="O6155">
        <v>1</v>
      </c>
      <c r="P6155">
        <v>0</v>
      </c>
      <c r="Q6155">
        <v>0</v>
      </c>
      <c r="R6155">
        <v>0</v>
      </c>
    </row>
    <row r="6156" spans="1:18" x14ac:dyDescent="0.45">
      <c r="A6156" s="19" t="s">
        <v>28</v>
      </c>
      <c r="B6156" s="19" t="s">
        <v>6</v>
      </c>
      <c r="C6156">
        <v>3</v>
      </c>
      <c r="D6156">
        <v>4</v>
      </c>
      <c r="E6156">
        <v>2</v>
      </c>
      <c r="F6156" s="15">
        <v>46279</v>
      </c>
      <c r="G6156" s="19" t="s">
        <v>732</v>
      </c>
      <c r="H6156">
        <v>3</v>
      </c>
      <c r="I6156">
        <v>2026</v>
      </c>
      <c r="J6156">
        <v>9</v>
      </c>
      <c r="K6156" s="19" t="s">
        <v>87</v>
      </c>
      <c r="L6156" s="19" t="s">
        <v>519</v>
      </c>
      <c r="M6156" s="19" t="s">
        <v>6</v>
      </c>
      <c r="N6156" t="b">
        <v>0</v>
      </c>
      <c r="O6156">
        <v>0</v>
      </c>
      <c r="P6156">
        <v>1</v>
      </c>
      <c r="Q6156">
        <v>0</v>
      </c>
      <c r="R6156">
        <v>0</v>
      </c>
    </row>
    <row r="6157" spans="1:18" x14ac:dyDescent="0.45">
      <c r="A6157" s="19" t="s">
        <v>28</v>
      </c>
      <c r="B6157" s="19" t="s">
        <v>6</v>
      </c>
      <c r="C6157">
        <v>3</v>
      </c>
      <c r="D6157">
        <v>4</v>
      </c>
      <c r="E6157">
        <v>2</v>
      </c>
      <c r="F6157" s="15">
        <v>46279</v>
      </c>
      <c r="G6157" s="19" t="s">
        <v>732</v>
      </c>
      <c r="H6157">
        <v>3</v>
      </c>
      <c r="I6157">
        <v>2026</v>
      </c>
      <c r="J6157">
        <v>9</v>
      </c>
      <c r="K6157" s="19" t="s">
        <v>87</v>
      </c>
      <c r="L6157" s="19" t="s">
        <v>15</v>
      </c>
      <c r="M6157" s="19" t="s">
        <v>8</v>
      </c>
      <c r="N6157" t="b">
        <v>0</v>
      </c>
      <c r="O6157">
        <v>0</v>
      </c>
      <c r="P6157">
        <v>1</v>
      </c>
      <c r="Q6157">
        <v>0</v>
      </c>
      <c r="R6157">
        <v>1</v>
      </c>
    </row>
    <row r="6158" spans="1:18" x14ac:dyDescent="0.45">
      <c r="A6158" s="19" t="s">
        <v>20</v>
      </c>
      <c r="B6158" s="19" t="s">
        <v>63</v>
      </c>
      <c r="C6158">
        <v>1</v>
      </c>
      <c r="D6158">
        <v>5</v>
      </c>
      <c r="E6158">
        <v>2</v>
      </c>
      <c r="F6158" s="15">
        <v>46279</v>
      </c>
      <c r="G6158" s="19" t="s">
        <v>733</v>
      </c>
      <c r="H6158">
        <v>3</v>
      </c>
      <c r="I6158">
        <v>2026</v>
      </c>
      <c r="J6158">
        <v>9</v>
      </c>
      <c r="K6158" s="19" t="s">
        <v>87</v>
      </c>
      <c r="L6158" s="19" t="s">
        <v>13</v>
      </c>
      <c r="M6158" s="19" t="s">
        <v>63</v>
      </c>
      <c r="N6158" t="b">
        <v>0</v>
      </c>
      <c r="O6158">
        <v>0</v>
      </c>
      <c r="P6158">
        <v>0</v>
      </c>
      <c r="Q6158">
        <v>1</v>
      </c>
      <c r="R6158">
        <v>0</v>
      </c>
    </row>
    <row r="6159" spans="1:18" x14ac:dyDescent="0.45">
      <c r="A6159" s="19" t="s">
        <v>20</v>
      </c>
      <c r="B6159" s="19" t="s">
        <v>63</v>
      </c>
      <c r="C6159">
        <v>1</v>
      </c>
      <c r="D6159">
        <v>5</v>
      </c>
      <c r="E6159">
        <v>2</v>
      </c>
      <c r="F6159" s="15">
        <v>46279</v>
      </c>
      <c r="G6159" s="19" t="s">
        <v>733</v>
      </c>
      <c r="H6159">
        <v>3</v>
      </c>
      <c r="I6159">
        <v>2026</v>
      </c>
      <c r="J6159">
        <v>9</v>
      </c>
      <c r="K6159" s="19" t="s">
        <v>87</v>
      </c>
      <c r="L6159" s="19" t="s">
        <v>351</v>
      </c>
      <c r="M6159" s="19" t="s">
        <v>63</v>
      </c>
      <c r="N6159" t="b">
        <v>0</v>
      </c>
      <c r="O6159">
        <v>0</v>
      </c>
      <c r="P6159">
        <v>0</v>
      </c>
      <c r="Q6159">
        <v>1</v>
      </c>
      <c r="R6159">
        <v>0</v>
      </c>
    </row>
    <row r="6160" spans="1:18" x14ac:dyDescent="0.45">
      <c r="A6160" s="19" t="s">
        <v>13</v>
      </c>
      <c r="B6160" s="19" t="s">
        <v>63</v>
      </c>
      <c r="C6160">
        <v>2</v>
      </c>
      <c r="D6160">
        <v>5</v>
      </c>
      <c r="E6160">
        <v>2</v>
      </c>
      <c r="F6160" s="15">
        <v>46279</v>
      </c>
      <c r="G6160" s="19" t="s">
        <v>733</v>
      </c>
      <c r="H6160">
        <v>3</v>
      </c>
      <c r="I6160">
        <v>2026</v>
      </c>
      <c r="J6160">
        <v>9</v>
      </c>
      <c r="K6160" s="19" t="s">
        <v>87</v>
      </c>
      <c r="L6160" s="19" t="s">
        <v>20</v>
      </c>
      <c r="M6160" s="19" t="s">
        <v>63</v>
      </c>
      <c r="N6160" t="b">
        <v>0</v>
      </c>
      <c r="O6160">
        <v>0</v>
      </c>
      <c r="P6160">
        <v>0</v>
      </c>
      <c r="Q6160">
        <v>1</v>
      </c>
      <c r="R6160">
        <v>0</v>
      </c>
    </row>
    <row r="6161" spans="1:18" x14ac:dyDescent="0.45">
      <c r="A6161" s="19" t="s">
        <v>13</v>
      </c>
      <c r="B6161" s="19" t="s">
        <v>63</v>
      </c>
      <c r="C6161">
        <v>2</v>
      </c>
      <c r="D6161">
        <v>5</v>
      </c>
      <c r="E6161">
        <v>2</v>
      </c>
      <c r="F6161" s="15">
        <v>46279</v>
      </c>
      <c r="G6161" s="19" t="s">
        <v>733</v>
      </c>
      <c r="H6161">
        <v>3</v>
      </c>
      <c r="I6161">
        <v>2026</v>
      </c>
      <c r="J6161">
        <v>9</v>
      </c>
      <c r="K6161" s="19" t="s">
        <v>87</v>
      </c>
      <c r="L6161" s="19" t="s">
        <v>351</v>
      </c>
      <c r="M6161" s="19" t="s">
        <v>63</v>
      </c>
      <c r="N6161" t="b">
        <v>0</v>
      </c>
      <c r="O6161">
        <v>0</v>
      </c>
      <c r="P6161">
        <v>0</v>
      </c>
      <c r="Q6161">
        <v>1</v>
      </c>
      <c r="R6161">
        <v>0</v>
      </c>
    </row>
    <row r="6162" spans="1:18" x14ac:dyDescent="0.45">
      <c r="A6162" s="19" t="s">
        <v>351</v>
      </c>
      <c r="B6162" s="19" t="s">
        <v>63</v>
      </c>
      <c r="C6162">
        <v>3</v>
      </c>
      <c r="D6162">
        <v>5</v>
      </c>
      <c r="E6162">
        <v>2</v>
      </c>
      <c r="F6162" s="15">
        <v>46279</v>
      </c>
      <c r="G6162" s="19" t="s">
        <v>733</v>
      </c>
      <c r="H6162">
        <v>3</v>
      </c>
      <c r="I6162">
        <v>2026</v>
      </c>
      <c r="J6162">
        <v>9</v>
      </c>
      <c r="K6162" s="19" t="s">
        <v>87</v>
      </c>
      <c r="L6162" s="19" t="s">
        <v>20</v>
      </c>
      <c r="M6162" s="19" t="s">
        <v>63</v>
      </c>
      <c r="N6162" t="b">
        <v>0</v>
      </c>
      <c r="O6162">
        <v>0</v>
      </c>
      <c r="P6162">
        <v>0</v>
      </c>
      <c r="Q6162">
        <v>1</v>
      </c>
      <c r="R6162">
        <v>0</v>
      </c>
    </row>
    <row r="6163" spans="1:18" x14ac:dyDescent="0.45">
      <c r="A6163" s="19" t="s">
        <v>351</v>
      </c>
      <c r="B6163" s="19" t="s">
        <v>63</v>
      </c>
      <c r="C6163">
        <v>3</v>
      </c>
      <c r="D6163">
        <v>5</v>
      </c>
      <c r="E6163">
        <v>2</v>
      </c>
      <c r="F6163" s="15">
        <v>46279</v>
      </c>
      <c r="G6163" s="19" t="s">
        <v>733</v>
      </c>
      <c r="H6163">
        <v>3</v>
      </c>
      <c r="I6163">
        <v>2026</v>
      </c>
      <c r="J6163">
        <v>9</v>
      </c>
      <c r="K6163" s="19" t="s">
        <v>87</v>
      </c>
      <c r="L6163" s="19" t="s">
        <v>13</v>
      </c>
      <c r="M6163" s="19" t="s">
        <v>63</v>
      </c>
      <c r="N6163" t="b">
        <v>0</v>
      </c>
      <c r="O6163">
        <v>0</v>
      </c>
      <c r="P6163">
        <v>0</v>
      </c>
      <c r="Q6163">
        <v>1</v>
      </c>
      <c r="R6163">
        <v>0</v>
      </c>
    </row>
    <row r="6164" spans="1:18" x14ac:dyDescent="0.45">
      <c r="A6164" s="19" t="s">
        <v>519</v>
      </c>
      <c r="B6164" s="19" t="s">
        <v>6</v>
      </c>
      <c r="C6164">
        <v>1</v>
      </c>
      <c r="D6164">
        <v>1</v>
      </c>
      <c r="E6164">
        <v>1</v>
      </c>
      <c r="F6164" s="15">
        <v>46286</v>
      </c>
      <c r="G6164" s="19" t="s">
        <v>735</v>
      </c>
      <c r="H6164">
        <v>4</v>
      </c>
      <c r="I6164">
        <v>2026</v>
      </c>
      <c r="J6164">
        <v>9</v>
      </c>
      <c r="K6164" s="19" t="s">
        <v>282</v>
      </c>
      <c r="L6164" s="19" t="s">
        <v>15</v>
      </c>
      <c r="M6164" s="19" t="s">
        <v>8</v>
      </c>
      <c r="N6164" t="b">
        <v>0</v>
      </c>
      <c r="O6164">
        <v>0</v>
      </c>
      <c r="P6164">
        <v>1</v>
      </c>
      <c r="Q6164">
        <v>0</v>
      </c>
      <c r="R6164">
        <v>1</v>
      </c>
    </row>
    <row r="6165" spans="1:18" x14ac:dyDescent="0.45">
      <c r="A6165" s="19" t="s">
        <v>519</v>
      </c>
      <c r="B6165" s="19" t="s">
        <v>6</v>
      </c>
      <c r="C6165">
        <v>1</v>
      </c>
      <c r="D6165">
        <v>1</v>
      </c>
      <c r="E6165">
        <v>1</v>
      </c>
      <c r="F6165" s="15">
        <v>46286</v>
      </c>
      <c r="G6165" s="19" t="s">
        <v>735</v>
      </c>
      <c r="H6165">
        <v>4</v>
      </c>
      <c r="I6165">
        <v>2026</v>
      </c>
      <c r="J6165">
        <v>9</v>
      </c>
      <c r="K6165" s="19" t="s">
        <v>282</v>
      </c>
      <c r="L6165" s="19" t="s">
        <v>27</v>
      </c>
      <c r="M6165" s="19" t="s">
        <v>6</v>
      </c>
      <c r="N6165" t="b">
        <v>0</v>
      </c>
      <c r="O6165">
        <v>0</v>
      </c>
      <c r="P6165">
        <v>1</v>
      </c>
      <c r="Q6165">
        <v>0</v>
      </c>
      <c r="R6165">
        <v>0</v>
      </c>
    </row>
    <row r="6166" spans="1:18" x14ac:dyDescent="0.45">
      <c r="A6166" s="19" t="s">
        <v>519</v>
      </c>
      <c r="B6166" s="19" t="s">
        <v>6</v>
      </c>
      <c r="C6166">
        <v>1</v>
      </c>
      <c r="D6166">
        <v>1</v>
      </c>
      <c r="E6166">
        <v>1</v>
      </c>
      <c r="F6166" s="15">
        <v>46286</v>
      </c>
      <c r="G6166" s="19" t="s">
        <v>735</v>
      </c>
      <c r="H6166">
        <v>4</v>
      </c>
      <c r="I6166">
        <v>2026</v>
      </c>
      <c r="J6166">
        <v>9</v>
      </c>
      <c r="K6166" s="19" t="s">
        <v>282</v>
      </c>
      <c r="L6166" s="19" t="s">
        <v>19</v>
      </c>
      <c r="M6166" s="19" t="s">
        <v>6</v>
      </c>
      <c r="N6166" t="b">
        <v>0</v>
      </c>
      <c r="O6166">
        <v>0</v>
      </c>
      <c r="P6166">
        <v>1</v>
      </c>
      <c r="Q6166">
        <v>0</v>
      </c>
      <c r="R6166">
        <v>0</v>
      </c>
    </row>
    <row r="6167" spans="1:18" x14ac:dyDescent="0.45">
      <c r="A6167" s="19" t="s">
        <v>15</v>
      </c>
      <c r="B6167" s="19" t="s">
        <v>8</v>
      </c>
      <c r="C6167">
        <v>2</v>
      </c>
      <c r="D6167">
        <v>1</v>
      </c>
      <c r="E6167">
        <v>1</v>
      </c>
      <c r="F6167" s="15">
        <v>46286</v>
      </c>
      <c r="G6167" s="19" t="s">
        <v>735</v>
      </c>
      <c r="H6167">
        <v>4</v>
      </c>
      <c r="I6167">
        <v>2026</v>
      </c>
      <c r="J6167">
        <v>9</v>
      </c>
      <c r="K6167" s="19" t="s">
        <v>282</v>
      </c>
      <c r="L6167" s="19" t="s">
        <v>519</v>
      </c>
      <c r="M6167" s="19" t="s">
        <v>6</v>
      </c>
      <c r="N6167" t="b">
        <v>0</v>
      </c>
      <c r="O6167">
        <v>1</v>
      </c>
      <c r="P6167">
        <v>0</v>
      </c>
      <c r="Q6167">
        <v>0</v>
      </c>
      <c r="R6167">
        <v>0</v>
      </c>
    </row>
    <row r="6168" spans="1:18" x14ac:dyDescent="0.45">
      <c r="A6168" s="19" t="s">
        <v>15</v>
      </c>
      <c r="B6168" s="19" t="s">
        <v>8</v>
      </c>
      <c r="C6168">
        <v>2</v>
      </c>
      <c r="D6168">
        <v>1</v>
      </c>
      <c r="E6168">
        <v>1</v>
      </c>
      <c r="F6168" s="15">
        <v>46286</v>
      </c>
      <c r="G6168" s="19" t="s">
        <v>735</v>
      </c>
      <c r="H6168">
        <v>4</v>
      </c>
      <c r="I6168">
        <v>2026</v>
      </c>
      <c r="J6168">
        <v>9</v>
      </c>
      <c r="K6168" s="19" t="s">
        <v>282</v>
      </c>
      <c r="L6168" s="19" t="s">
        <v>27</v>
      </c>
      <c r="M6168" s="19" t="s">
        <v>6</v>
      </c>
      <c r="N6168" t="b">
        <v>0</v>
      </c>
      <c r="O6168">
        <v>1</v>
      </c>
      <c r="P6168">
        <v>0</v>
      </c>
      <c r="Q6168">
        <v>0</v>
      </c>
      <c r="R6168">
        <v>0</v>
      </c>
    </row>
    <row r="6169" spans="1:18" x14ac:dyDescent="0.45">
      <c r="A6169" s="19" t="s">
        <v>15</v>
      </c>
      <c r="B6169" s="19" t="s">
        <v>8</v>
      </c>
      <c r="C6169">
        <v>2</v>
      </c>
      <c r="D6169">
        <v>1</v>
      </c>
      <c r="E6169">
        <v>1</v>
      </c>
      <c r="F6169" s="15">
        <v>46286</v>
      </c>
      <c r="G6169" s="19" t="s">
        <v>735</v>
      </c>
      <c r="H6169">
        <v>4</v>
      </c>
      <c r="I6169">
        <v>2026</v>
      </c>
      <c r="J6169">
        <v>9</v>
      </c>
      <c r="K6169" s="19" t="s">
        <v>282</v>
      </c>
      <c r="L6169" s="19" t="s">
        <v>19</v>
      </c>
      <c r="M6169" s="19" t="s">
        <v>6</v>
      </c>
      <c r="N6169" t="b">
        <v>0</v>
      </c>
      <c r="O6169">
        <v>1</v>
      </c>
      <c r="P6169">
        <v>0</v>
      </c>
      <c r="Q6169">
        <v>0</v>
      </c>
      <c r="R6169">
        <v>0</v>
      </c>
    </row>
    <row r="6170" spans="1:18" x14ac:dyDescent="0.45">
      <c r="A6170" s="19" t="s">
        <v>27</v>
      </c>
      <c r="B6170" s="19" t="s">
        <v>6</v>
      </c>
      <c r="C6170">
        <v>3</v>
      </c>
      <c r="D6170">
        <v>1</v>
      </c>
      <c r="E6170">
        <v>1</v>
      </c>
      <c r="F6170" s="15">
        <v>46286</v>
      </c>
      <c r="G6170" s="19" t="s">
        <v>735</v>
      </c>
      <c r="H6170">
        <v>4</v>
      </c>
      <c r="I6170">
        <v>2026</v>
      </c>
      <c r="J6170">
        <v>9</v>
      </c>
      <c r="K6170" s="19" t="s">
        <v>282</v>
      </c>
      <c r="L6170" s="19" t="s">
        <v>519</v>
      </c>
      <c r="M6170" s="19" t="s">
        <v>6</v>
      </c>
      <c r="N6170" t="b">
        <v>0</v>
      </c>
      <c r="O6170">
        <v>0</v>
      </c>
      <c r="P6170">
        <v>1</v>
      </c>
      <c r="Q6170">
        <v>0</v>
      </c>
      <c r="R6170">
        <v>0</v>
      </c>
    </row>
    <row r="6171" spans="1:18" x14ac:dyDescent="0.45">
      <c r="A6171" s="19" t="s">
        <v>27</v>
      </c>
      <c r="B6171" s="19" t="s">
        <v>6</v>
      </c>
      <c r="C6171">
        <v>3</v>
      </c>
      <c r="D6171">
        <v>1</v>
      </c>
      <c r="E6171">
        <v>1</v>
      </c>
      <c r="F6171" s="15">
        <v>46286</v>
      </c>
      <c r="G6171" s="19" t="s">
        <v>735</v>
      </c>
      <c r="H6171">
        <v>4</v>
      </c>
      <c r="I6171">
        <v>2026</v>
      </c>
      <c r="J6171">
        <v>9</v>
      </c>
      <c r="K6171" s="19" t="s">
        <v>282</v>
      </c>
      <c r="L6171" s="19" t="s">
        <v>15</v>
      </c>
      <c r="M6171" s="19" t="s">
        <v>8</v>
      </c>
      <c r="N6171" t="b">
        <v>0</v>
      </c>
      <c r="O6171">
        <v>0</v>
      </c>
      <c r="P6171">
        <v>1</v>
      </c>
      <c r="Q6171">
        <v>0</v>
      </c>
      <c r="R6171">
        <v>1</v>
      </c>
    </row>
    <row r="6172" spans="1:18" x14ac:dyDescent="0.45">
      <c r="A6172" s="19" t="s">
        <v>27</v>
      </c>
      <c r="B6172" s="19" t="s">
        <v>6</v>
      </c>
      <c r="C6172">
        <v>3</v>
      </c>
      <c r="D6172">
        <v>1</v>
      </c>
      <c r="E6172">
        <v>1</v>
      </c>
      <c r="F6172" s="15">
        <v>46286</v>
      </c>
      <c r="G6172" s="19" t="s">
        <v>735</v>
      </c>
      <c r="H6172">
        <v>4</v>
      </c>
      <c r="I6172">
        <v>2026</v>
      </c>
      <c r="J6172">
        <v>9</v>
      </c>
      <c r="K6172" s="19" t="s">
        <v>282</v>
      </c>
      <c r="L6172" s="19" t="s">
        <v>19</v>
      </c>
      <c r="M6172" s="19" t="s">
        <v>6</v>
      </c>
      <c r="N6172" t="b">
        <v>0</v>
      </c>
      <c r="O6172">
        <v>0</v>
      </c>
      <c r="P6172">
        <v>1</v>
      </c>
      <c r="Q6172">
        <v>0</v>
      </c>
      <c r="R6172">
        <v>0</v>
      </c>
    </row>
    <row r="6173" spans="1:18" x14ac:dyDescent="0.45">
      <c r="A6173" s="19" t="s">
        <v>19</v>
      </c>
      <c r="B6173" s="19" t="s">
        <v>6</v>
      </c>
      <c r="C6173">
        <v>4</v>
      </c>
      <c r="D6173">
        <v>1</v>
      </c>
      <c r="E6173">
        <v>1</v>
      </c>
      <c r="F6173" s="15">
        <v>46286</v>
      </c>
      <c r="G6173" s="19" t="s">
        <v>735</v>
      </c>
      <c r="H6173">
        <v>4</v>
      </c>
      <c r="I6173">
        <v>2026</v>
      </c>
      <c r="J6173">
        <v>9</v>
      </c>
      <c r="K6173" s="19" t="s">
        <v>282</v>
      </c>
      <c r="L6173" s="19" t="s">
        <v>519</v>
      </c>
      <c r="M6173" s="19" t="s">
        <v>6</v>
      </c>
      <c r="N6173" t="b">
        <v>0</v>
      </c>
      <c r="O6173">
        <v>0</v>
      </c>
      <c r="P6173">
        <v>1</v>
      </c>
      <c r="Q6173">
        <v>0</v>
      </c>
      <c r="R6173">
        <v>0</v>
      </c>
    </row>
    <row r="6174" spans="1:18" x14ac:dyDescent="0.45">
      <c r="A6174" s="19" t="s">
        <v>19</v>
      </c>
      <c r="B6174" s="19" t="s">
        <v>6</v>
      </c>
      <c r="C6174">
        <v>4</v>
      </c>
      <c r="D6174">
        <v>1</v>
      </c>
      <c r="E6174">
        <v>1</v>
      </c>
      <c r="F6174" s="15">
        <v>46286</v>
      </c>
      <c r="G6174" s="19" t="s">
        <v>735</v>
      </c>
      <c r="H6174">
        <v>4</v>
      </c>
      <c r="I6174">
        <v>2026</v>
      </c>
      <c r="J6174">
        <v>9</v>
      </c>
      <c r="K6174" s="19" t="s">
        <v>282</v>
      </c>
      <c r="L6174" s="19" t="s">
        <v>15</v>
      </c>
      <c r="M6174" s="19" t="s">
        <v>8</v>
      </c>
      <c r="N6174" t="b">
        <v>0</v>
      </c>
      <c r="O6174">
        <v>0</v>
      </c>
      <c r="P6174">
        <v>1</v>
      </c>
      <c r="Q6174">
        <v>0</v>
      </c>
      <c r="R6174">
        <v>1</v>
      </c>
    </row>
    <row r="6175" spans="1:18" x14ac:dyDescent="0.45">
      <c r="A6175" s="19" t="s">
        <v>19</v>
      </c>
      <c r="B6175" s="19" t="s">
        <v>6</v>
      </c>
      <c r="C6175">
        <v>4</v>
      </c>
      <c r="D6175">
        <v>1</v>
      </c>
      <c r="E6175">
        <v>1</v>
      </c>
      <c r="F6175" s="15">
        <v>46286</v>
      </c>
      <c r="G6175" s="19" t="s">
        <v>735</v>
      </c>
      <c r="H6175">
        <v>4</v>
      </c>
      <c r="I6175">
        <v>2026</v>
      </c>
      <c r="J6175">
        <v>9</v>
      </c>
      <c r="K6175" s="19" t="s">
        <v>282</v>
      </c>
      <c r="L6175" s="19" t="s">
        <v>27</v>
      </c>
      <c r="M6175" s="19" t="s">
        <v>6</v>
      </c>
      <c r="N6175" t="b">
        <v>0</v>
      </c>
      <c r="O6175">
        <v>0</v>
      </c>
      <c r="P6175">
        <v>1</v>
      </c>
      <c r="Q6175">
        <v>0</v>
      </c>
      <c r="R6175">
        <v>0</v>
      </c>
    </row>
    <row r="6176" spans="1:18" x14ac:dyDescent="0.45">
      <c r="A6176" s="19" t="s">
        <v>351</v>
      </c>
      <c r="B6176" s="19" t="s">
        <v>63</v>
      </c>
      <c r="C6176">
        <v>1</v>
      </c>
      <c r="D6176">
        <v>2</v>
      </c>
      <c r="E6176">
        <v>1</v>
      </c>
      <c r="F6176" s="15">
        <v>46286</v>
      </c>
      <c r="G6176" s="19" t="s">
        <v>736</v>
      </c>
      <c r="H6176">
        <v>4</v>
      </c>
      <c r="I6176">
        <v>2026</v>
      </c>
      <c r="J6176">
        <v>9</v>
      </c>
      <c r="K6176" s="19" t="s">
        <v>282</v>
      </c>
      <c r="L6176" s="19" t="s">
        <v>11</v>
      </c>
      <c r="M6176" s="19" t="s">
        <v>63</v>
      </c>
      <c r="N6176" t="b">
        <v>0</v>
      </c>
      <c r="O6176">
        <v>0</v>
      </c>
      <c r="P6176">
        <v>0</v>
      </c>
      <c r="Q6176">
        <v>1</v>
      </c>
      <c r="R6176">
        <v>0</v>
      </c>
    </row>
    <row r="6177" spans="1:18" x14ac:dyDescent="0.45">
      <c r="A6177" s="19" t="s">
        <v>351</v>
      </c>
      <c r="B6177" s="19" t="s">
        <v>63</v>
      </c>
      <c r="C6177">
        <v>1</v>
      </c>
      <c r="D6177">
        <v>2</v>
      </c>
      <c r="E6177">
        <v>1</v>
      </c>
      <c r="F6177" s="15">
        <v>46286</v>
      </c>
      <c r="G6177" s="19" t="s">
        <v>736</v>
      </c>
      <c r="H6177">
        <v>4</v>
      </c>
      <c r="I6177">
        <v>2026</v>
      </c>
      <c r="J6177">
        <v>9</v>
      </c>
      <c r="K6177" s="19" t="s">
        <v>282</v>
      </c>
      <c r="L6177" s="19" t="s">
        <v>723</v>
      </c>
      <c r="M6177" s="19" t="s">
        <v>63</v>
      </c>
      <c r="N6177" t="b">
        <v>0</v>
      </c>
      <c r="O6177">
        <v>0</v>
      </c>
      <c r="P6177">
        <v>0</v>
      </c>
      <c r="Q6177">
        <v>1</v>
      </c>
      <c r="R6177">
        <v>0</v>
      </c>
    </row>
    <row r="6178" spans="1:18" x14ac:dyDescent="0.45">
      <c r="A6178" s="19" t="s">
        <v>351</v>
      </c>
      <c r="B6178" s="19" t="s">
        <v>63</v>
      </c>
      <c r="C6178">
        <v>1</v>
      </c>
      <c r="D6178">
        <v>2</v>
      </c>
      <c r="E6178">
        <v>1</v>
      </c>
      <c r="F6178" s="15">
        <v>46286</v>
      </c>
      <c r="G6178" s="19" t="s">
        <v>736</v>
      </c>
      <c r="H6178">
        <v>4</v>
      </c>
      <c r="I6178">
        <v>2026</v>
      </c>
      <c r="J6178">
        <v>9</v>
      </c>
      <c r="K6178" s="19" t="s">
        <v>282</v>
      </c>
      <c r="L6178" s="19" t="s">
        <v>402</v>
      </c>
      <c r="M6178" s="19" t="s">
        <v>63</v>
      </c>
      <c r="N6178" t="b">
        <v>0</v>
      </c>
      <c r="O6178">
        <v>0</v>
      </c>
      <c r="P6178">
        <v>0</v>
      </c>
      <c r="Q6178">
        <v>1</v>
      </c>
      <c r="R6178">
        <v>0</v>
      </c>
    </row>
    <row r="6179" spans="1:18" x14ac:dyDescent="0.45">
      <c r="A6179" s="19" t="s">
        <v>11</v>
      </c>
      <c r="B6179" s="19" t="s">
        <v>63</v>
      </c>
      <c r="C6179">
        <v>2</v>
      </c>
      <c r="D6179">
        <v>2</v>
      </c>
      <c r="E6179">
        <v>1</v>
      </c>
      <c r="F6179" s="15">
        <v>46286</v>
      </c>
      <c r="G6179" s="19" t="s">
        <v>736</v>
      </c>
      <c r="H6179">
        <v>4</v>
      </c>
      <c r="I6179">
        <v>2026</v>
      </c>
      <c r="J6179">
        <v>9</v>
      </c>
      <c r="K6179" s="19" t="s">
        <v>282</v>
      </c>
      <c r="L6179" s="19" t="s">
        <v>351</v>
      </c>
      <c r="M6179" s="19" t="s">
        <v>63</v>
      </c>
      <c r="N6179" t="b">
        <v>0</v>
      </c>
      <c r="O6179">
        <v>0</v>
      </c>
      <c r="P6179">
        <v>0</v>
      </c>
      <c r="Q6179">
        <v>1</v>
      </c>
      <c r="R6179">
        <v>0</v>
      </c>
    </row>
    <row r="6180" spans="1:18" x14ac:dyDescent="0.45">
      <c r="A6180" s="19" t="s">
        <v>11</v>
      </c>
      <c r="B6180" s="19" t="s">
        <v>63</v>
      </c>
      <c r="C6180">
        <v>2</v>
      </c>
      <c r="D6180">
        <v>2</v>
      </c>
      <c r="E6180">
        <v>1</v>
      </c>
      <c r="F6180" s="15">
        <v>46286</v>
      </c>
      <c r="G6180" s="19" t="s">
        <v>736</v>
      </c>
      <c r="H6180">
        <v>4</v>
      </c>
      <c r="I6180">
        <v>2026</v>
      </c>
      <c r="J6180">
        <v>9</v>
      </c>
      <c r="K6180" s="19" t="s">
        <v>282</v>
      </c>
      <c r="L6180" s="19" t="s">
        <v>723</v>
      </c>
      <c r="M6180" s="19" t="s">
        <v>63</v>
      </c>
      <c r="N6180" t="b">
        <v>0</v>
      </c>
      <c r="O6180">
        <v>0</v>
      </c>
      <c r="P6180">
        <v>0</v>
      </c>
      <c r="Q6180">
        <v>1</v>
      </c>
      <c r="R6180">
        <v>0</v>
      </c>
    </row>
    <row r="6181" spans="1:18" x14ac:dyDescent="0.45">
      <c r="A6181" s="19" t="s">
        <v>11</v>
      </c>
      <c r="B6181" s="19" t="s">
        <v>63</v>
      </c>
      <c r="C6181">
        <v>2</v>
      </c>
      <c r="D6181">
        <v>2</v>
      </c>
      <c r="E6181">
        <v>1</v>
      </c>
      <c r="F6181" s="15">
        <v>46286</v>
      </c>
      <c r="G6181" s="19" t="s">
        <v>736</v>
      </c>
      <c r="H6181">
        <v>4</v>
      </c>
      <c r="I6181">
        <v>2026</v>
      </c>
      <c r="J6181">
        <v>9</v>
      </c>
      <c r="K6181" s="19" t="s">
        <v>282</v>
      </c>
      <c r="L6181" s="19" t="s">
        <v>402</v>
      </c>
      <c r="M6181" s="19" t="s">
        <v>63</v>
      </c>
      <c r="N6181" t="b">
        <v>0</v>
      </c>
      <c r="O6181">
        <v>0</v>
      </c>
      <c r="P6181">
        <v>0</v>
      </c>
      <c r="Q6181">
        <v>1</v>
      </c>
      <c r="R6181">
        <v>0</v>
      </c>
    </row>
    <row r="6182" spans="1:18" x14ac:dyDescent="0.45">
      <c r="A6182" s="19" t="s">
        <v>723</v>
      </c>
      <c r="B6182" s="19" t="s">
        <v>63</v>
      </c>
      <c r="C6182">
        <v>3</v>
      </c>
      <c r="D6182">
        <v>2</v>
      </c>
      <c r="E6182">
        <v>1</v>
      </c>
      <c r="F6182" s="15">
        <v>46286</v>
      </c>
      <c r="G6182" s="19" t="s">
        <v>736</v>
      </c>
      <c r="H6182">
        <v>4</v>
      </c>
      <c r="I6182">
        <v>2026</v>
      </c>
      <c r="J6182">
        <v>9</v>
      </c>
      <c r="K6182" s="19" t="s">
        <v>282</v>
      </c>
      <c r="L6182" s="19" t="s">
        <v>351</v>
      </c>
      <c r="M6182" s="19" t="s">
        <v>63</v>
      </c>
      <c r="N6182" t="b">
        <v>0</v>
      </c>
      <c r="O6182">
        <v>0</v>
      </c>
      <c r="P6182">
        <v>0</v>
      </c>
      <c r="Q6182">
        <v>1</v>
      </c>
      <c r="R6182">
        <v>0</v>
      </c>
    </row>
    <row r="6183" spans="1:18" x14ac:dyDescent="0.45">
      <c r="A6183" s="19" t="s">
        <v>723</v>
      </c>
      <c r="B6183" s="19" t="s">
        <v>63</v>
      </c>
      <c r="C6183">
        <v>3</v>
      </c>
      <c r="D6183">
        <v>2</v>
      </c>
      <c r="E6183">
        <v>1</v>
      </c>
      <c r="F6183" s="15">
        <v>46286</v>
      </c>
      <c r="G6183" s="19" t="s">
        <v>736</v>
      </c>
      <c r="H6183">
        <v>4</v>
      </c>
      <c r="I6183">
        <v>2026</v>
      </c>
      <c r="J6183">
        <v>9</v>
      </c>
      <c r="K6183" s="19" t="s">
        <v>282</v>
      </c>
      <c r="L6183" s="19" t="s">
        <v>11</v>
      </c>
      <c r="M6183" s="19" t="s">
        <v>63</v>
      </c>
      <c r="N6183" t="b">
        <v>0</v>
      </c>
      <c r="O6183">
        <v>0</v>
      </c>
      <c r="P6183">
        <v>0</v>
      </c>
      <c r="Q6183">
        <v>1</v>
      </c>
      <c r="R6183">
        <v>0</v>
      </c>
    </row>
    <row r="6184" spans="1:18" x14ac:dyDescent="0.45">
      <c r="A6184" s="19" t="s">
        <v>723</v>
      </c>
      <c r="B6184" s="19" t="s">
        <v>63</v>
      </c>
      <c r="C6184">
        <v>3</v>
      </c>
      <c r="D6184">
        <v>2</v>
      </c>
      <c r="E6184">
        <v>1</v>
      </c>
      <c r="F6184" s="15">
        <v>46286</v>
      </c>
      <c r="G6184" s="19" t="s">
        <v>736</v>
      </c>
      <c r="H6184">
        <v>4</v>
      </c>
      <c r="I6184">
        <v>2026</v>
      </c>
      <c r="J6184">
        <v>9</v>
      </c>
      <c r="K6184" s="19" t="s">
        <v>282</v>
      </c>
      <c r="L6184" s="19" t="s">
        <v>402</v>
      </c>
      <c r="M6184" s="19" t="s">
        <v>63</v>
      </c>
      <c r="N6184" t="b">
        <v>0</v>
      </c>
      <c r="O6184">
        <v>0</v>
      </c>
      <c r="P6184">
        <v>0</v>
      </c>
      <c r="Q6184">
        <v>1</v>
      </c>
      <c r="R6184">
        <v>0</v>
      </c>
    </row>
    <row r="6185" spans="1:18" x14ac:dyDescent="0.45">
      <c r="A6185" s="19" t="s">
        <v>402</v>
      </c>
      <c r="B6185" s="19" t="s">
        <v>63</v>
      </c>
      <c r="C6185">
        <v>4</v>
      </c>
      <c r="D6185">
        <v>2</v>
      </c>
      <c r="E6185">
        <v>1</v>
      </c>
      <c r="F6185" s="15">
        <v>46286</v>
      </c>
      <c r="G6185" s="19" t="s">
        <v>736</v>
      </c>
      <c r="H6185">
        <v>4</v>
      </c>
      <c r="I6185">
        <v>2026</v>
      </c>
      <c r="J6185">
        <v>9</v>
      </c>
      <c r="K6185" s="19" t="s">
        <v>282</v>
      </c>
      <c r="L6185" s="19" t="s">
        <v>351</v>
      </c>
      <c r="M6185" s="19" t="s">
        <v>63</v>
      </c>
      <c r="N6185" t="b">
        <v>0</v>
      </c>
      <c r="O6185">
        <v>0</v>
      </c>
      <c r="P6185">
        <v>0</v>
      </c>
      <c r="Q6185">
        <v>1</v>
      </c>
      <c r="R6185">
        <v>0</v>
      </c>
    </row>
    <row r="6186" spans="1:18" x14ac:dyDescent="0.45">
      <c r="A6186" s="19" t="s">
        <v>402</v>
      </c>
      <c r="B6186" s="19" t="s">
        <v>63</v>
      </c>
      <c r="C6186">
        <v>4</v>
      </c>
      <c r="D6186">
        <v>2</v>
      </c>
      <c r="E6186">
        <v>1</v>
      </c>
      <c r="F6186" s="15">
        <v>46286</v>
      </c>
      <c r="G6186" s="19" t="s">
        <v>736</v>
      </c>
      <c r="H6186">
        <v>4</v>
      </c>
      <c r="I6186">
        <v>2026</v>
      </c>
      <c r="J6186">
        <v>9</v>
      </c>
      <c r="K6186" s="19" t="s">
        <v>282</v>
      </c>
      <c r="L6186" s="19" t="s">
        <v>11</v>
      </c>
      <c r="M6186" s="19" t="s">
        <v>63</v>
      </c>
      <c r="N6186" t="b">
        <v>0</v>
      </c>
      <c r="O6186">
        <v>0</v>
      </c>
      <c r="P6186">
        <v>0</v>
      </c>
      <c r="Q6186">
        <v>1</v>
      </c>
      <c r="R6186">
        <v>0</v>
      </c>
    </row>
    <row r="6187" spans="1:18" x14ac:dyDescent="0.45">
      <c r="A6187" s="19" t="s">
        <v>402</v>
      </c>
      <c r="B6187" s="19" t="s">
        <v>63</v>
      </c>
      <c r="C6187">
        <v>4</v>
      </c>
      <c r="D6187">
        <v>2</v>
      </c>
      <c r="E6187">
        <v>1</v>
      </c>
      <c r="F6187" s="15">
        <v>46286</v>
      </c>
      <c r="G6187" s="19" t="s">
        <v>736</v>
      </c>
      <c r="H6187">
        <v>4</v>
      </c>
      <c r="I6187">
        <v>2026</v>
      </c>
      <c r="J6187">
        <v>9</v>
      </c>
      <c r="K6187" s="19" t="s">
        <v>282</v>
      </c>
      <c r="L6187" s="19" t="s">
        <v>723</v>
      </c>
      <c r="M6187" s="19" t="s">
        <v>63</v>
      </c>
      <c r="N6187" t="b">
        <v>0</v>
      </c>
      <c r="O6187">
        <v>0</v>
      </c>
      <c r="P6187">
        <v>0</v>
      </c>
      <c r="Q6187">
        <v>1</v>
      </c>
      <c r="R6187">
        <v>0</v>
      </c>
    </row>
    <row r="6188" spans="1:18" x14ac:dyDescent="0.45">
      <c r="A6188" s="19" t="s">
        <v>13</v>
      </c>
      <c r="B6188" s="19" t="s">
        <v>6</v>
      </c>
      <c r="C6188">
        <v>1</v>
      </c>
      <c r="D6188">
        <v>3</v>
      </c>
      <c r="E6188">
        <v>1</v>
      </c>
      <c r="F6188" s="15">
        <v>46286</v>
      </c>
      <c r="G6188" s="19" t="s">
        <v>737</v>
      </c>
      <c r="H6188">
        <v>4</v>
      </c>
      <c r="I6188">
        <v>2026</v>
      </c>
      <c r="J6188">
        <v>9</v>
      </c>
      <c r="K6188" s="19" t="s">
        <v>282</v>
      </c>
      <c r="L6188" s="19" t="s">
        <v>578</v>
      </c>
      <c r="M6188" s="19" t="s">
        <v>8</v>
      </c>
      <c r="N6188" t="b">
        <v>0</v>
      </c>
      <c r="O6188">
        <v>0</v>
      </c>
      <c r="P6188">
        <v>1</v>
      </c>
      <c r="Q6188">
        <v>0</v>
      </c>
      <c r="R6188">
        <v>1</v>
      </c>
    </row>
    <row r="6189" spans="1:18" x14ac:dyDescent="0.45">
      <c r="A6189" s="19" t="s">
        <v>13</v>
      </c>
      <c r="B6189" s="19" t="s">
        <v>6</v>
      </c>
      <c r="C6189">
        <v>1</v>
      </c>
      <c r="D6189">
        <v>3</v>
      </c>
      <c r="E6189">
        <v>1</v>
      </c>
      <c r="F6189" s="15">
        <v>46286</v>
      </c>
      <c r="G6189" s="19" t="s">
        <v>737</v>
      </c>
      <c r="H6189">
        <v>4</v>
      </c>
      <c r="I6189">
        <v>2026</v>
      </c>
      <c r="J6189">
        <v>9</v>
      </c>
      <c r="K6189" s="19" t="s">
        <v>282</v>
      </c>
      <c r="L6189" s="19" t="s">
        <v>9</v>
      </c>
      <c r="M6189" s="19" t="s">
        <v>6</v>
      </c>
      <c r="N6189" t="b">
        <v>0</v>
      </c>
      <c r="O6189">
        <v>0</v>
      </c>
      <c r="P6189">
        <v>1</v>
      </c>
      <c r="Q6189">
        <v>0</v>
      </c>
      <c r="R6189">
        <v>0</v>
      </c>
    </row>
    <row r="6190" spans="1:18" x14ac:dyDescent="0.45">
      <c r="A6190" s="19" t="s">
        <v>13</v>
      </c>
      <c r="B6190" s="19" t="s">
        <v>6</v>
      </c>
      <c r="C6190">
        <v>1</v>
      </c>
      <c r="D6190">
        <v>3</v>
      </c>
      <c r="E6190">
        <v>1</v>
      </c>
      <c r="F6190" s="15">
        <v>46286</v>
      </c>
      <c r="G6190" s="19" t="s">
        <v>737</v>
      </c>
      <c r="H6190">
        <v>4</v>
      </c>
      <c r="I6190">
        <v>2026</v>
      </c>
      <c r="J6190">
        <v>9</v>
      </c>
      <c r="K6190" s="19" t="s">
        <v>282</v>
      </c>
      <c r="L6190" s="19" t="s">
        <v>325</v>
      </c>
      <c r="M6190" s="19" t="s">
        <v>6</v>
      </c>
      <c r="N6190" t="b">
        <v>0</v>
      </c>
      <c r="O6190">
        <v>0</v>
      </c>
      <c r="P6190">
        <v>1</v>
      </c>
      <c r="Q6190">
        <v>0</v>
      </c>
      <c r="R6190">
        <v>0</v>
      </c>
    </row>
    <row r="6191" spans="1:18" x14ac:dyDescent="0.45">
      <c r="A6191" s="19" t="s">
        <v>578</v>
      </c>
      <c r="B6191" s="19" t="s">
        <v>8</v>
      </c>
      <c r="C6191">
        <v>2</v>
      </c>
      <c r="D6191">
        <v>3</v>
      </c>
      <c r="E6191">
        <v>1</v>
      </c>
      <c r="F6191" s="15">
        <v>46286</v>
      </c>
      <c r="G6191" s="19" t="s">
        <v>737</v>
      </c>
      <c r="H6191">
        <v>4</v>
      </c>
      <c r="I6191">
        <v>2026</v>
      </c>
      <c r="J6191">
        <v>9</v>
      </c>
      <c r="K6191" s="19" t="s">
        <v>282</v>
      </c>
      <c r="L6191" s="19" t="s">
        <v>13</v>
      </c>
      <c r="M6191" s="19" t="s">
        <v>6</v>
      </c>
      <c r="N6191" t="b">
        <v>0</v>
      </c>
      <c r="O6191">
        <v>1</v>
      </c>
      <c r="P6191">
        <v>0</v>
      </c>
      <c r="Q6191">
        <v>0</v>
      </c>
      <c r="R6191">
        <v>0</v>
      </c>
    </row>
    <row r="6192" spans="1:18" x14ac:dyDescent="0.45">
      <c r="A6192" s="19" t="s">
        <v>578</v>
      </c>
      <c r="B6192" s="19" t="s">
        <v>8</v>
      </c>
      <c r="C6192">
        <v>2</v>
      </c>
      <c r="D6192">
        <v>3</v>
      </c>
      <c r="E6192">
        <v>1</v>
      </c>
      <c r="F6192" s="15">
        <v>46286</v>
      </c>
      <c r="G6192" s="19" t="s">
        <v>737</v>
      </c>
      <c r="H6192">
        <v>4</v>
      </c>
      <c r="I6192">
        <v>2026</v>
      </c>
      <c r="J6192">
        <v>9</v>
      </c>
      <c r="K6192" s="19" t="s">
        <v>282</v>
      </c>
      <c r="L6192" s="19" t="s">
        <v>9</v>
      </c>
      <c r="M6192" s="19" t="s">
        <v>6</v>
      </c>
      <c r="N6192" t="b">
        <v>0</v>
      </c>
      <c r="O6192">
        <v>1</v>
      </c>
      <c r="P6192">
        <v>0</v>
      </c>
      <c r="Q6192">
        <v>0</v>
      </c>
      <c r="R6192">
        <v>0</v>
      </c>
    </row>
    <row r="6193" spans="1:18" x14ac:dyDescent="0.45">
      <c r="A6193" s="19" t="s">
        <v>578</v>
      </c>
      <c r="B6193" s="19" t="s">
        <v>8</v>
      </c>
      <c r="C6193">
        <v>2</v>
      </c>
      <c r="D6193">
        <v>3</v>
      </c>
      <c r="E6193">
        <v>1</v>
      </c>
      <c r="F6193" s="15">
        <v>46286</v>
      </c>
      <c r="G6193" s="19" t="s">
        <v>737</v>
      </c>
      <c r="H6193">
        <v>4</v>
      </c>
      <c r="I6193">
        <v>2026</v>
      </c>
      <c r="J6193">
        <v>9</v>
      </c>
      <c r="K6193" s="19" t="s">
        <v>282</v>
      </c>
      <c r="L6193" s="19" t="s">
        <v>325</v>
      </c>
      <c r="M6193" s="19" t="s">
        <v>6</v>
      </c>
      <c r="N6193" t="b">
        <v>0</v>
      </c>
      <c r="O6193">
        <v>1</v>
      </c>
      <c r="P6193">
        <v>0</v>
      </c>
      <c r="Q6193">
        <v>0</v>
      </c>
      <c r="R6193">
        <v>0</v>
      </c>
    </row>
    <row r="6194" spans="1:18" x14ac:dyDescent="0.45">
      <c r="A6194" s="19" t="s">
        <v>9</v>
      </c>
      <c r="B6194" s="19" t="s">
        <v>6</v>
      </c>
      <c r="C6194">
        <v>3</v>
      </c>
      <c r="D6194">
        <v>3</v>
      </c>
      <c r="E6194">
        <v>1</v>
      </c>
      <c r="F6194" s="15">
        <v>46286</v>
      </c>
      <c r="G6194" s="19" t="s">
        <v>737</v>
      </c>
      <c r="H6194">
        <v>4</v>
      </c>
      <c r="I6194">
        <v>2026</v>
      </c>
      <c r="J6194">
        <v>9</v>
      </c>
      <c r="K6194" s="19" t="s">
        <v>282</v>
      </c>
      <c r="L6194" s="19" t="s">
        <v>13</v>
      </c>
      <c r="M6194" s="19" t="s">
        <v>6</v>
      </c>
      <c r="N6194" t="b">
        <v>0</v>
      </c>
      <c r="O6194">
        <v>0</v>
      </c>
      <c r="P6194">
        <v>1</v>
      </c>
      <c r="Q6194">
        <v>0</v>
      </c>
      <c r="R6194">
        <v>0</v>
      </c>
    </row>
    <row r="6195" spans="1:18" x14ac:dyDescent="0.45">
      <c r="A6195" s="19" t="s">
        <v>9</v>
      </c>
      <c r="B6195" s="19" t="s">
        <v>6</v>
      </c>
      <c r="C6195">
        <v>3</v>
      </c>
      <c r="D6195">
        <v>3</v>
      </c>
      <c r="E6195">
        <v>1</v>
      </c>
      <c r="F6195" s="15">
        <v>46286</v>
      </c>
      <c r="G6195" s="19" t="s">
        <v>737</v>
      </c>
      <c r="H6195">
        <v>4</v>
      </c>
      <c r="I6195">
        <v>2026</v>
      </c>
      <c r="J6195">
        <v>9</v>
      </c>
      <c r="K6195" s="19" t="s">
        <v>282</v>
      </c>
      <c r="L6195" s="19" t="s">
        <v>578</v>
      </c>
      <c r="M6195" s="19" t="s">
        <v>8</v>
      </c>
      <c r="N6195" t="b">
        <v>0</v>
      </c>
      <c r="O6195">
        <v>0</v>
      </c>
      <c r="P6195">
        <v>1</v>
      </c>
      <c r="Q6195">
        <v>0</v>
      </c>
      <c r="R6195">
        <v>1</v>
      </c>
    </row>
    <row r="6196" spans="1:18" x14ac:dyDescent="0.45">
      <c r="A6196" s="19" t="s">
        <v>9</v>
      </c>
      <c r="B6196" s="19" t="s">
        <v>6</v>
      </c>
      <c r="C6196">
        <v>3</v>
      </c>
      <c r="D6196">
        <v>3</v>
      </c>
      <c r="E6196">
        <v>1</v>
      </c>
      <c r="F6196" s="15">
        <v>46286</v>
      </c>
      <c r="G6196" s="19" t="s">
        <v>737</v>
      </c>
      <c r="H6196">
        <v>4</v>
      </c>
      <c r="I6196">
        <v>2026</v>
      </c>
      <c r="J6196">
        <v>9</v>
      </c>
      <c r="K6196" s="19" t="s">
        <v>282</v>
      </c>
      <c r="L6196" s="19" t="s">
        <v>325</v>
      </c>
      <c r="M6196" s="19" t="s">
        <v>6</v>
      </c>
      <c r="N6196" t="b">
        <v>0</v>
      </c>
      <c r="O6196">
        <v>0</v>
      </c>
      <c r="P6196">
        <v>1</v>
      </c>
      <c r="Q6196">
        <v>0</v>
      </c>
      <c r="R6196">
        <v>0</v>
      </c>
    </row>
    <row r="6197" spans="1:18" x14ac:dyDescent="0.45">
      <c r="A6197" s="19" t="s">
        <v>325</v>
      </c>
      <c r="B6197" s="19" t="s">
        <v>6</v>
      </c>
      <c r="C6197">
        <v>4</v>
      </c>
      <c r="D6197">
        <v>3</v>
      </c>
      <c r="E6197">
        <v>1</v>
      </c>
      <c r="F6197" s="15">
        <v>46286</v>
      </c>
      <c r="G6197" s="19" t="s">
        <v>737</v>
      </c>
      <c r="H6197">
        <v>4</v>
      </c>
      <c r="I6197">
        <v>2026</v>
      </c>
      <c r="J6197">
        <v>9</v>
      </c>
      <c r="K6197" s="19" t="s">
        <v>282</v>
      </c>
      <c r="L6197" s="19" t="s">
        <v>13</v>
      </c>
      <c r="M6197" s="19" t="s">
        <v>6</v>
      </c>
      <c r="N6197" t="b">
        <v>0</v>
      </c>
      <c r="O6197">
        <v>0</v>
      </c>
      <c r="P6197">
        <v>1</v>
      </c>
      <c r="Q6197">
        <v>0</v>
      </c>
      <c r="R6197">
        <v>0</v>
      </c>
    </row>
    <row r="6198" spans="1:18" x14ac:dyDescent="0.45">
      <c r="A6198" s="19" t="s">
        <v>325</v>
      </c>
      <c r="B6198" s="19" t="s">
        <v>6</v>
      </c>
      <c r="C6198">
        <v>4</v>
      </c>
      <c r="D6198">
        <v>3</v>
      </c>
      <c r="E6198">
        <v>1</v>
      </c>
      <c r="F6198" s="15">
        <v>46286</v>
      </c>
      <c r="G6198" s="19" t="s">
        <v>737</v>
      </c>
      <c r="H6198">
        <v>4</v>
      </c>
      <c r="I6198">
        <v>2026</v>
      </c>
      <c r="J6198">
        <v>9</v>
      </c>
      <c r="K6198" s="19" t="s">
        <v>282</v>
      </c>
      <c r="L6198" s="19" t="s">
        <v>578</v>
      </c>
      <c r="M6198" s="19" t="s">
        <v>8</v>
      </c>
      <c r="N6198" t="b">
        <v>0</v>
      </c>
      <c r="O6198">
        <v>0</v>
      </c>
      <c r="P6198">
        <v>1</v>
      </c>
      <c r="Q6198">
        <v>0</v>
      </c>
      <c r="R6198">
        <v>1</v>
      </c>
    </row>
    <row r="6199" spans="1:18" x14ac:dyDescent="0.45">
      <c r="A6199" s="19" t="s">
        <v>325</v>
      </c>
      <c r="B6199" s="19" t="s">
        <v>6</v>
      </c>
      <c r="C6199">
        <v>4</v>
      </c>
      <c r="D6199">
        <v>3</v>
      </c>
      <c r="E6199">
        <v>1</v>
      </c>
      <c r="F6199" s="15">
        <v>46286</v>
      </c>
      <c r="G6199" s="19" t="s">
        <v>737</v>
      </c>
      <c r="H6199">
        <v>4</v>
      </c>
      <c r="I6199">
        <v>2026</v>
      </c>
      <c r="J6199">
        <v>9</v>
      </c>
      <c r="K6199" s="19" t="s">
        <v>282</v>
      </c>
      <c r="L6199" s="19" t="s">
        <v>9</v>
      </c>
      <c r="M6199" s="19" t="s">
        <v>6</v>
      </c>
      <c r="N6199" t="b">
        <v>0</v>
      </c>
      <c r="O6199">
        <v>0</v>
      </c>
      <c r="P6199">
        <v>1</v>
      </c>
      <c r="Q6199">
        <v>0</v>
      </c>
      <c r="R6199">
        <v>0</v>
      </c>
    </row>
    <row r="6200" spans="1:18" x14ac:dyDescent="0.45">
      <c r="A6200" s="19" t="s">
        <v>609</v>
      </c>
      <c r="B6200" s="19" t="s">
        <v>6</v>
      </c>
      <c r="C6200">
        <v>1</v>
      </c>
      <c r="D6200">
        <v>4</v>
      </c>
      <c r="E6200">
        <v>1</v>
      </c>
      <c r="F6200" s="15">
        <v>46286</v>
      </c>
      <c r="G6200" s="19" t="s">
        <v>738</v>
      </c>
      <c r="H6200">
        <v>4</v>
      </c>
      <c r="I6200">
        <v>2026</v>
      </c>
      <c r="J6200">
        <v>9</v>
      </c>
      <c r="K6200" s="19" t="s">
        <v>282</v>
      </c>
      <c r="L6200" s="19" t="s">
        <v>10</v>
      </c>
      <c r="M6200" s="19" t="s">
        <v>6</v>
      </c>
      <c r="N6200" t="b">
        <v>0</v>
      </c>
      <c r="O6200">
        <v>0</v>
      </c>
      <c r="P6200">
        <v>1</v>
      </c>
      <c r="Q6200">
        <v>0</v>
      </c>
      <c r="R6200">
        <v>0</v>
      </c>
    </row>
    <row r="6201" spans="1:18" x14ac:dyDescent="0.45">
      <c r="A6201" s="19" t="s">
        <v>609</v>
      </c>
      <c r="B6201" s="19" t="s">
        <v>6</v>
      </c>
      <c r="C6201">
        <v>1</v>
      </c>
      <c r="D6201">
        <v>4</v>
      </c>
      <c r="E6201">
        <v>1</v>
      </c>
      <c r="F6201" s="15">
        <v>46286</v>
      </c>
      <c r="G6201" s="19" t="s">
        <v>738</v>
      </c>
      <c r="H6201">
        <v>4</v>
      </c>
      <c r="I6201">
        <v>2026</v>
      </c>
      <c r="J6201">
        <v>9</v>
      </c>
      <c r="K6201" s="19" t="s">
        <v>282</v>
      </c>
      <c r="L6201" s="19" t="s">
        <v>540</v>
      </c>
      <c r="M6201" s="19" t="s">
        <v>6</v>
      </c>
      <c r="N6201" t="b">
        <v>0</v>
      </c>
      <c r="O6201">
        <v>0</v>
      </c>
      <c r="P6201">
        <v>1</v>
      </c>
      <c r="Q6201">
        <v>0</v>
      </c>
      <c r="R6201">
        <v>0</v>
      </c>
    </row>
    <row r="6202" spans="1:18" x14ac:dyDescent="0.45">
      <c r="A6202" s="19" t="s">
        <v>609</v>
      </c>
      <c r="B6202" s="19" t="s">
        <v>6</v>
      </c>
      <c r="C6202">
        <v>1</v>
      </c>
      <c r="D6202">
        <v>4</v>
      </c>
      <c r="E6202">
        <v>1</v>
      </c>
      <c r="F6202" s="15">
        <v>46286</v>
      </c>
      <c r="G6202" s="19" t="s">
        <v>738</v>
      </c>
      <c r="H6202">
        <v>4</v>
      </c>
      <c r="I6202">
        <v>2026</v>
      </c>
      <c r="J6202">
        <v>9</v>
      </c>
      <c r="K6202" s="19" t="s">
        <v>282</v>
      </c>
      <c r="L6202" s="19" t="s">
        <v>14</v>
      </c>
      <c r="M6202" s="19" t="s">
        <v>8</v>
      </c>
      <c r="N6202" t="b">
        <v>0</v>
      </c>
      <c r="O6202">
        <v>0</v>
      </c>
      <c r="P6202">
        <v>1</v>
      </c>
      <c r="Q6202">
        <v>0</v>
      </c>
      <c r="R6202">
        <v>1</v>
      </c>
    </row>
    <row r="6203" spans="1:18" x14ac:dyDescent="0.45">
      <c r="A6203" s="19" t="s">
        <v>10</v>
      </c>
      <c r="B6203" s="19" t="s">
        <v>6</v>
      </c>
      <c r="C6203">
        <v>2</v>
      </c>
      <c r="D6203">
        <v>4</v>
      </c>
      <c r="E6203">
        <v>1</v>
      </c>
      <c r="F6203" s="15">
        <v>46286</v>
      </c>
      <c r="G6203" s="19" t="s">
        <v>738</v>
      </c>
      <c r="H6203">
        <v>4</v>
      </c>
      <c r="I6203">
        <v>2026</v>
      </c>
      <c r="J6203">
        <v>9</v>
      </c>
      <c r="K6203" s="19" t="s">
        <v>282</v>
      </c>
      <c r="L6203" s="19" t="s">
        <v>609</v>
      </c>
      <c r="M6203" s="19" t="s">
        <v>6</v>
      </c>
      <c r="N6203" t="b">
        <v>0</v>
      </c>
      <c r="O6203">
        <v>0</v>
      </c>
      <c r="P6203">
        <v>1</v>
      </c>
      <c r="Q6203">
        <v>0</v>
      </c>
      <c r="R6203">
        <v>0</v>
      </c>
    </row>
    <row r="6204" spans="1:18" x14ac:dyDescent="0.45">
      <c r="A6204" s="19" t="s">
        <v>10</v>
      </c>
      <c r="B6204" s="19" t="s">
        <v>6</v>
      </c>
      <c r="C6204">
        <v>2</v>
      </c>
      <c r="D6204">
        <v>4</v>
      </c>
      <c r="E6204">
        <v>1</v>
      </c>
      <c r="F6204" s="15">
        <v>46286</v>
      </c>
      <c r="G6204" s="19" t="s">
        <v>738</v>
      </c>
      <c r="H6204">
        <v>4</v>
      </c>
      <c r="I6204">
        <v>2026</v>
      </c>
      <c r="J6204">
        <v>9</v>
      </c>
      <c r="K6204" s="19" t="s">
        <v>282</v>
      </c>
      <c r="L6204" s="19" t="s">
        <v>540</v>
      </c>
      <c r="M6204" s="19" t="s">
        <v>6</v>
      </c>
      <c r="N6204" t="b">
        <v>0</v>
      </c>
      <c r="O6204">
        <v>0</v>
      </c>
      <c r="P6204">
        <v>1</v>
      </c>
      <c r="Q6204">
        <v>0</v>
      </c>
      <c r="R6204">
        <v>0</v>
      </c>
    </row>
    <row r="6205" spans="1:18" x14ac:dyDescent="0.45">
      <c r="A6205" s="19" t="s">
        <v>10</v>
      </c>
      <c r="B6205" s="19" t="s">
        <v>6</v>
      </c>
      <c r="C6205">
        <v>2</v>
      </c>
      <c r="D6205">
        <v>4</v>
      </c>
      <c r="E6205">
        <v>1</v>
      </c>
      <c r="F6205" s="15">
        <v>46286</v>
      </c>
      <c r="G6205" s="19" t="s">
        <v>738</v>
      </c>
      <c r="H6205">
        <v>4</v>
      </c>
      <c r="I6205">
        <v>2026</v>
      </c>
      <c r="J6205">
        <v>9</v>
      </c>
      <c r="K6205" s="19" t="s">
        <v>282</v>
      </c>
      <c r="L6205" s="19" t="s">
        <v>14</v>
      </c>
      <c r="M6205" s="19" t="s">
        <v>8</v>
      </c>
      <c r="N6205" t="b">
        <v>0</v>
      </c>
      <c r="O6205">
        <v>0</v>
      </c>
      <c r="P6205">
        <v>1</v>
      </c>
      <c r="Q6205">
        <v>0</v>
      </c>
      <c r="R6205">
        <v>1</v>
      </c>
    </row>
    <row r="6206" spans="1:18" x14ac:dyDescent="0.45">
      <c r="A6206" s="19" t="s">
        <v>540</v>
      </c>
      <c r="B6206" s="19" t="s">
        <v>6</v>
      </c>
      <c r="C6206">
        <v>3</v>
      </c>
      <c r="D6206">
        <v>4</v>
      </c>
      <c r="E6206">
        <v>1</v>
      </c>
      <c r="F6206" s="15">
        <v>46286</v>
      </c>
      <c r="G6206" s="19" t="s">
        <v>738</v>
      </c>
      <c r="H6206">
        <v>4</v>
      </c>
      <c r="I6206">
        <v>2026</v>
      </c>
      <c r="J6206">
        <v>9</v>
      </c>
      <c r="K6206" s="19" t="s">
        <v>282</v>
      </c>
      <c r="L6206" s="19" t="s">
        <v>609</v>
      </c>
      <c r="M6206" s="19" t="s">
        <v>6</v>
      </c>
      <c r="N6206" t="b">
        <v>0</v>
      </c>
      <c r="O6206">
        <v>0</v>
      </c>
      <c r="P6206">
        <v>1</v>
      </c>
      <c r="Q6206">
        <v>0</v>
      </c>
      <c r="R6206">
        <v>0</v>
      </c>
    </row>
    <row r="6207" spans="1:18" x14ac:dyDescent="0.45">
      <c r="A6207" s="19" t="s">
        <v>540</v>
      </c>
      <c r="B6207" s="19" t="s">
        <v>6</v>
      </c>
      <c r="C6207">
        <v>3</v>
      </c>
      <c r="D6207">
        <v>4</v>
      </c>
      <c r="E6207">
        <v>1</v>
      </c>
      <c r="F6207" s="15">
        <v>46286</v>
      </c>
      <c r="G6207" s="19" t="s">
        <v>738</v>
      </c>
      <c r="H6207">
        <v>4</v>
      </c>
      <c r="I6207">
        <v>2026</v>
      </c>
      <c r="J6207">
        <v>9</v>
      </c>
      <c r="K6207" s="19" t="s">
        <v>282</v>
      </c>
      <c r="L6207" s="19" t="s">
        <v>10</v>
      </c>
      <c r="M6207" s="19" t="s">
        <v>6</v>
      </c>
      <c r="N6207" t="b">
        <v>0</v>
      </c>
      <c r="O6207">
        <v>0</v>
      </c>
      <c r="P6207">
        <v>1</v>
      </c>
      <c r="Q6207">
        <v>0</v>
      </c>
      <c r="R6207">
        <v>0</v>
      </c>
    </row>
    <row r="6208" spans="1:18" x14ac:dyDescent="0.45">
      <c r="A6208" s="19" t="s">
        <v>540</v>
      </c>
      <c r="B6208" s="19" t="s">
        <v>6</v>
      </c>
      <c r="C6208">
        <v>3</v>
      </c>
      <c r="D6208">
        <v>4</v>
      </c>
      <c r="E6208">
        <v>1</v>
      </c>
      <c r="F6208" s="15">
        <v>46286</v>
      </c>
      <c r="G6208" s="19" t="s">
        <v>738</v>
      </c>
      <c r="H6208">
        <v>4</v>
      </c>
      <c r="I6208">
        <v>2026</v>
      </c>
      <c r="J6208">
        <v>9</v>
      </c>
      <c r="K6208" s="19" t="s">
        <v>282</v>
      </c>
      <c r="L6208" s="19" t="s">
        <v>14</v>
      </c>
      <c r="M6208" s="19" t="s">
        <v>8</v>
      </c>
      <c r="N6208" t="b">
        <v>0</v>
      </c>
      <c r="O6208">
        <v>0</v>
      </c>
      <c r="P6208">
        <v>1</v>
      </c>
      <c r="Q6208">
        <v>0</v>
      </c>
      <c r="R6208">
        <v>1</v>
      </c>
    </row>
    <row r="6209" spans="1:18" x14ac:dyDescent="0.45">
      <c r="A6209" s="19" t="s">
        <v>14</v>
      </c>
      <c r="B6209" s="19" t="s">
        <v>8</v>
      </c>
      <c r="C6209">
        <v>4</v>
      </c>
      <c r="D6209">
        <v>4</v>
      </c>
      <c r="E6209">
        <v>1</v>
      </c>
      <c r="F6209" s="15">
        <v>46286</v>
      </c>
      <c r="G6209" s="19" t="s">
        <v>738</v>
      </c>
      <c r="H6209">
        <v>4</v>
      </c>
      <c r="I6209">
        <v>2026</v>
      </c>
      <c r="J6209">
        <v>9</v>
      </c>
      <c r="K6209" s="19" t="s">
        <v>282</v>
      </c>
      <c r="L6209" s="19" t="s">
        <v>609</v>
      </c>
      <c r="M6209" s="19" t="s">
        <v>6</v>
      </c>
      <c r="N6209" t="b">
        <v>0</v>
      </c>
      <c r="O6209">
        <v>1</v>
      </c>
      <c r="P6209">
        <v>0</v>
      </c>
      <c r="Q6209">
        <v>0</v>
      </c>
      <c r="R6209">
        <v>0</v>
      </c>
    </row>
    <row r="6210" spans="1:18" x14ac:dyDescent="0.45">
      <c r="A6210" s="19" t="s">
        <v>14</v>
      </c>
      <c r="B6210" s="19" t="s">
        <v>8</v>
      </c>
      <c r="C6210">
        <v>4</v>
      </c>
      <c r="D6210">
        <v>4</v>
      </c>
      <c r="E6210">
        <v>1</v>
      </c>
      <c r="F6210" s="15">
        <v>46286</v>
      </c>
      <c r="G6210" s="19" t="s">
        <v>738</v>
      </c>
      <c r="H6210">
        <v>4</v>
      </c>
      <c r="I6210">
        <v>2026</v>
      </c>
      <c r="J6210">
        <v>9</v>
      </c>
      <c r="K6210" s="19" t="s">
        <v>282</v>
      </c>
      <c r="L6210" s="19" t="s">
        <v>10</v>
      </c>
      <c r="M6210" s="19" t="s">
        <v>6</v>
      </c>
      <c r="N6210" t="b">
        <v>0</v>
      </c>
      <c r="O6210">
        <v>1</v>
      </c>
      <c r="P6210">
        <v>0</v>
      </c>
      <c r="Q6210">
        <v>0</v>
      </c>
      <c r="R6210">
        <v>0</v>
      </c>
    </row>
    <row r="6211" spans="1:18" x14ac:dyDescent="0.45">
      <c r="A6211" s="19" t="s">
        <v>14</v>
      </c>
      <c r="B6211" s="19" t="s">
        <v>8</v>
      </c>
      <c r="C6211">
        <v>4</v>
      </c>
      <c r="D6211">
        <v>4</v>
      </c>
      <c r="E6211">
        <v>1</v>
      </c>
      <c r="F6211" s="15">
        <v>46286</v>
      </c>
      <c r="G6211" s="19" t="s">
        <v>738</v>
      </c>
      <c r="H6211">
        <v>4</v>
      </c>
      <c r="I6211">
        <v>2026</v>
      </c>
      <c r="J6211">
        <v>9</v>
      </c>
      <c r="K6211" s="19" t="s">
        <v>282</v>
      </c>
      <c r="L6211" s="19" t="s">
        <v>540</v>
      </c>
      <c r="M6211" s="19" t="s">
        <v>6</v>
      </c>
      <c r="N6211" t="b">
        <v>0</v>
      </c>
      <c r="O6211">
        <v>1</v>
      </c>
      <c r="P6211">
        <v>0</v>
      </c>
      <c r="Q6211">
        <v>0</v>
      </c>
      <c r="R6211">
        <v>0</v>
      </c>
    </row>
    <row r="6212" spans="1:18" x14ac:dyDescent="0.45">
      <c r="A6212" s="19" t="s">
        <v>608</v>
      </c>
      <c r="B6212" s="19" t="s">
        <v>6</v>
      </c>
      <c r="C6212">
        <v>1</v>
      </c>
      <c r="D6212">
        <v>5</v>
      </c>
      <c r="E6212">
        <v>1</v>
      </c>
      <c r="F6212" s="15">
        <v>46286</v>
      </c>
      <c r="G6212" s="19" t="s">
        <v>739</v>
      </c>
      <c r="H6212">
        <v>4</v>
      </c>
      <c r="I6212">
        <v>2026</v>
      </c>
      <c r="J6212">
        <v>9</v>
      </c>
      <c r="K6212" s="19" t="s">
        <v>282</v>
      </c>
      <c r="L6212" s="19" t="s">
        <v>17</v>
      </c>
      <c r="M6212" s="19" t="s">
        <v>6</v>
      </c>
      <c r="N6212" t="b">
        <v>0</v>
      </c>
      <c r="O6212">
        <v>0</v>
      </c>
      <c r="P6212">
        <v>1</v>
      </c>
      <c r="Q6212">
        <v>0</v>
      </c>
      <c r="R6212">
        <v>0</v>
      </c>
    </row>
    <row r="6213" spans="1:18" x14ac:dyDescent="0.45">
      <c r="A6213" s="19" t="s">
        <v>608</v>
      </c>
      <c r="B6213" s="19" t="s">
        <v>6</v>
      </c>
      <c r="C6213">
        <v>1</v>
      </c>
      <c r="D6213">
        <v>5</v>
      </c>
      <c r="E6213">
        <v>1</v>
      </c>
      <c r="F6213" s="15">
        <v>46286</v>
      </c>
      <c r="G6213" s="19" t="s">
        <v>739</v>
      </c>
      <c r="H6213">
        <v>4</v>
      </c>
      <c r="I6213">
        <v>2026</v>
      </c>
      <c r="J6213">
        <v>9</v>
      </c>
      <c r="K6213" s="19" t="s">
        <v>282</v>
      </c>
      <c r="L6213" s="19" t="s">
        <v>364</v>
      </c>
      <c r="M6213" s="19" t="s">
        <v>6</v>
      </c>
      <c r="N6213" t="b">
        <v>0</v>
      </c>
      <c r="O6213">
        <v>0</v>
      </c>
      <c r="P6213">
        <v>1</v>
      </c>
      <c r="Q6213">
        <v>0</v>
      </c>
      <c r="R6213">
        <v>0</v>
      </c>
    </row>
    <row r="6214" spans="1:18" x14ac:dyDescent="0.45">
      <c r="A6214" s="19" t="s">
        <v>608</v>
      </c>
      <c r="B6214" s="19" t="s">
        <v>6</v>
      </c>
      <c r="C6214">
        <v>1</v>
      </c>
      <c r="D6214">
        <v>5</v>
      </c>
      <c r="E6214">
        <v>1</v>
      </c>
      <c r="F6214" s="15">
        <v>46286</v>
      </c>
      <c r="G6214" s="19" t="s">
        <v>739</v>
      </c>
      <c r="H6214">
        <v>4</v>
      </c>
      <c r="I6214">
        <v>2026</v>
      </c>
      <c r="J6214">
        <v>9</v>
      </c>
      <c r="K6214" s="19" t="s">
        <v>282</v>
      </c>
      <c r="L6214" s="19" t="s">
        <v>20</v>
      </c>
      <c r="M6214" s="19" t="s">
        <v>8</v>
      </c>
      <c r="N6214" t="b">
        <v>0</v>
      </c>
      <c r="O6214">
        <v>0</v>
      </c>
      <c r="P6214">
        <v>1</v>
      </c>
      <c r="Q6214">
        <v>0</v>
      </c>
      <c r="R6214">
        <v>1</v>
      </c>
    </row>
    <row r="6215" spans="1:18" x14ac:dyDescent="0.45">
      <c r="A6215" s="19" t="s">
        <v>17</v>
      </c>
      <c r="B6215" s="19" t="s">
        <v>6</v>
      </c>
      <c r="C6215">
        <v>2</v>
      </c>
      <c r="D6215">
        <v>5</v>
      </c>
      <c r="E6215">
        <v>1</v>
      </c>
      <c r="F6215" s="15">
        <v>46286</v>
      </c>
      <c r="G6215" s="19" t="s">
        <v>739</v>
      </c>
      <c r="H6215">
        <v>4</v>
      </c>
      <c r="I6215">
        <v>2026</v>
      </c>
      <c r="J6215">
        <v>9</v>
      </c>
      <c r="K6215" s="19" t="s">
        <v>282</v>
      </c>
      <c r="L6215" s="19" t="s">
        <v>608</v>
      </c>
      <c r="M6215" s="19" t="s">
        <v>6</v>
      </c>
      <c r="N6215" t="b">
        <v>0</v>
      </c>
      <c r="O6215">
        <v>0</v>
      </c>
      <c r="P6215">
        <v>1</v>
      </c>
      <c r="Q6215">
        <v>0</v>
      </c>
      <c r="R6215">
        <v>0</v>
      </c>
    </row>
    <row r="6216" spans="1:18" x14ac:dyDescent="0.45">
      <c r="A6216" s="19" t="s">
        <v>17</v>
      </c>
      <c r="B6216" s="19" t="s">
        <v>6</v>
      </c>
      <c r="C6216">
        <v>2</v>
      </c>
      <c r="D6216">
        <v>5</v>
      </c>
      <c r="E6216">
        <v>1</v>
      </c>
      <c r="F6216" s="15">
        <v>46286</v>
      </c>
      <c r="G6216" s="19" t="s">
        <v>739</v>
      </c>
      <c r="H6216">
        <v>4</v>
      </c>
      <c r="I6216">
        <v>2026</v>
      </c>
      <c r="J6216">
        <v>9</v>
      </c>
      <c r="K6216" s="19" t="s">
        <v>282</v>
      </c>
      <c r="L6216" s="19" t="s">
        <v>364</v>
      </c>
      <c r="M6216" s="19" t="s">
        <v>6</v>
      </c>
      <c r="N6216" t="b">
        <v>0</v>
      </c>
      <c r="O6216">
        <v>0</v>
      </c>
      <c r="P6216">
        <v>1</v>
      </c>
      <c r="Q6216">
        <v>0</v>
      </c>
      <c r="R6216">
        <v>0</v>
      </c>
    </row>
    <row r="6217" spans="1:18" x14ac:dyDescent="0.45">
      <c r="A6217" s="19" t="s">
        <v>17</v>
      </c>
      <c r="B6217" s="19" t="s">
        <v>6</v>
      </c>
      <c r="C6217">
        <v>2</v>
      </c>
      <c r="D6217">
        <v>5</v>
      </c>
      <c r="E6217">
        <v>1</v>
      </c>
      <c r="F6217" s="15">
        <v>46286</v>
      </c>
      <c r="G6217" s="19" t="s">
        <v>739</v>
      </c>
      <c r="H6217">
        <v>4</v>
      </c>
      <c r="I6217">
        <v>2026</v>
      </c>
      <c r="J6217">
        <v>9</v>
      </c>
      <c r="K6217" s="19" t="s">
        <v>282</v>
      </c>
      <c r="L6217" s="19" t="s">
        <v>20</v>
      </c>
      <c r="M6217" s="19" t="s">
        <v>8</v>
      </c>
      <c r="N6217" t="b">
        <v>0</v>
      </c>
      <c r="O6217">
        <v>0</v>
      </c>
      <c r="P6217">
        <v>1</v>
      </c>
      <c r="Q6217">
        <v>0</v>
      </c>
      <c r="R6217">
        <v>1</v>
      </c>
    </row>
    <row r="6218" spans="1:18" x14ac:dyDescent="0.45">
      <c r="A6218" s="19" t="s">
        <v>364</v>
      </c>
      <c r="B6218" s="19" t="s">
        <v>6</v>
      </c>
      <c r="C6218">
        <v>3</v>
      </c>
      <c r="D6218">
        <v>5</v>
      </c>
      <c r="E6218">
        <v>1</v>
      </c>
      <c r="F6218" s="15">
        <v>46286</v>
      </c>
      <c r="G6218" s="19" t="s">
        <v>739</v>
      </c>
      <c r="H6218">
        <v>4</v>
      </c>
      <c r="I6218">
        <v>2026</v>
      </c>
      <c r="J6218">
        <v>9</v>
      </c>
      <c r="K6218" s="19" t="s">
        <v>282</v>
      </c>
      <c r="L6218" s="19" t="s">
        <v>608</v>
      </c>
      <c r="M6218" s="19" t="s">
        <v>6</v>
      </c>
      <c r="N6218" t="b">
        <v>0</v>
      </c>
      <c r="O6218">
        <v>0</v>
      </c>
      <c r="P6218">
        <v>1</v>
      </c>
      <c r="Q6218">
        <v>0</v>
      </c>
      <c r="R6218">
        <v>0</v>
      </c>
    </row>
    <row r="6219" spans="1:18" x14ac:dyDescent="0.45">
      <c r="A6219" s="19" t="s">
        <v>364</v>
      </c>
      <c r="B6219" s="19" t="s">
        <v>6</v>
      </c>
      <c r="C6219">
        <v>3</v>
      </c>
      <c r="D6219">
        <v>5</v>
      </c>
      <c r="E6219">
        <v>1</v>
      </c>
      <c r="F6219" s="15">
        <v>46286</v>
      </c>
      <c r="G6219" s="19" t="s">
        <v>739</v>
      </c>
      <c r="H6219">
        <v>4</v>
      </c>
      <c r="I6219">
        <v>2026</v>
      </c>
      <c r="J6219">
        <v>9</v>
      </c>
      <c r="K6219" s="19" t="s">
        <v>282</v>
      </c>
      <c r="L6219" s="19" t="s">
        <v>17</v>
      </c>
      <c r="M6219" s="19" t="s">
        <v>6</v>
      </c>
      <c r="N6219" t="b">
        <v>0</v>
      </c>
      <c r="O6219">
        <v>0</v>
      </c>
      <c r="P6219">
        <v>1</v>
      </c>
      <c r="Q6219">
        <v>0</v>
      </c>
      <c r="R6219">
        <v>0</v>
      </c>
    </row>
    <row r="6220" spans="1:18" x14ac:dyDescent="0.45">
      <c r="A6220" s="19" t="s">
        <v>364</v>
      </c>
      <c r="B6220" s="19" t="s">
        <v>6</v>
      </c>
      <c r="C6220">
        <v>3</v>
      </c>
      <c r="D6220">
        <v>5</v>
      </c>
      <c r="E6220">
        <v>1</v>
      </c>
      <c r="F6220" s="15">
        <v>46286</v>
      </c>
      <c r="G6220" s="19" t="s">
        <v>739</v>
      </c>
      <c r="H6220">
        <v>4</v>
      </c>
      <c r="I6220">
        <v>2026</v>
      </c>
      <c r="J6220">
        <v>9</v>
      </c>
      <c r="K6220" s="19" t="s">
        <v>282</v>
      </c>
      <c r="L6220" s="19" t="s">
        <v>20</v>
      </c>
      <c r="M6220" s="19" t="s">
        <v>8</v>
      </c>
      <c r="N6220" t="b">
        <v>0</v>
      </c>
      <c r="O6220">
        <v>0</v>
      </c>
      <c r="P6220">
        <v>1</v>
      </c>
      <c r="Q6220">
        <v>0</v>
      </c>
      <c r="R6220">
        <v>1</v>
      </c>
    </row>
    <row r="6221" spans="1:18" x14ac:dyDescent="0.45">
      <c r="A6221" s="19" t="s">
        <v>20</v>
      </c>
      <c r="B6221" s="19" t="s">
        <v>8</v>
      </c>
      <c r="C6221">
        <v>4</v>
      </c>
      <c r="D6221">
        <v>5</v>
      </c>
      <c r="E6221">
        <v>1</v>
      </c>
      <c r="F6221" s="15">
        <v>46286</v>
      </c>
      <c r="G6221" s="19" t="s">
        <v>739</v>
      </c>
      <c r="H6221">
        <v>4</v>
      </c>
      <c r="I6221">
        <v>2026</v>
      </c>
      <c r="J6221">
        <v>9</v>
      </c>
      <c r="K6221" s="19" t="s">
        <v>282</v>
      </c>
      <c r="L6221" s="19" t="s">
        <v>608</v>
      </c>
      <c r="M6221" s="19" t="s">
        <v>6</v>
      </c>
      <c r="N6221" t="b">
        <v>0</v>
      </c>
      <c r="O6221">
        <v>1</v>
      </c>
      <c r="P6221">
        <v>0</v>
      </c>
      <c r="Q6221">
        <v>0</v>
      </c>
      <c r="R6221">
        <v>0</v>
      </c>
    </row>
    <row r="6222" spans="1:18" x14ac:dyDescent="0.45">
      <c r="A6222" s="19" t="s">
        <v>20</v>
      </c>
      <c r="B6222" s="19" t="s">
        <v>8</v>
      </c>
      <c r="C6222">
        <v>4</v>
      </c>
      <c r="D6222">
        <v>5</v>
      </c>
      <c r="E6222">
        <v>1</v>
      </c>
      <c r="F6222" s="15">
        <v>46286</v>
      </c>
      <c r="G6222" s="19" t="s">
        <v>739</v>
      </c>
      <c r="H6222">
        <v>4</v>
      </c>
      <c r="I6222">
        <v>2026</v>
      </c>
      <c r="J6222">
        <v>9</v>
      </c>
      <c r="K6222" s="19" t="s">
        <v>282</v>
      </c>
      <c r="L6222" s="19" t="s">
        <v>17</v>
      </c>
      <c r="M6222" s="19" t="s">
        <v>6</v>
      </c>
      <c r="N6222" t="b">
        <v>0</v>
      </c>
      <c r="O6222">
        <v>1</v>
      </c>
      <c r="P6222">
        <v>0</v>
      </c>
      <c r="Q6222">
        <v>0</v>
      </c>
      <c r="R6222">
        <v>0</v>
      </c>
    </row>
    <row r="6223" spans="1:18" x14ac:dyDescent="0.45">
      <c r="A6223" s="19" t="s">
        <v>20</v>
      </c>
      <c r="B6223" s="19" t="s">
        <v>8</v>
      </c>
      <c r="C6223">
        <v>4</v>
      </c>
      <c r="D6223">
        <v>5</v>
      </c>
      <c r="E6223">
        <v>1</v>
      </c>
      <c r="F6223" s="15">
        <v>46286</v>
      </c>
      <c r="G6223" s="19" t="s">
        <v>739</v>
      </c>
      <c r="H6223">
        <v>4</v>
      </c>
      <c r="I6223">
        <v>2026</v>
      </c>
      <c r="J6223">
        <v>9</v>
      </c>
      <c r="K6223" s="19" t="s">
        <v>282</v>
      </c>
      <c r="L6223" s="19" t="s">
        <v>364</v>
      </c>
      <c r="M6223" s="19" t="s">
        <v>6</v>
      </c>
      <c r="N6223" t="b">
        <v>0</v>
      </c>
      <c r="O6223">
        <v>1</v>
      </c>
      <c r="P6223">
        <v>0</v>
      </c>
      <c r="Q6223">
        <v>0</v>
      </c>
      <c r="R6223">
        <v>0</v>
      </c>
    </row>
    <row r="6224" spans="1:18" x14ac:dyDescent="0.45">
      <c r="A6224" s="19" t="s">
        <v>734</v>
      </c>
      <c r="B6224" s="19" t="s">
        <v>6</v>
      </c>
      <c r="C6224">
        <v>1</v>
      </c>
      <c r="D6224">
        <v>6</v>
      </c>
      <c r="E6224">
        <v>1</v>
      </c>
      <c r="F6224" s="15">
        <v>46286</v>
      </c>
      <c r="G6224" s="19" t="s">
        <v>740</v>
      </c>
      <c r="H6224">
        <v>3</v>
      </c>
      <c r="I6224">
        <v>2026</v>
      </c>
      <c r="J6224">
        <v>9</v>
      </c>
      <c r="K6224" s="19" t="s">
        <v>282</v>
      </c>
      <c r="L6224" s="19" t="s">
        <v>28</v>
      </c>
      <c r="M6224" s="19" t="s">
        <v>6</v>
      </c>
      <c r="N6224" t="b">
        <v>0</v>
      </c>
      <c r="O6224">
        <v>0</v>
      </c>
      <c r="P6224">
        <v>1</v>
      </c>
      <c r="Q6224">
        <v>0</v>
      </c>
      <c r="R6224">
        <v>0</v>
      </c>
    </row>
    <row r="6225" spans="1:18" x14ac:dyDescent="0.45">
      <c r="A6225" s="19" t="s">
        <v>734</v>
      </c>
      <c r="B6225" s="19" t="s">
        <v>6</v>
      </c>
      <c r="C6225">
        <v>1</v>
      </c>
      <c r="D6225">
        <v>6</v>
      </c>
      <c r="E6225">
        <v>1</v>
      </c>
      <c r="F6225" s="15">
        <v>46286</v>
      </c>
      <c r="G6225" s="19" t="s">
        <v>740</v>
      </c>
      <c r="H6225">
        <v>3</v>
      </c>
      <c r="I6225">
        <v>2026</v>
      </c>
      <c r="J6225">
        <v>9</v>
      </c>
      <c r="K6225" s="19" t="s">
        <v>282</v>
      </c>
      <c r="L6225" s="19" t="s">
        <v>7</v>
      </c>
      <c r="M6225" s="19" t="s">
        <v>8</v>
      </c>
      <c r="N6225" t="b">
        <v>0</v>
      </c>
      <c r="O6225">
        <v>0</v>
      </c>
      <c r="P6225">
        <v>1</v>
      </c>
      <c r="Q6225">
        <v>0</v>
      </c>
      <c r="R6225">
        <v>1</v>
      </c>
    </row>
    <row r="6226" spans="1:18" x14ac:dyDescent="0.45">
      <c r="A6226" s="19" t="s">
        <v>28</v>
      </c>
      <c r="B6226" s="19" t="s">
        <v>6</v>
      </c>
      <c r="C6226">
        <v>2</v>
      </c>
      <c r="D6226">
        <v>6</v>
      </c>
      <c r="E6226">
        <v>1</v>
      </c>
      <c r="F6226" s="15">
        <v>46286</v>
      </c>
      <c r="G6226" s="19" t="s">
        <v>740</v>
      </c>
      <c r="H6226">
        <v>3</v>
      </c>
      <c r="I6226">
        <v>2026</v>
      </c>
      <c r="J6226">
        <v>9</v>
      </c>
      <c r="K6226" s="19" t="s">
        <v>282</v>
      </c>
      <c r="L6226" s="19" t="s">
        <v>734</v>
      </c>
      <c r="M6226" s="19" t="s">
        <v>6</v>
      </c>
      <c r="N6226" t="b">
        <v>0</v>
      </c>
      <c r="O6226">
        <v>0</v>
      </c>
      <c r="P6226">
        <v>1</v>
      </c>
      <c r="Q6226">
        <v>0</v>
      </c>
      <c r="R6226">
        <v>0</v>
      </c>
    </row>
    <row r="6227" spans="1:18" x14ac:dyDescent="0.45">
      <c r="A6227" s="19" t="s">
        <v>28</v>
      </c>
      <c r="B6227" s="19" t="s">
        <v>6</v>
      </c>
      <c r="C6227">
        <v>2</v>
      </c>
      <c r="D6227">
        <v>6</v>
      </c>
      <c r="E6227">
        <v>1</v>
      </c>
      <c r="F6227" s="15">
        <v>46286</v>
      </c>
      <c r="G6227" s="19" t="s">
        <v>740</v>
      </c>
      <c r="H6227">
        <v>3</v>
      </c>
      <c r="I6227">
        <v>2026</v>
      </c>
      <c r="J6227">
        <v>9</v>
      </c>
      <c r="K6227" s="19" t="s">
        <v>282</v>
      </c>
      <c r="L6227" s="19" t="s">
        <v>7</v>
      </c>
      <c r="M6227" s="19" t="s">
        <v>8</v>
      </c>
      <c r="N6227" t="b">
        <v>0</v>
      </c>
      <c r="O6227">
        <v>0</v>
      </c>
      <c r="P6227">
        <v>1</v>
      </c>
      <c r="Q6227">
        <v>0</v>
      </c>
      <c r="R6227">
        <v>1</v>
      </c>
    </row>
    <row r="6228" spans="1:18" x14ac:dyDescent="0.45">
      <c r="A6228" s="19" t="s">
        <v>7</v>
      </c>
      <c r="B6228" s="19" t="s">
        <v>8</v>
      </c>
      <c r="C6228">
        <v>3</v>
      </c>
      <c r="D6228">
        <v>6</v>
      </c>
      <c r="E6228">
        <v>1</v>
      </c>
      <c r="F6228" s="15">
        <v>46286</v>
      </c>
      <c r="G6228" s="19" t="s">
        <v>740</v>
      </c>
      <c r="H6228">
        <v>3</v>
      </c>
      <c r="I6228">
        <v>2026</v>
      </c>
      <c r="J6228">
        <v>9</v>
      </c>
      <c r="K6228" s="19" t="s">
        <v>282</v>
      </c>
      <c r="L6228" s="19" t="s">
        <v>734</v>
      </c>
      <c r="M6228" s="19" t="s">
        <v>6</v>
      </c>
      <c r="N6228" t="b">
        <v>0</v>
      </c>
      <c r="O6228">
        <v>1</v>
      </c>
      <c r="P6228">
        <v>0</v>
      </c>
      <c r="Q6228">
        <v>0</v>
      </c>
      <c r="R6228">
        <v>0</v>
      </c>
    </row>
    <row r="6229" spans="1:18" x14ac:dyDescent="0.45">
      <c r="A6229" s="19" t="s">
        <v>7</v>
      </c>
      <c r="B6229" s="19" t="s">
        <v>8</v>
      </c>
      <c r="C6229">
        <v>3</v>
      </c>
      <c r="D6229">
        <v>6</v>
      </c>
      <c r="E6229">
        <v>1</v>
      </c>
      <c r="F6229" s="15">
        <v>46286</v>
      </c>
      <c r="G6229" s="19" t="s">
        <v>740</v>
      </c>
      <c r="H6229">
        <v>3</v>
      </c>
      <c r="I6229">
        <v>2026</v>
      </c>
      <c r="J6229">
        <v>9</v>
      </c>
      <c r="K6229" s="19" t="s">
        <v>282</v>
      </c>
      <c r="L6229" s="19" t="s">
        <v>28</v>
      </c>
      <c r="M6229" s="19" t="s">
        <v>6</v>
      </c>
      <c r="N6229" t="b">
        <v>0</v>
      </c>
      <c r="O6229">
        <v>1</v>
      </c>
      <c r="P6229">
        <v>0</v>
      </c>
      <c r="Q6229">
        <v>0</v>
      </c>
      <c r="R6229">
        <v>0</v>
      </c>
    </row>
    <row r="6230" spans="1:18" x14ac:dyDescent="0.45">
      <c r="A6230" s="19" t="s">
        <v>9</v>
      </c>
      <c r="B6230" s="19" t="s">
        <v>63</v>
      </c>
      <c r="C6230">
        <v>1</v>
      </c>
      <c r="D6230">
        <v>1</v>
      </c>
      <c r="E6230">
        <v>2</v>
      </c>
      <c r="F6230" s="15">
        <v>46286</v>
      </c>
      <c r="G6230" s="19" t="s">
        <v>741</v>
      </c>
      <c r="H6230">
        <v>4</v>
      </c>
      <c r="I6230">
        <v>2026</v>
      </c>
      <c r="J6230">
        <v>9</v>
      </c>
      <c r="K6230" s="19" t="s">
        <v>282</v>
      </c>
      <c r="L6230" s="19" t="s">
        <v>540</v>
      </c>
      <c r="M6230" s="19" t="s">
        <v>63</v>
      </c>
      <c r="N6230" t="b">
        <v>0</v>
      </c>
      <c r="O6230">
        <v>0</v>
      </c>
      <c r="P6230">
        <v>0</v>
      </c>
      <c r="Q6230">
        <v>1</v>
      </c>
      <c r="R6230">
        <v>0</v>
      </c>
    </row>
    <row r="6231" spans="1:18" x14ac:dyDescent="0.45">
      <c r="A6231" s="19" t="s">
        <v>9</v>
      </c>
      <c r="B6231" s="19" t="s">
        <v>63</v>
      </c>
      <c r="C6231">
        <v>1</v>
      </c>
      <c r="D6231">
        <v>1</v>
      </c>
      <c r="E6231">
        <v>2</v>
      </c>
      <c r="F6231" s="15">
        <v>46286</v>
      </c>
      <c r="G6231" s="19" t="s">
        <v>741</v>
      </c>
      <c r="H6231">
        <v>4</v>
      </c>
      <c r="I6231">
        <v>2026</v>
      </c>
      <c r="J6231">
        <v>9</v>
      </c>
      <c r="K6231" s="19" t="s">
        <v>282</v>
      </c>
      <c r="L6231" s="19" t="s">
        <v>7</v>
      </c>
      <c r="M6231" s="19" t="s">
        <v>63</v>
      </c>
      <c r="N6231" t="b">
        <v>0</v>
      </c>
      <c r="O6231">
        <v>0</v>
      </c>
      <c r="P6231">
        <v>0</v>
      </c>
      <c r="Q6231">
        <v>1</v>
      </c>
      <c r="R6231">
        <v>0</v>
      </c>
    </row>
    <row r="6232" spans="1:18" x14ac:dyDescent="0.45">
      <c r="A6232" s="19" t="s">
        <v>9</v>
      </c>
      <c r="B6232" s="19" t="s">
        <v>63</v>
      </c>
      <c r="C6232">
        <v>1</v>
      </c>
      <c r="D6232">
        <v>1</v>
      </c>
      <c r="E6232">
        <v>2</v>
      </c>
      <c r="F6232" s="15">
        <v>46286</v>
      </c>
      <c r="G6232" s="19" t="s">
        <v>741</v>
      </c>
      <c r="H6232">
        <v>4</v>
      </c>
      <c r="I6232">
        <v>2026</v>
      </c>
      <c r="J6232">
        <v>9</v>
      </c>
      <c r="K6232" s="19" t="s">
        <v>282</v>
      </c>
      <c r="L6232" s="19" t="s">
        <v>11</v>
      </c>
      <c r="M6232" s="19" t="s">
        <v>63</v>
      </c>
      <c r="N6232" t="b">
        <v>0</v>
      </c>
      <c r="O6232">
        <v>0</v>
      </c>
      <c r="P6232">
        <v>0</v>
      </c>
      <c r="Q6232">
        <v>1</v>
      </c>
      <c r="R6232">
        <v>0</v>
      </c>
    </row>
    <row r="6233" spans="1:18" x14ac:dyDescent="0.45">
      <c r="A6233" s="19" t="s">
        <v>540</v>
      </c>
      <c r="B6233" s="19" t="s">
        <v>63</v>
      </c>
      <c r="C6233">
        <v>2</v>
      </c>
      <c r="D6233">
        <v>1</v>
      </c>
      <c r="E6233">
        <v>2</v>
      </c>
      <c r="F6233" s="15">
        <v>46286</v>
      </c>
      <c r="G6233" s="19" t="s">
        <v>741</v>
      </c>
      <c r="H6233">
        <v>4</v>
      </c>
      <c r="I6233">
        <v>2026</v>
      </c>
      <c r="J6233">
        <v>9</v>
      </c>
      <c r="K6233" s="19" t="s">
        <v>282</v>
      </c>
      <c r="L6233" s="19" t="s">
        <v>9</v>
      </c>
      <c r="M6233" s="19" t="s">
        <v>63</v>
      </c>
      <c r="N6233" t="b">
        <v>0</v>
      </c>
      <c r="O6233">
        <v>0</v>
      </c>
      <c r="P6233">
        <v>0</v>
      </c>
      <c r="Q6233">
        <v>1</v>
      </c>
      <c r="R6233">
        <v>0</v>
      </c>
    </row>
    <row r="6234" spans="1:18" x14ac:dyDescent="0.45">
      <c r="A6234" s="19" t="s">
        <v>540</v>
      </c>
      <c r="B6234" s="19" t="s">
        <v>63</v>
      </c>
      <c r="C6234">
        <v>2</v>
      </c>
      <c r="D6234">
        <v>1</v>
      </c>
      <c r="E6234">
        <v>2</v>
      </c>
      <c r="F6234" s="15">
        <v>46286</v>
      </c>
      <c r="G6234" s="19" t="s">
        <v>741</v>
      </c>
      <c r="H6234">
        <v>4</v>
      </c>
      <c r="I6234">
        <v>2026</v>
      </c>
      <c r="J6234">
        <v>9</v>
      </c>
      <c r="K6234" s="19" t="s">
        <v>282</v>
      </c>
      <c r="L6234" s="19" t="s">
        <v>7</v>
      </c>
      <c r="M6234" s="19" t="s">
        <v>63</v>
      </c>
      <c r="N6234" t="b">
        <v>0</v>
      </c>
      <c r="O6234">
        <v>0</v>
      </c>
      <c r="P6234">
        <v>0</v>
      </c>
      <c r="Q6234">
        <v>1</v>
      </c>
      <c r="R6234">
        <v>0</v>
      </c>
    </row>
    <row r="6235" spans="1:18" x14ac:dyDescent="0.45">
      <c r="A6235" s="19" t="s">
        <v>540</v>
      </c>
      <c r="B6235" s="19" t="s">
        <v>63</v>
      </c>
      <c r="C6235">
        <v>2</v>
      </c>
      <c r="D6235">
        <v>1</v>
      </c>
      <c r="E6235">
        <v>2</v>
      </c>
      <c r="F6235" s="15">
        <v>46286</v>
      </c>
      <c r="G6235" s="19" t="s">
        <v>741</v>
      </c>
      <c r="H6235">
        <v>4</v>
      </c>
      <c r="I6235">
        <v>2026</v>
      </c>
      <c r="J6235">
        <v>9</v>
      </c>
      <c r="K6235" s="19" t="s">
        <v>282</v>
      </c>
      <c r="L6235" s="19" t="s">
        <v>11</v>
      </c>
      <c r="M6235" s="19" t="s">
        <v>63</v>
      </c>
      <c r="N6235" t="b">
        <v>0</v>
      </c>
      <c r="O6235">
        <v>0</v>
      </c>
      <c r="P6235">
        <v>0</v>
      </c>
      <c r="Q6235">
        <v>1</v>
      </c>
      <c r="R6235">
        <v>0</v>
      </c>
    </row>
    <row r="6236" spans="1:18" x14ac:dyDescent="0.45">
      <c r="A6236" s="19" t="s">
        <v>7</v>
      </c>
      <c r="B6236" s="19" t="s">
        <v>63</v>
      </c>
      <c r="C6236">
        <v>3</v>
      </c>
      <c r="D6236">
        <v>1</v>
      </c>
      <c r="E6236">
        <v>2</v>
      </c>
      <c r="F6236" s="15">
        <v>46286</v>
      </c>
      <c r="G6236" s="19" t="s">
        <v>741</v>
      </c>
      <c r="H6236">
        <v>4</v>
      </c>
      <c r="I6236">
        <v>2026</v>
      </c>
      <c r="J6236">
        <v>9</v>
      </c>
      <c r="K6236" s="19" t="s">
        <v>282</v>
      </c>
      <c r="L6236" s="19" t="s">
        <v>9</v>
      </c>
      <c r="M6236" s="19" t="s">
        <v>63</v>
      </c>
      <c r="N6236" t="b">
        <v>0</v>
      </c>
      <c r="O6236">
        <v>0</v>
      </c>
      <c r="P6236">
        <v>0</v>
      </c>
      <c r="Q6236">
        <v>1</v>
      </c>
      <c r="R6236">
        <v>0</v>
      </c>
    </row>
    <row r="6237" spans="1:18" x14ac:dyDescent="0.45">
      <c r="A6237" s="19" t="s">
        <v>7</v>
      </c>
      <c r="B6237" s="19" t="s">
        <v>63</v>
      </c>
      <c r="C6237">
        <v>3</v>
      </c>
      <c r="D6237">
        <v>1</v>
      </c>
      <c r="E6237">
        <v>2</v>
      </c>
      <c r="F6237" s="15">
        <v>46286</v>
      </c>
      <c r="G6237" s="19" t="s">
        <v>741</v>
      </c>
      <c r="H6237">
        <v>4</v>
      </c>
      <c r="I6237">
        <v>2026</v>
      </c>
      <c r="J6237">
        <v>9</v>
      </c>
      <c r="K6237" s="19" t="s">
        <v>282</v>
      </c>
      <c r="L6237" s="19" t="s">
        <v>540</v>
      </c>
      <c r="M6237" s="19" t="s">
        <v>63</v>
      </c>
      <c r="N6237" t="b">
        <v>0</v>
      </c>
      <c r="O6237">
        <v>0</v>
      </c>
      <c r="P6237">
        <v>0</v>
      </c>
      <c r="Q6237">
        <v>1</v>
      </c>
      <c r="R6237">
        <v>0</v>
      </c>
    </row>
    <row r="6238" spans="1:18" x14ac:dyDescent="0.45">
      <c r="A6238" s="19" t="s">
        <v>7</v>
      </c>
      <c r="B6238" s="19" t="s">
        <v>63</v>
      </c>
      <c r="C6238">
        <v>3</v>
      </c>
      <c r="D6238">
        <v>1</v>
      </c>
      <c r="E6238">
        <v>2</v>
      </c>
      <c r="F6238" s="15">
        <v>46286</v>
      </c>
      <c r="G6238" s="19" t="s">
        <v>741</v>
      </c>
      <c r="H6238">
        <v>4</v>
      </c>
      <c r="I6238">
        <v>2026</v>
      </c>
      <c r="J6238">
        <v>9</v>
      </c>
      <c r="K6238" s="19" t="s">
        <v>282</v>
      </c>
      <c r="L6238" s="19" t="s">
        <v>11</v>
      </c>
      <c r="M6238" s="19" t="s">
        <v>63</v>
      </c>
      <c r="N6238" t="b">
        <v>0</v>
      </c>
      <c r="O6238">
        <v>0</v>
      </c>
      <c r="P6238">
        <v>0</v>
      </c>
      <c r="Q6238">
        <v>1</v>
      </c>
      <c r="R6238">
        <v>0</v>
      </c>
    </row>
    <row r="6239" spans="1:18" x14ac:dyDescent="0.45">
      <c r="A6239" s="19" t="s">
        <v>11</v>
      </c>
      <c r="B6239" s="19" t="s">
        <v>63</v>
      </c>
      <c r="C6239">
        <v>4</v>
      </c>
      <c r="D6239">
        <v>1</v>
      </c>
      <c r="E6239">
        <v>2</v>
      </c>
      <c r="F6239" s="15">
        <v>46286</v>
      </c>
      <c r="G6239" s="19" t="s">
        <v>741</v>
      </c>
      <c r="H6239">
        <v>4</v>
      </c>
      <c r="I6239">
        <v>2026</v>
      </c>
      <c r="J6239">
        <v>9</v>
      </c>
      <c r="K6239" s="19" t="s">
        <v>282</v>
      </c>
      <c r="L6239" s="19" t="s">
        <v>9</v>
      </c>
      <c r="M6239" s="19" t="s">
        <v>63</v>
      </c>
      <c r="N6239" t="b">
        <v>0</v>
      </c>
      <c r="O6239">
        <v>0</v>
      </c>
      <c r="P6239">
        <v>0</v>
      </c>
      <c r="Q6239">
        <v>1</v>
      </c>
      <c r="R6239">
        <v>0</v>
      </c>
    </row>
    <row r="6240" spans="1:18" x14ac:dyDescent="0.45">
      <c r="A6240" s="19" t="s">
        <v>11</v>
      </c>
      <c r="B6240" s="19" t="s">
        <v>63</v>
      </c>
      <c r="C6240">
        <v>4</v>
      </c>
      <c r="D6240">
        <v>1</v>
      </c>
      <c r="E6240">
        <v>2</v>
      </c>
      <c r="F6240" s="15">
        <v>46286</v>
      </c>
      <c r="G6240" s="19" t="s">
        <v>741</v>
      </c>
      <c r="H6240">
        <v>4</v>
      </c>
      <c r="I6240">
        <v>2026</v>
      </c>
      <c r="J6240">
        <v>9</v>
      </c>
      <c r="K6240" s="19" t="s">
        <v>282</v>
      </c>
      <c r="L6240" s="19" t="s">
        <v>540</v>
      </c>
      <c r="M6240" s="19" t="s">
        <v>63</v>
      </c>
      <c r="N6240" t="b">
        <v>0</v>
      </c>
      <c r="O6240">
        <v>0</v>
      </c>
      <c r="P6240">
        <v>0</v>
      </c>
      <c r="Q6240">
        <v>1</v>
      </c>
      <c r="R6240">
        <v>0</v>
      </c>
    </row>
    <row r="6241" spans="1:18" x14ac:dyDescent="0.45">
      <c r="A6241" s="19" t="s">
        <v>11</v>
      </c>
      <c r="B6241" s="19" t="s">
        <v>63</v>
      </c>
      <c r="C6241">
        <v>4</v>
      </c>
      <c r="D6241">
        <v>1</v>
      </c>
      <c r="E6241">
        <v>2</v>
      </c>
      <c r="F6241" s="15">
        <v>46286</v>
      </c>
      <c r="G6241" s="19" t="s">
        <v>741</v>
      </c>
      <c r="H6241">
        <v>4</v>
      </c>
      <c r="I6241">
        <v>2026</v>
      </c>
      <c r="J6241">
        <v>9</v>
      </c>
      <c r="K6241" s="19" t="s">
        <v>282</v>
      </c>
      <c r="L6241" s="19" t="s">
        <v>7</v>
      </c>
      <c r="M6241" s="19" t="s">
        <v>63</v>
      </c>
      <c r="N6241" t="b">
        <v>0</v>
      </c>
      <c r="O6241">
        <v>0</v>
      </c>
      <c r="P6241">
        <v>0</v>
      </c>
      <c r="Q6241">
        <v>1</v>
      </c>
      <c r="R6241">
        <v>0</v>
      </c>
    </row>
    <row r="6242" spans="1:18" x14ac:dyDescent="0.45">
      <c r="A6242" s="19" t="s">
        <v>28</v>
      </c>
      <c r="B6242" s="19" t="s">
        <v>63</v>
      </c>
      <c r="C6242">
        <v>1</v>
      </c>
      <c r="D6242">
        <v>2</v>
      </c>
      <c r="E6242">
        <v>2</v>
      </c>
      <c r="F6242" s="15">
        <v>46286</v>
      </c>
      <c r="G6242" s="19" t="s">
        <v>742</v>
      </c>
      <c r="H6242">
        <v>4</v>
      </c>
      <c r="I6242">
        <v>2026</v>
      </c>
      <c r="J6242">
        <v>9</v>
      </c>
      <c r="K6242" s="19" t="s">
        <v>282</v>
      </c>
      <c r="L6242" s="19" t="s">
        <v>17</v>
      </c>
      <c r="M6242" s="19" t="s">
        <v>63</v>
      </c>
      <c r="N6242" t="b">
        <v>0</v>
      </c>
      <c r="O6242">
        <v>0</v>
      </c>
      <c r="P6242">
        <v>0</v>
      </c>
      <c r="Q6242">
        <v>1</v>
      </c>
      <c r="R6242">
        <v>0</v>
      </c>
    </row>
    <row r="6243" spans="1:18" x14ac:dyDescent="0.45">
      <c r="A6243" s="19" t="s">
        <v>28</v>
      </c>
      <c r="B6243" s="19" t="s">
        <v>63</v>
      </c>
      <c r="C6243">
        <v>1</v>
      </c>
      <c r="D6243">
        <v>2</v>
      </c>
      <c r="E6243">
        <v>2</v>
      </c>
      <c r="F6243" s="15">
        <v>46286</v>
      </c>
      <c r="G6243" s="19" t="s">
        <v>742</v>
      </c>
      <c r="H6243">
        <v>4</v>
      </c>
      <c r="I6243">
        <v>2026</v>
      </c>
      <c r="J6243">
        <v>9</v>
      </c>
      <c r="K6243" s="19" t="s">
        <v>282</v>
      </c>
      <c r="L6243" s="19" t="s">
        <v>15</v>
      </c>
      <c r="M6243" s="19" t="s">
        <v>63</v>
      </c>
      <c r="N6243" t="b">
        <v>0</v>
      </c>
      <c r="O6243">
        <v>0</v>
      </c>
      <c r="P6243">
        <v>0</v>
      </c>
      <c r="Q6243">
        <v>1</v>
      </c>
      <c r="R6243">
        <v>0</v>
      </c>
    </row>
    <row r="6244" spans="1:18" x14ac:dyDescent="0.45">
      <c r="A6244" s="19" t="s">
        <v>28</v>
      </c>
      <c r="B6244" s="19" t="s">
        <v>63</v>
      </c>
      <c r="C6244">
        <v>1</v>
      </c>
      <c r="D6244">
        <v>2</v>
      </c>
      <c r="E6244">
        <v>2</v>
      </c>
      <c r="F6244" s="15">
        <v>46286</v>
      </c>
      <c r="G6244" s="19" t="s">
        <v>742</v>
      </c>
      <c r="H6244">
        <v>4</v>
      </c>
      <c r="I6244">
        <v>2026</v>
      </c>
      <c r="J6244">
        <v>9</v>
      </c>
      <c r="K6244" s="19" t="s">
        <v>282</v>
      </c>
      <c r="L6244" s="19" t="s">
        <v>351</v>
      </c>
      <c r="M6244" s="19" t="s">
        <v>63</v>
      </c>
      <c r="N6244" t="b">
        <v>0</v>
      </c>
      <c r="O6244">
        <v>0</v>
      </c>
      <c r="P6244">
        <v>0</v>
      </c>
      <c r="Q6244">
        <v>1</v>
      </c>
      <c r="R6244">
        <v>0</v>
      </c>
    </row>
    <row r="6245" spans="1:18" x14ac:dyDescent="0.45">
      <c r="A6245" s="19" t="s">
        <v>17</v>
      </c>
      <c r="B6245" s="19" t="s">
        <v>63</v>
      </c>
      <c r="C6245">
        <v>2</v>
      </c>
      <c r="D6245">
        <v>2</v>
      </c>
      <c r="E6245">
        <v>2</v>
      </c>
      <c r="F6245" s="15">
        <v>46286</v>
      </c>
      <c r="G6245" s="19" t="s">
        <v>742</v>
      </c>
      <c r="H6245">
        <v>4</v>
      </c>
      <c r="I6245">
        <v>2026</v>
      </c>
      <c r="J6245">
        <v>9</v>
      </c>
      <c r="K6245" s="19" t="s">
        <v>282</v>
      </c>
      <c r="L6245" s="19" t="s">
        <v>28</v>
      </c>
      <c r="M6245" s="19" t="s">
        <v>63</v>
      </c>
      <c r="N6245" t="b">
        <v>0</v>
      </c>
      <c r="O6245">
        <v>0</v>
      </c>
      <c r="P6245">
        <v>0</v>
      </c>
      <c r="Q6245">
        <v>1</v>
      </c>
      <c r="R6245">
        <v>0</v>
      </c>
    </row>
    <row r="6246" spans="1:18" x14ac:dyDescent="0.45">
      <c r="A6246" s="19" t="s">
        <v>17</v>
      </c>
      <c r="B6246" s="19" t="s">
        <v>63</v>
      </c>
      <c r="C6246">
        <v>2</v>
      </c>
      <c r="D6246">
        <v>2</v>
      </c>
      <c r="E6246">
        <v>2</v>
      </c>
      <c r="F6246" s="15">
        <v>46286</v>
      </c>
      <c r="G6246" s="19" t="s">
        <v>742</v>
      </c>
      <c r="H6246">
        <v>4</v>
      </c>
      <c r="I6246">
        <v>2026</v>
      </c>
      <c r="J6246">
        <v>9</v>
      </c>
      <c r="K6246" s="19" t="s">
        <v>282</v>
      </c>
      <c r="L6246" s="19" t="s">
        <v>15</v>
      </c>
      <c r="M6246" s="19" t="s">
        <v>63</v>
      </c>
      <c r="N6246" t="b">
        <v>0</v>
      </c>
      <c r="O6246">
        <v>0</v>
      </c>
      <c r="P6246">
        <v>0</v>
      </c>
      <c r="Q6246">
        <v>1</v>
      </c>
      <c r="R6246">
        <v>0</v>
      </c>
    </row>
    <row r="6247" spans="1:18" x14ac:dyDescent="0.45">
      <c r="A6247" s="19" t="s">
        <v>17</v>
      </c>
      <c r="B6247" s="19" t="s">
        <v>63</v>
      </c>
      <c r="C6247">
        <v>2</v>
      </c>
      <c r="D6247">
        <v>2</v>
      </c>
      <c r="E6247">
        <v>2</v>
      </c>
      <c r="F6247" s="15">
        <v>46286</v>
      </c>
      <c r="G6247" s="19" t="s">
        <v>742</v>
      </c>
      <c r="H6247">
        <v>4</v>
      </c>
      <c r="I6247">
        <v>2026</v>
      </c>
      <c r="J6247">
        <v>9</v>
      </c>
      <c r="K6247" s="19" t="s">
        <v>282</v>
      </c>
      <c r="L6247" s="19" t="s">
        <v>351</v>
      </c>
      <c r="M6247" s="19" t="s">
        <v>63</v>
      </c>
      <c r="N6247" t="b">
        <v>0</v>
      </c>
      <c r="O6247">
        <v>0</v>
      </c>
      <c r="P6247">
        <v>0</v>
      </c>
      <c r="Q6247">
        <v>1</v>
      </c>
      <c r="R6247">
        <v>0</v>
      </c>
    </row>
    <row r="6248" spans="1:18" x14ac:dyDescent="0.45">
      <c r="A6248" s="19" t="s">
        <v>15</v>
      </c>
      <c r="B6248" s="19" t="s">
        <v>63</v>
      </c>
      <c r="C6248">
        <v>3</v>
      </c>
      <c r="D6248">
        <v>2</v>
      </c>
      <c r="E6248">
        <v>2</v>
      </c>
      <c r="F6248" s="15">
        <v>46286</v>
      </c>
      <c r="G6248" s="19" t="s">
        <v>742</v>
      </c>
      <c r="H6248">
        <v>4</v>
      </c>
      <c r="I6248">
        <v>2026</v>
      </c>
      <c r="J6248">
        <v>9</v>
      </c>
      <c r="K6248" s="19" t="s">
        <v>282</v>
      </c>
      <c r="L6248" s="19" t="s">
        <v>28</v>
      </c>
      <c r="M6248" s="19" t="s">
        <v>63</v>
      </c>
      <c r="N6248" t="b">
        <v>0</v>
      </c>
      <c r="O6248">
        <v>0</v>
      </c>
      <c r="P6248">
        <v>0</v>
      </c>
      <c r="Q6248">
        <v>1</v>
      </c>
      <c r="R6248">
        <v>0</v>
      </c>
    </row>
    <row r="6249" spans="1:18" x14ac:dyDescent="0.45">
      <c r="A6249" s="19" t="s">
        <v>15</v>
      </c>
      <c r="B6249" s="19" t="s">
        <v>63</v>
      </c>
      <c r="C6249">
        <v>3</v>
      </c>
      <c r="D6249">
        <v>2</v>
      </c>
      <c r="E6249">
        <v>2</v>
      </c>
      <c r="F6249" s="15">
        <v>46286</v>
      </c>
      <c r="G6249" s="19" t="s">
        <v>742</v>
      </c>
      <c r="H6249">
        <v>4</v>
      </c>
      <c r="I6249">
        <v>2026</v>
      </c>
      <c r="J6249">
        <v>9</v>
      </c>
      <c r="K6249" s="19" t="s">
        <v>282</v>
      </c>
      <c r="L6249" s="19" t="s">
        <v>17</v>
      </c>
      <c r="M6249" s="19" t="s">
        <v>63</v>
      </c>
      <c r="N6249" t="b">
        <v>0</v>
      </c>
      <c r="O6249">
        <v>0</v>
      </c>
      <c r="P6249">
        <v>0</v>
      </c>
      <c r="Q6249">
        <v>1</v>
      </c>
      <c r="R6249">
        <v>0</v>
      </c>
    </row>
    <row r="6250" spans="1:18" x14ac:dyDescent="0.45">
      <c r="A6250" s="19" t="s">
        <v>15</v>
      </c>
      <c r="B6250" s="19" t="s">
        <v>63</v>
      </c>
      <c r="C6250">
        <v>3</v>
      </c>
      <c r="D6250">
        <v>2</v>
      </c>
      <c r="E6250">
        <v>2</v>
      </c>
      <c r="F6250" s="15">
        <v>46286</v>
      </c>
      <c r="G6250" s="19" t="s">
        <v>742</v>
      </c>
      <c r="H6250">
        <v>4</v>
      </c>
      <c r="I6250">
        <v>2026</v>
      </c>
      <c r="J6250">
        <v>9</v>
      </c>
      <c r="K6250" s="19" t="s">
        <v>282</v>
      </c>
      <c r="L6250" s="19" t="s">
        <v>351</v>
      </c>
      <c r="M6250" s="19" t="s">
        <v>63</v>
      </c>
      <c r="N6250" t="b">
        <v>0</v>
      </c>
      <c r="O6250">
        <v>0</v>
      </c>
      <c r="P6250">
        <v>0</v>
      </c>
      <c r="Q6250">
        <v>1</v>
      </c>
      <c r="R6250">
        <v>0</v>
      </c>
    </row>
    <row r="6251" spans="1:18" x14ac:dyDescent="0.45">
      <c r="A6251" s="19" t="s">
        <v>351</v>
      </c>
      <c r="B6251" s="19" t="s">
        <v>63</v>
      </c>
      <c r="C6251">
        <v>4</v>
      </c>
      <c r="D6251">
        <v>2</v>
      </c>
      <c r="E6251">
        <v>2</v>
      </c>
      <c r="F6251" s="15">
        <v>46286</v>
      </c>
      <c r="G6251" s="19" t="s">
        <v>742</v>
      </c>
      <c r="H6251">
        <v>4</v>
      </c>
      <c r="I6251">
        <v>2026</v>
      </c>
      <c r="J6251">
        <v>9</v>
      </c>
      <c r="K6251" s="19" t="s">
        <v>282</v>
      </c>
      <c r="L6251" s="19" t="s">
        <v>28</v>
      </c>
      <c r="M6251" s="19" t="s">
        <v>63</v>
      </c>
      <c r="N6251" t="b">
        <v>0</v>
      </c>
      <c r="O6251">
        <v>0</v>
      </c>
      <c r="P6251">
        <v>0</v>
      </c>
      <c r="Q6251">
        <v>1</v>
      </c>
      <c r="R6251">
        <v>0</v>
      </c>
    </row>
    <row r="6252" spans="1:18" x14ac:dyDescent="0.45">
      <c r="A6252" s="19" t="s">
        <v>351</v>
      </c>
      <c r="B6252" s="19" t="s">
        <v>63</v>
      </c>
      <c r="C6252">
        <v>4</v>
      </c>
      <c r="D6252">
        <v>2</v>
      </c>
      <c r="E6252">
        <v>2</v>
      </c>
      <c r="F6252" s="15">
        <v>46286</v>
      </c>
      <c r="G6252" s="19" t="s">
        <v>742</v>
      </c>
      <c r="H6252">
        <v>4</v>
      </c>
      <c r="I6252">
        <v>2026</v>
      </c>
      <c r="J6252">
        <v>9</v>
      </c>
      <c r="K6252" s="19" t="s">
        <v>282</v>
      </c>
      <c r="L6252" s="19" t="s">
        <v>17</v>
      </c>
      <c r="M6252" s="19" t="s">
        <v>63</v>
      </c>
      <c r="N6252" t="b">
        <v>0</v>
      </c>
      <c r="O6252">
        <v>0</v>
      </c>
      <c r="P6252">
        <v>0</v>
      </c>
      <c r="Q6252">
        <v>1</v>
      </c>
      <c r="R6252">
        <v>0</v>
      </c>
    </row>
    <row r="6253" spans="1:18" x14ac:dyDescent="0.45">
      <c r="A6253" s="19" t="s">
        <v>351</v>
      </c>
      <c r="B6253" s="19" t="s">
        <v>63</v>
      </c>
      <c r="C6253">
        <v>4</v>
      </c>
      <c r="D6253">
        <v>2</v>
      </c>
      <c r="E6253">
        <v>2</v>
      </c>
      <c r="F6253" s="15">
        <v>46286</v>
      </c>
      <c r="G6253" s="19" t="s">
        <v>742</v>
      </c>
      <c r="H6253">
        <v>4</v>
      </c>
      <c r="I6253">
        <v>2026</v>
      </c>
      <c r="J6253">
        <v>9</v>
      </c>
      <c r="K6253" s="19" t="s">
        <v>282</v>
      </c>
      <c r="L6253" s="19" t="s">
        <v>15</v>
      </c>
      <c r="M6253" s="19" t="s">
        <v>63</v>
      </c>
      <c r="N6253" t="b">
        <v>0</v>
      </c>
      <c r="O6253">
        <v>0</v>
      </c>
      <c r="P6253">
        <v>0</v>
      </c>
      <c r="Q6253">
        <v>1</v>
      </c>
      <c r="R6253">
        <v>0</v>
      </c>
    </row>
    <row r="6254" spans="1:18" x14ac:dyDescent="0.45">
      <c r="A6254" s="19" t="s">
        <v>723</v>
      </c>
      <c r="B6254" s="19" t="s">
        <v>63</v>
      </c>
      <c r="C6254">
        <v>1</v>
      </c>
      <c r="D6254">
        <v>3</v>
      </c>
      <c r="E6254">
        <v>2</v>
      </c>
      <c r="F6254" s="15">
        <v>46286</v>
      </c>
      <c r="G6254" s="19" t="s">
        <v>743</v>
      </c>
      <c r="H6254">
        <v>4</v>
      </c>
      <c r="I6254">
        <v>2026</v>
      </c>
      <c r="J6254">
        <v>9</v>
      </c>
      <c r="K6254" s="19" t="s">
        <v>282</v>
      </c>
      <c r="L6254" s="19" t="s">
        <v>325</v>
      </c>
      <c r="M6254" s="19" t="s">
        <v>63</v>
      </c>
      <c r="N6254" t="b">
        <v>0</v>
      </c>
      <c r="O6254">
        <v>0</v>
      </c>
      <c r="P6254">
        <v>0</v>
      </c>
      <c r="Q6254">
        <v>1</v>
      </c>
      <c r="R6254">
        <v>0</v>
      </c>
    </row>
    <row r="6255" spans="1:18" x14ac:dyDescent="0.45">
      <c r="A6255" s="19" t="s">
        <v>723</v>
      </c>
      <c r="B6255" s="19" t="s">
        <v>63</v>
      </c>
      <c r="C6255">
        <v>1</v>
      </c>
      <c r="D6255">
        <v>3</v>
      </c>
      <c r="E6255">
        <v>2</v>
      </c>
      <c r="F6255" s="15">
        <v>46286</v>
      </c>
      <c r="G6255" s="19" t="s">
        <v>743</v>
      </c>
      <c r="H6255">
        <v>4</v>
      </c>
      <c r="I6255">
        <v>2026</v>
      </c>
      <c r="J6255">
        <v>9</v>
      </c>
      <c r="K6255" s="19" t="s">
        <v>282</v>
      </c>
      <c r="L6255" s="19" t="s">
        <v>14</v>
      </c>
      <c r="M6255" s="19" t="s">
        <v>63</v>
      </c>
      <c r="N6255" t="b">
        <v>0</v>
      </c>
      <c r="O6255">
        <v>0</v>
      </c>
      <c r="P6255">
        <v>0</v>
      </c>
      <c r="Q6255">
        <v>1</v>
      </c>
      <c r="R6255">
        <v>0</v>
      </c>
    </row>
    <row r="6256" spans="1:18" x14ac:dyDescent="0.45">
      <c r="A6256" s="19" t="s">
        <v>723</v>
      </c>
      <c r="B6256" s="19" t="s">
        <v>63</v>
      </c>
      <c r="C6256">
        <v>1</v>
      </c>
      <c r="D6256">
        <v>3</v>
      </c>
      <c r="E6256">
        <v>2</v>
      </c>
      <c r="F6256" s="15">
        <v>46286</v>
      </c>
      <c r="G6256" s="19" t="s">
        <v>743</v>
      </c>
      <c r="H6256">
        <v>4</v>
      </c>
      <c r="I6256">
        <v>2026</v>
      </c>
      <c r="J6256">
        <v>9</v>
      </c>
      <c r="K6256" s="19" t="s">
        <v>282</v>
      </c>
      <c r="L6256" s="19" t="s">
        <v>734</v>
      </c>
      <c r="M6256" s="19" t="s">
        <v>63</v>
      </c>
      <c r="N6256" t="b">
        <v>0</v>
      </c>
      <c r="O6256">
        <v>0</v>
      </c>
      <c r="P6256">
        <v>0</v>
      </c>
      <c r="Q6256">
        <v>1</v>
      </c>
      <c r="R6256">
        <v>0</v>
      </c>
    </row>
    <row r="6257" spans="1:18" x14ac:dyDescent="0.45">
      <c r="A6257" s="19" t="s">
        <v>325</v>
      </c>
      <c r="B6257" s="19" t="s">
        <v>63</v>
      </c>
      <c r="C6257">
        <v>2</v>
      </c>
      <c r="D6257">
        <v>3</v>
      </c>
      <c r="E6257">
        <v>2</v>
      </c>
      <c r="F6257" s="15">
        <v>46286</v>
      </c>
      <c r="G6257" s="19" t="s">
        <v>743</v>
      </c>
      <c r="H6257">
        <v>4</v>
      </c>
      <c r="I6257">
        <v>2026</v>
      </c>
      <c r="J6257">
        <v>9</v>
      </c>
      <c r="K6257" s="19" t="s">
        <v>282</v>
      </c>
      <c r="L6257" s="19" t="s">
        <v>723</v>
      </c>
      <c r="M6257" s="19" t="s">
        <v>63</v>
      </c>
      <c r="N6257" t="b">
        <v>0</v>
      </c>
      <c r="O6257">
        <v>0</v>
      </c>
      <c r="P6257">
        <v>0</v>
      </c>
      <c r="Q6257">
        <v>1</v>
      </c>
      <c r="R6257">
        <v>0</v>
      </c>
    </row>
    <row r="6258" spans="1:18" x14ac:dyDescent="0.45">
      <c r="A6258" s="19" t="s">
        <v>325</v>
      </c>
      <c r="B6258" s="19" t="s">
        <v>63</v>
      </c>
      <c r="C6258">
        <v>2</v>
      </c>
      <c r="D6258">
        <v>3</v>
      </c>
      <c r="E6258">
        <v>2</v>
      </c>
      <c r="F6258" s="15">
        <v>46286</v>
      </c>
      <c r="G6258" s="19" t="s">
        <v>743</v>
      </c>
      <c r="H6258">
        <v>4</v>
      </c>
      <c r="I6258">
        <v>2026</v>
      </c>
      <c r="J6258">
        <v>9</v>
      </c>
      <c r="K6258" s="19" t="s">
        <v>282</v>
      </c>
      <c r="L6258" s="19" t="s">
        <v>14</v>
      </c>
      <c r="M6258" s="19" t="s">
        <v>63</v>
      </c>
      <c r="N6258" t="b">
        <v>0</v>
      </c>
      <c r="O6258">
        <v>0</v>
      </c>
      <c r="P6258">
        <v>0</v>
      </c>
      <c r="Q6258">
        <v>1</v>
      </c>
      <c r="R6258">
        <v>0</v>
      </c>
    </row>
    <row r="6259" spans="1:18" x14ac:dyDescent="0.45">
      <c r="A6259" s="19" t="s">
        <v>325</v>
      </c>
      <c r="B6259" s="19" t="s">
        <v>63</v>
      </c>
      <c r="C6259">
        <v>2</v>
      </c>
      <c r="D6259">
        <v>3</v>
      </c>
      <c r="E6259">
        <v>2</v>
      </c>
      <c r="F6259" s="15">
        <v>46286</v>
      </c>
      <c r="G6259" s="19" t="s">
        <v>743</v>
      </c>
      <c r="H6259">
        <v>4</v>
      </c>
      <c r="I6259">
        <v>2026</v>
      </c>
      <c r="J6259">
        <v>9</v>
      </c>
      <c r="K6259" s="19" t="s">
        <v>282</v>
      </c>
      <c r="L6259" s="19" t="s">
        <v>734</v>
      </c>
      <c r="M6259" s="19" t="s">
        <v>63</v>
      </c>
      <c r="N6259" t="b">
        <v>0</v>
      </c>
      <c r="O6259">
        <v>0</v>
      </c>
      <c r="P6259">
        <v>0</v>
      </c>
      <c r="Q6259">
        <v>1</v>
      </c>
      <c r="R6259">
        <v>0</v>
      </c>
    </row>
    <row r="6260" spans="1:18" x14ac:dyDescent="0.45">
      <c r="A6260" s="19" t="s">
        <v>14</v>
      </c>
      <c r="B6260" s="19" t="s">
        <v>63</v>
      </c>
      <c r="C6260">
        <v>3</v>
      </c>
      <c r="D6260">
        <v>3</v>
      </c>
      <c r="E6260">
        <v>2</v>
      </c>
      <c r="F6260" s="15">
        <v>46286</v>
      </c>
      <c r="G6260" s="19" t="s">
        <v>743</v>
      </c>
      <c r="H6260">
        <v>4</v>
      </c>
      <c r="I6260">
        <v>2026</v>
      </c>
      <c r="J6260">
        <v>9</v>
      </c>
      <c r="K6260" s="19" t="s">
        <v>282</v>
      </c>
      <c r="L6260" s="19" t="s">
        <v>723</v>
      </c>
      <c r="M6260" s="19" t="s">
        <v>63</v>
      </c>
      <c r="N6260" t="b">
        <v>0</v>
      </c>
      <c r="O6260">
        <v>0</v>
      </c>
      <c r="P6260">
        <v>0</v>
      </c>
      <c r="Q6260">
        <v>1</v>
      </c>
      <c r="R6260">
        <v>0</v>
      </c>
    </row>
    <row r="6261" spans="1:18" x14ac:dyDescent="0.45">
      <c r="A6261" s="19" t="s">
        <v>14</v>
      </c>
      <c r="B6261" s="19" t="s">
        <v>63</v>
      </c>
      <c r="C6261">
        <v>3</v>
      </c>
      <c r="D6261">
        <v>3</v>
      </c>
      <c r="E6261">
        <v>2</v>
      </c>
      <c r="F6261" s="15">
        <v>46286</v>
      </c>
      <c r="G6261" s="19" t="s">
        <v>743</v>
      </c>
      <c r="H6261">
        <v>4</v>
      </c>
      <c r="I6261">
        <v>2026</v>
      </c>
      <c r="J6261">
        <v>9</v>
      </c>
      <c r="K6261" s="19" t="s">
        <v>282</v>
      </c>
      <c r="L6261" s="19" t="s">
        <v>325</v>
      </c>
      <c r="M6261" s="19" t="s">
        <v>63</v>
      </c>
      <c r="N6261" t="b">
        <v>0</v>
      </c>
      <c r="O6261">
        <v>0</v>
      </c>
      <c r="P6261">
        <v>0</v>
      </c>
      <c r="Q6261">
        <v>1</v>
      </c>
      <c r="R6261">
        <v>0</v>
      </c>
    </row>
    <row r="6262" spans="1:18" x14ac:dyDescent="0.45">
      <c r="A6262" s="19" t="s">
        <v>14</v>
      </c>
      <c r="B6262" s="19" t="s">
        <v>63</v>
      </c>
      <c r="C6262">
        <v>3</v>
      </c>
      <c r="D6262">
        <v>3</v>
      </c>
      <c r="E6262">
        <v>2</v>
      </c>
      <c r="F6262" s="15">
        <v>46286</v>
      </c>
      <c r="G6262" s="19" t="s">
        <v>743</v>
      </c>
      <c r="H6262">
        <v>4</v>
      </c>
      <c r="I6262">
        <v>2026</v>
      </c>
      <c r="J6262">
        <v>9</v>
      </c>
      <c r="K6262" s="19" t="s">
        <v>282</v>
      </c>
      <c r="L6262" s="19" t="s">
        <v>734</v>
      </c>
      <c r="M6262" s="19" t="s">
        <v>63</v>
      </c>
      <c r="N6262" t="b">
        <v>0</v>
      </c>
      <c r="O6262">
        <v>0</v>
      </c>
      <c r="P6262">
        <v>0</v>
      </c>
      <c r="Q6262">
        <v>1</v>
      </c>
      <c r="R6262">
        <v>0</v>
      </c>
    </row>
    <row r="6263" spans="1:18" x14ac:dyDescent="0.45">
      <c r="A6263" s="19" t="s">
        <v>734</v>
      </c>
      <c r="B6263" s="19" t="s">
        <v>63</v>
      </c>
      <c r="C6263">
        <v>4</v>
      </c>
      <c r="D6263">
        <v>3</v>
      </c>
      <c r="E6263">
        <v>2</v>
      </c>
      <c r="F6263" s="15">
        <v>46286</v>
      </c>
      <c r="G6263" s="19" t="s">
        <v>743</v>
      </c>
      <c r="H6263">
        <v>4</v>
      </c>
      <c r="I6263">
        <v>2026</v>
      </c>
      <c r="J6263">
        <v>9</v>
      </c>
      <c r="K6263" s="19" t="s">
        <v>282</v>
      </c>
      <c r="L6263" s="19" t="s">
        <v>723</v>
      </c>
      <c r="M6263" s="19" t="s">
        <v>63</v>
      </c>
      <c r="N6263" t="b">
        <v>0</v>
      </c>
      <c r="O6263">
        <v>0</v>
      </c>
      <c r="P6263">
        <v>0</v>
      </c>
      <c r="Q6263">
        <v>1</v>
      </c>
      <c r="R6263">
        <v>0</v>
      </c>
    </row>
    <row r="6264" spans="1:18" x14ac:dyDescent="0.45">
      <c r="A6264" s="19" t="s">
        <v>734</v>
      </c>
      <c r="B6264" s="19" t="s">
        <v>63</v>
      </c>
      <c r="C6264">
        <v>4</v>
      </c>
      <c r="D6264">
        <v>3</v>
      </c>
      <c r="E6264">
        <v>2</v>
      </c>
      <c r="F6264" s="15">
        <v>46286</v>
      </c>
      <c r="G6264" s="19" t="s">
        <v>743</v>
      </c>
      <c r="H6264">
        <v>4</v>
      </c>
      <c r="I6264">
        <v>2026</v>
      </c>
      <c r="J6264">
        <v>9</v>
      </c>
      <c r="K6264" s="19" t="s">
        <v>282</v>
      </c>
      <c r="L6264" s="19" t="s">
        <v>325</v>
      </c>
      <c r="M6264" s="19" t="s">
        <v>63</v>
      </c>
      <c r="N6264" t="b">
        <v>0</v>
      </c>
      <c r="O6264">
        <v>0</v>
      </c>
      <c r="P6264">
        <v>0</v>
      </c>
      <c r="Q6264">
        <v>1</v>
      </c>
      <c r="R6264">
        <v>0</v>
      </c>
    </row>
    <row r="6265" spans="1:18" x14ac:dyDescent="0.45">
      <c r="A6265" s="19" t="s">
        <v>734</v>
      </c>
      <c r="B6265" s="19" t="s">
        <v>63</v>
      </c>
      <c r="C6265">
        <v>4</v>
      </c>
      <c r="D6265">
        <v>3</v>
      </c>
      <c r="E6265">
        <v>2</v>
      </c>
      <c r="F6265" s="15">
        <v>46286</v>
      </c>
      <c r="G6265" s="19" t="s">
        <v>743</v>
      </c>
      <c r="H6265">
        <v>4</v>
      </c>
      <c r="I6265">
        <v>2026</v>
      </c>
      <c r="J6265">
        <v>9</v>
      </c>
      <c r="K6265" s="19" t="s">
        <v>282</v>
      </c>
      <c r="L6265" s="19" t="s">
        <v>14</v>
      </c>
      <c r="M6265" s="19" t="s">
        <v>63</v>
      </c>
      <c r="N6265" t="b">
        <v>0</v>
      </c>
      <c r="O6265">
        <v>0</v>
      </c>
      <c r="P6265">
        <v>0</v>
      </c>
      <c r="Q6265">
        <v>1</v>
      </c>
      <c r="R6265">
        <v>0</v>
      </c>
    </row>
    <row r="6266" spans="1:18" x14ac:dyDescent="0.45">
      <c r="A6266" s="19" t="s">
        <v>402</v>
      </c>
      <c r="B6266" s="19" t="s">
        <v>8</v>
      </c>
      <c r="C6266">
        <v>1</v>
      </c>
      <c r="D6266">
        <v>4</v>
      </c>
      <c r="E6266">
        <v>2</v>
      </c>
      <c r="F6266" s="15">
        <v>46286</v>
      </c>
      <c r="G6266" s="19" t="s">
        <v>744</v>
      </c>
      <c r="H6266">
        <v>4</v>
      </c>
      <c r="I6266">
        <v>2026</v>
      </c>
      <c r="J6266">
        <v>9</v>
      </c>
      <c r="K6266" s="19" t="s">
        <v>282</v>
      </c>
      <c r="L6266" s="19" t="s">
        <v>19</v>
      </c>
      <c r="M6266" s="19" t="s">
        <v>6</v>
      </c>
      <c r="N6266" t="b">
        <v>0</v>
      </c>
      <c r="O6266">
        <v>1</v>
      </c>
      <c r="P6266">
        <v>0</v>
      </c>
      <c r="Q6266">
        <v>0</v>
      </c>
      <c r="R6266">
        <v>0</v>
      </c>
    </row>
    <row r="6267" spans="1:18" x14ac:dyDescent="0.45">
      <c r="A6267" s="19" t="s">
        <v>402</v>
      </c>
      <c r="B6267" s="19" t="s">
        <v>8</v>
      </c>
      <c r="C6267">
        <v>1</v>
      </c>
      <c r="D6267">
        <v>4</v>
      </c>
      <c r="E6267">
        <v>2</v>
      </c>
      <c r="F6267" s="15">
        <v>46286</v>
      </c>
      <c r="G6267" s="19" t="s">
        <v>744</v>
      </c>
      <c r="H6267">
        <v>4</v>
      </c>
      <c r="I6267">
        <v>2026</v>
      </c>
      <c r="J6267">
        <v>9</v>
      </c>
      <c r="K6267" s="19" t="s">
        <v>282</v>
      </c>
      <c r="L6267" s="19" t="s">
        <v>578</v>
      </c>
      <c r="M6267" s="19" t="s">
        <v>6</v>
      </c>
      <c r="N6267" t="b">
        <v>0</v>
      </c>
      <c r="O6267">
        <v>1</v>
      </c>
      <c r="P6267">
        <v>0</v>
      </c>
      <c r="Q6267">
        <v>0</v>
      </c>
      <c r="R6267">
        <v>0</v>
      </c>
    </row>
    <row r="6268" spans="1:18" x14ac:dyDescent="0.45">
      <c r="A6268" s="19" t="s">
        <v>402</v>
      </c>
      <c r="B6268" s="19" t="s">
        <v>8</v>
      </c>
      <c r="C6268">
        <v>1</v>
      </c>
      <c r="D6268">
        <v>4</v>
      </c>
      <c r="E6268">
        <v>2</v>
      </c>
      <c r="F6268" s="15">
        <v>46286</v>
      </c>
      <c r="G6268" s="19" t="s">
        <v>744</v>
      </c>
      <c r="H6268">
        <v>4</v>
      </c>
      <c r="I6268">
        <v>2026</v>
      </c>
      <c r="J6268">
        <v>9</v>
      </c>
      <c r="K6268" s="19" t="s">
        <v>282</v>
      </c>
      <c r="L6268" s="19" t="s">
        <v>608</v>
      </c>
      <c r="M6268" s="19" t="s">
        <v>6</v>
      </c>
      <c r="N6268" t="b">
        <v>0</v>
      </c>
      <c r="O6268">
        <v>1</v>
      </c>
      <c r="P6268">
        <v>0</v>
      </c>
      <c r="Q6268">
        <v>0</v>
      </c>
      <c r="R6268">
        <v>0</v>
      </c>
    </row>
    <row r="6269" spans="1:18" x14ac:dyDescent="0.45">
      <c r="A6269" s="19" t="s">
        <v>19</v>
      </c>
      <c r="B6269" s="19" t="s">
        <v>6</v>
      </c>
      <c r="C6269">
        <v>2</v>
      </c>
      <c r="D6269">
        <v>4</v>
      </c>
      <c r="E6269">
        <v>2</v>
      </c>
      <c r="F6269" s="15">
        <v>46286</v>
      </c>
      <c r="G6269" s="19" t="s">
        <v>744</v>
      </c>
      <c r="H6269">
        <v>4</v>
      </c>
      <c r="I6269">
        <v>2026</v>
      </c>
      <c r="J6269">
        <v>9</v>
      </c>
      <c r="K6269" s="19" t="s">
        <v>282</v>
      </c>
      <c r="L6269" s="19" t="s">
        <v>402</v>
      </c>
      <c r="M6269" s="19" t="s">
        <v>8</v>
      </c>
      <c r="N6269" t="b">
        <v>0</v>
      </c>
      <c r="O6269">
        <v>0</v>
      </c>
      <c r="P6269">
        <v>1</v>
      </c>
      <c r="Q6269">
        <v>0</v>
      </c>
      <c r="R6269">
        <v>1</v>
      </c>
    </row>
    <row r="6270" spans="1:18" x14ac:dyDescent="0.45">
      <c r="A6270" s="19" t="s">
        <v>19</v>
      </c>
      <c r="B6270" s="19" t="s">
        <v>6</v>
      </c>
      <c r="C6270">
        <v>2</v>
      </c>
      <c r="D6270">
        <v>4</v>
      </c>
      <c r="E6270">
        <v>2</v>
      </c>
      <c r="F6270" s="15">
        <v>46286</v>
      </c>
      <c r="G6270" s="19" t="s">
        <v>744</v>
      </c>
      <c r="H6270">
        <v>4</v>
      </c>
      <c r="I6270">
        <v>2026</v>
      </c>
      <c r="J6270">
        <v>9</v>
      </c>
      <c r="K6270" s="19" t="s">
        <v>282</v>
      </c>
      <c r="L6270" s="19" t="s">
        <v>578</v>
      </c>
      <c r="M6270" s="19" t="s">
        <v>6</v>
      </c>
      <c r="N6270" t="b">
        <v>0</v>
      </c>
      <c r="O6270">
        <v>0</v>
      </c>
      <c r="P6270">
        <v>1</v>
      </c>
      <c r="Q6270">
        <v>0</v>
      </c>
      <c r="R6270">
        <v>0</v>
      </c>
    </row>
    <row r="6271" spans="1:18" x14ac:dyDescent="0.45">
      <c r="A6271" s="19" t="s">
        <v>19</v>
      </c>
      <c r="B6271" s="19" t="s">
        <v>6</v>
      </c>
      <c r="C6271">
        <v>2</v>
      </c>
      <c r="D6271">
        <v>4</v>
      </c>
      <c r="E6271">
        <v>2</v>
      </c>
      <c r="F6271" s="15">
        <v>46286</v>
      </c>
      <c r="G6271" s="19" t="s">
        <v>744</v>
      </c>
      <c r="H6271">
        <v>4</v>
      </c>
      <c r="I6271">
        <v>2026</v>
      </c>
      <c r="J6271">
        <v>9</v>
      </c>
      <c r="K6271" s="19" t="s">
        <v>282</v>
      </c>
      <c r="L6271" s="19" t="s">
        <v>608</v>
      </c>
      <c r="M6271" s="19" t="s">
        <v>6</v>
      </c>
      <c r="N6271" t="b">
        <v>0</v>
      </c>
      <c r="O6271">
        <v>0</v>
      </c>
      <c r="P6271">
        <v>1</v>
      </c>
      <c r="Q6271">
        <v>0</v>
      </c>
      <c r="R6271">
        <v>0</v>
      </c>
    </row>
    <row r="6272" spans="1:18" x14ac:dyDescent="0.45">
      <c r="A6272" s="19" t="s">
        <v>578</v>
      </c>
      <c r="B6272" s="19" t="s">
        <v>6</v>
      </c>
      <c r="C6272">
        <v>3</v>
      </c>
      <c r="D6272">
        <v>4</v>
      </c>
      <c r="E6272">
        <v>2</v>
      </c>
      <c r="F6272" s="15">
        <v>46286</v>
      </c>
      <c r="G6272" s="19" t="s">
        <v>744</v>
      </c>
      <c r="H6272">
        <v>4</v>
      </c>
      <c r="I6272">
        <v>2026</v>
      </c>
      <c r="J6272">
        <v>9</v>
      </c>
      <c r="K6272" s="19" t="s">
        <v>282</v>
      </c>
      <c r="L6272" s="19" t="s">
        <v>402</v>
      </c>
      <c r="M6272" s="19" t="s">
        <v>8</v>
      </c>
      <c r="N6272" t="b">
        <v>0</v>
      </c>
      <c r="O6272">
        <v>0</v>
      </c>
      <c r="P6272">
        <v>1</v>
      </c>
      <c r="Q6272">
        <v>0</v>
      </c>
      <c r="R6272">
        <v>1</v>
      </c>
    </row>
    <row r="6273" spans="1:18" x14ac:dyDescent="0.45">
      <c r="A6273" s="19" t="s">
        <v>578</v>
      </c>
      <c r="B6273" s="19" t="s">
        <v>6</v>
      </c>
      <c r="C6273">
        <v>3</v>
      </c>
      <c r="D6273">
        <v>4</v>
      </c>
      <c r="E6273">
        <v>2</v>
      </c>
      <c r="F6273" s="15">
        <v>46286</v>
      </c>
      <c r="G6273" s="19" t="s">
        <v>744</v>
      </c>
      <c r="H6273">
        <v>4</v>
      </c>
      <c r="I6273">
        <v>2026</v>
      </c>
      <c r="J6273">
        <v>9</v>
      </c>
      <c r="K6273" s="19" t="s">
        <v>282</v>
      </c>
      <c r="L6273" s="19" t="s">
        <v>19</v>
      </c>
      <c r="M6273" s="19" t="s">
        <v>6</v>
      </c>
      <c r="N6273" t="b">
        <v>0</v>
      </c>
      <c r="O6273">
        <v>0</v>
      </c>
      <c r="P6273">
        <v>1</v>
      </c>
      <c r="Q6273">
        <v>0</v>
      </c>
      <c r="R6273">
        <v>0</v>
      </c>
    </row>
    <row r="6274" spans="1:18" x14ac:dyDescent="0.45">
      <c r="A6274" s="19" t="s">
        <v>578</v>
      </c>
      <c r="B6274" s="19" t="s">
        <v>6</v>
      </c>
      <c r="C6274">
        <v>3</v>
      </c>
      <c r="D6274">
        <v>4</v>
      </c>
      <c r="E6274">
        <v>2</v>
      </c>
      <c r="F6274" s="15">
        <v>46286</v>
      </c>
      <c r="G6274" s="19" t="s">
        <v>744</v>
      </c>
      <c r="H6274">
        <v>4</v>
      </c>
      <c r="I6274">
        <v>2026</v>
      </c>
      <c r="J6274">
        <v>9</v>
      </c>
      <c r="K6274" s="19" t="s">
        <v>282</v>
      </c>
      <c r="L6274" s="19" t="s">
        <v>608</v>
      </c>
      <c r="M6274" s="19" t="s">
        <v>6</v>
      </c>
      <c r="N6274" t="b">
        <v>0</v>
      </c>
      <c r="O6274">
        <v>0</v>
      </c>
      <c r="P6274">
        <v>1</v>
      </c>
      <c r="Q6274">
        <v>0</v>
      </c>
      <c r="R6274">
        <v>0</v>
      </c>
    </row>
    <row r="6275" spans="1:18" x14ac:dyDescent="0.45">
      <c r="A6275" s="19" t="s">
        <v>608</v>
      </c>
      <c r="B6275" s="19" t="s">
        <v>6</v>
      </c>
      <c r="C6275">
        <v>4</v>
      </c>
      <c r="D6275">
        <v>4</v>
      </c>
      <c r="E6275">
        <v>2</v>
      </c>
      <c r="F6275" s="15">
        <v>46286</v>
      </c>
      <c r="G6275" s="19" t="s">
        <v>744</v>
      </c>
      <c r="H6275">
        <v>4</v>
      </c>
      <c r="I6275">
        <v>2026</v>
      </c>
      <c r="J6275">
        <v>9</v>
      </c>
      <c r="K6275" s="19" t="s">
        <v>282</v>
      </c>
      <c r="L6275" s="19" t="s">
        <v>402</v>
      </c>
      <c r="M6275" s="19" t="s">
        <v>8</v>
      </c>
      <c r="N6275" t="b">
        <v>0</v>
      </c>
      <c r="O6275">
        <v>0</v>
      </c>
      <c r="P6275">
        <v>1</v>
      </c>
      <c r="Q6275">
        <v>0</v>
      </c>
      <c r="R6275">
        <v>1</v>
      </c>
    </row>
    <row r="6276" spans="1:18" x14ac:dyDescent="0.45">
      <c r="A6276" s="19" t="s">
        <v>608</v>
      </c>
      <c r="B6276" s="19" t="s">
        <v>6</v>
      </c>
      <c r="C6276">
        <v>4</v>
      </c>
      <c r="D6276">
        <v>4</v>
      </c>
      <c r="E6276">
        <v>2</v>
      </c>
      <c r="F6276" s="15">
        <v>46286</v>
      </c>
      <c r="G6276" s="19" t="s">
        <v>744</v>
      </c>
      <c r="H6276">
        <v>4</v>
      </c>
      <c r="I6276">
        <v>2026</v>
      </c>
      <c r="J6276">
        <v>9</v>
      </c>
      <c r="K6276" s="19" t="s">
        <v>282</v>
      </c>
      <c r="L6276" s="19" t="s">
        <v>19</v>
      </c>
      <c r="M6276" s="19" t="s">
        <v>6</v>
      </c>
      <c r="N6276" t="b">
        <v>0</v>
      </c>
      <c r="O6276">
        <v>0</v>
      </c>
      <c r="P6276">
        <v>1</v>
      </c>
      <c r="Q6276">
        <v>0</v>
      </c>
      <c r="R6276">
        <v>0</v>
      </c>
    </row>
    <row r="6277" spans="1:18" x14ac:dyDescent="0.45">
      <c r="A6277" s="19" t="s">
        <v>608</v>
      </c>
      <c r="B6277" s="19" t="s">
        <v>6</v>
      </c>
      <c r="C6277">
        <v>4</v>
      </c>
      <c r="D6277">
        <v>4</v>
      </c>
      <c r="E6277">
        <v>2</v>
      </c>
      <c r="F6277" s="15">
        <v>46286</v>
      </c>
      <c r="G6277" s="19" t="s">
        <v>744</v>
      </c>
      <c r="H6277">
        <v>4</v>
      </c>
      <c r="I6277">
        <v>2026</v>
      </c>
      <c r="J6277">
        <v>9</v>
      </c>
      <c r="K6277" s="19" t="s">
        <v>282</v>
      </c>
      <c r="L6277" s="19" t="s">
        <v>578</v>
      </c>
      <c r="M6277" s="19" t="s">
        <v>6</v>
      </c>
      <c r="N6277" t="b">
        <v>0</v>
      </c>
      <c r="O6277">
        <v>0</v>
      </c>
      <c r="P6277">
        <v>1</v>
      </c>
      <c r="Q6277">
        <v>0</v>
      </c>
      <c r="R6277">
        <v>0</v>
      </c>
    </row>
    <row r="6278" spans="1:18" x14ac:dyDescent="0.45">
      <c r="A6278" s="19" t="s">
        <v>20</v>
      </c>
      <c r="B6278" s="19" t="s">
        <v>8</v>
      </c>
      <c r="C6278">
        <v>1</v>
      </c>
      <c r="D6278">
        <v>5</v>
      </c>
      <c r="E6278">
        <v>2</v>
      </c>
      <c r="F6278" s="15">
        <v>46286</v>
      </c>
      <c r="G6278" s="19" t="s">
        <v>745</v>
      </c>
      <c r="H6278">
        <v>4</v>
      </c>
      <c r="I6278">
        <v>2026</v>
      </c>
      <c r="J6278">
        <v>9</v>
      </c>
      <c r="K6278" s="19" t="s">
        <v>282</v>
      </c>
      <c r="L6278" s="19" t="s">
        <v>10</v>
      </c>
      <c r="M6278" s="19" t="s">
        <v>6</v>
      </c>
      <c r="N6278" t="b">
        <v>0</v>
      </c>
      <c r="O6278">
        <v>1</v>
      </c>
      <c r="P6278">
        <v>0</v>
      </c>
      <c r="Q6278">
        <v>0</v>
      </c>
      <c r="R6278">
        <v>0</v>
      </c>
    </row>
    <row r="6279" spans="1:18" x14ac:dyDescent="0.45">
      <c r="A6279" s="19" t="s">
        <v>20</v>
      </c>
      <c r="B6279" s="19" t="s">
        <v>8</v>
      </c>
      <c r="C6279">
        <v>1</v>
      </c>
      <c r="D6279">
        <v>5</v>
      </c>
      <c r="E6279">
        <v>2</v>
      </c>
      <c r="F6279" s="15">
        <v>46286</v>
      </c>
      <c r="G6279" s="19" t="s">
        <v>745</v>
      </c>
      <c r="H6279">
        <v>4</v>
      </c>
      <c r="I6279">
        <v>2026</v>
      </c>
      <c r="J6279">
        <v>9</v>
      </c>
      <c r="K6279" s="19" t="s">
        <v>282</v>
      </c>
      <c r="L6279" s="19" t="s">
        <v>13</v>
      </c>
      <c r="M6279" s="19" t="s">
        <v>6</v>
      </c>
      <c r="N6279" t="b">
        <v>0</v>
      </c>
      <c r="O6279">
        <v>1</v>
      </c>
      <c r="P6279">
        <v>0</v>
      </c>
      <c r="Q6279">
        <v>0</v>
      </c>
      <c r="R6279">
        <v>0</v>
      </c>
    </row>
    <row r="6280" spans="1:18" x14ac:dyDescent="0.45">
      <c r="A6280" s="19" t="s">
        <v>20</v>
      </c>
      <c r="B6280" s="19" t="s">
        <v>8</v>
      </c>
      <c r="C6280">
        <v>1</v>
      </c>
      <c r="D6280">
        <v>5</v>
      </c>
      <c r="E6280">
        <v>2</v>
      </c>
      <c r="F6280" s="15">
        <v>46286</v>
      </c>
      <c r="G6280" s="19" t="s">
        <v>745</v>
      </c>
      <c r="H6280">
        <v>4</v>
      </c>
      <c r="I6280">
        <v>2026</v>
      </c>
      <c r="J6280">
        <v>9</v>
      </c>
      <c r="K6280" s="19" t="s">
        <v>282</v>
      </c>
      <c r="L6280" s="19" t="s">
        <v>519</v>
      </c>
      <c r="M6280" s="19" t="s">
        <v>6</v>
      </c>
      <c r="N6280" t="b">
        <v>0</v>
      </c>
      <c r="O6280">
        <v>1</v>
      </c>
      <c r="P6280">
        <v>0</v>
      </c>
      <c r="Q6280">
        <v>0</v>
      </c>
      <c r="R6280">
        <v>0</v>
      </c>
    </row>
    <row r="6281" spans="1:18" x14ac:dyDescent="0.45">
      <c r="A6281" s="19" t="s">
        <v>10</v>
      </c>
      <c r="B6281" s="19" t="s">
        <v>6</v>
      </c>
      <c r="C6281">
        <v>2</v>
      </c>
      <c r="D6281">
        <v>5</v>
      </c>
      <c r="E6281">
        <v>2</v>
      </c>
      <c r="F6281" s="15">
        <v>46286</v>
      </c>
      <c r="G6281" s="19" t="s">
        <v>745</v>
      </c>
      <c r="H6281">
        <v>4</v>
      </c>
      <c r="I6281">
        <v>2026</v>
      </c>
      <c r="J6281">
        <v>9</v>
      </c>
      <c r="K6281" s="19" t="s">
        <v>282</v>
      </c>
      <c r="L6281" s="19" t="s">
        <v>20</v>
      </c>
      <c r="M6281" s="19" t="s">
        <v>8</v>
      </c>
      <c r="N6281" t="b">
        <v>0</v>
      </c>
      <c r="O6281">
        <v>0</v>
      </c>
      <c r="P6281">
        <v>1</v>
      </c>
      <c r="Q6281">
        <v>0</v>
      </c>
      <c r="R6281">
        <v>1</v>
      </c>
    </row>
    <row r="6282" spans="1:18" x14ac:dyDescent="0.45">
      <c r="A6282" s="19" t="s">
        <v>10</v>
      </c>
      <c r="B6282" s="19" t="s">
        <v>6</v>
      </c>
      <c r="C6282">
        <v>2</v>
      </c>
      <c r="D6282">
        <v>5</v>
      </c>
      <c r="E6282">
        <v>2</v>
      </c>
      <c r="F6282" s="15">
        <v>46286</v>
      </c>
      <c r="G6282" s="19" t="s">
        <v>745</v>
      </c>
      <c r="H6282">
        <v>4</v>
      </c>
      <c r="I6282">
        <v>2026</v>
      </c>
      <c r="J6282">
        <v>9</v>
      </c>
      <c r="K6282" s="19" t="s">
        <v>282</v>
      </c>
      <c r="L6282" s="19" t="s">
        <v>13</v>
      </c>
      <c r="M6282" s="19" t="s">
        <v>6</v>
      </c>
      <c r="N6282" t="b">
        <v>0</v>
      </c>
      <c r="O6282">
        <v>0</v>
      </c>
      <c r="P6282">
        <v>1</v>
      </c>
      <c r="Q6282">
        <v>0</v>
      </c>
      <c r="R6282">
        <v>0</v>
      </c>
    </row>
    <row r="6283" spans="1:18" x14ac:dyDescent="0.45">
      <c r="A6283" s="19" t="s">
        <v>10</v>
      </c>
      <c r="B6283" s="19" t="s">
        <v>6</v>
      </c>
      <c r="C6283">
        <v>2</v>
      </c>
      <c r="D6283">
        <v>5</v>
      </c>
      <c r="E6283">
        <v>2</v>
      </c>
      <c r="F6283" s="15">
        <v>46286</v>
      </c>
      <c r="G6283" s="19" t="s">
        <v>745</v>
      </c>
      <c r="H6283">
        <v>4</v>
      </c>
      <c r="I6283">
        <v>2026</v>
      </c>
      <c r="J6283">
        <v>9</v>
      </c>
      <c r="K6283" s="19" t="s">
        <v>282</v>
      </c>
      <c r="L6283" s="19" t="s">
        <v>519</v>
      </c>
      <c r="M6283" s="19" t="s">
        <v>6</v>
      </c>
      <c r="N6283" t="b">
        <v>0</v>
      </c>
      <c r="O6283">
        <v>0</v>
      </c>
      <c r="P6283">
        <v>1</v>
      </c>
      <c r="Q6283">
        <v>0</v>
      </c>
      <c r="R6283">
        <v>0</v>
      </c>
    </row>
    <row r="6284" spans="1:18" x14ac:dyDescent="0.45">
      <c r="A6284" s="19" t="s">
        <v>13</v>
      </c>
      <c r="B6284" s="19" t="s">
        <v>6</v>
      </c>
      <c r="C6284">
        <v>3</v>
      </c>
      <c r="D6284">
        <v>5</v>
      </c>
      <c r="E6284">
        <v>2</v>
      </c>
      <c r="F6284" s="15">
        <v>46286</v>
      </c>
      <c r="G6284" s="19" t="s">
        <v>745</v>
      </c>
      <c r="H6284">
        <v>4</v>
      </c>
      <c r="I6284">
        <v>2026</v>
      </c>
      <c r="J6284">
        <v>9</v>
      </c>
      <c r="K6284" s="19" t="s">
        <v>282</v>
      </c>
      <c r="L6284" s="19" t="s">
        <v>20</v>
      </c>
      <c r="M6284" s="19" t="s">
        <v>8</v>
      </c>
      <c r="N6284" t="b">
        <v>0</v>
      </c>
      <c r="O6284">
        <v>0</v>
      </c>
      <c r="P6284">
        <v>1</v>
      </c>
      <c r="Q6284">
        <v>0</v>
      </c>
      <c r="R6284">
        <v>1</v>
      </c>
    </row>
    <row r="6285" spans="1:18" x14ac:dyDescent="0.45">
      <c r="A6285" s="19" t="s">
        <v>13</v>
      </c>
      <c r="B6285" s="19" t="s">
        <v>6</v>
      </c>
      <c r="C6285">
        <v>3</v>
      </c>
      <c r="D6285">
        <v>5</v>
      </c>
      <c r="E6285">
        <v>2</v>
      </c>
      <c r="F6285" s="15">
        <v>46286</v>
      </c>
      <c r="G6285" s="19" t="s">
        <v>745</v>
      </c>
      <c r="H6285">
        <v>4</v>
      </c>
      <c r="I6285">
        <v>2026</v>
      </c>
      <c r="J6285">
        <v>9</v>
      </c>
      <c r="K6285" s="19" t="s">
        <v>282</v>
      </c>
      <c r="L6285" s="19" t="s">
        <v>10</v>
      </c>
      <c r="M6285" s="19" t="s">
        <v>6</v>
      </c>
      <c r="N6285" t="b">
        <v>0</v>
      </c>
      <c r="O6285">
        <v>0</v>
      </c>
      <c r="P6285">
        <v>1</v>
      </c>
      <c r="Q6285">
        <v>0</v>
      </c>
      <c r="R6285">
        <v>0</v>
      </c>
    </row>
    <row r="6286" spans="1:18" x14ac:dyDescent="0.45">
      <c r="A6286" s="19" t="s">
        <v>13</v>
      </c>
      <c r="B6286" s="19" t="s">
        <v>6</v>
      </c>
      <c r="C6286">
        <v>3</v>
      </c>
      <c r="D6286">
        <v>5</v>
      </c>
      <c r="E6286">
        <v>2</v>
      </c>
      <c r="F6286" s="15">
        <v>46286</v>
      </c>
      <c r="G6286" s="19" t="s">
        <v>745</v>
      </c>
      <c r="H6286">
        <v>4</v>
      </c>
      <c r="I6286">
        <v>2026</v>
      </c>
      <c r="J6286">
        <v>9</v>
      </c>
      <c r="K6286" s="19" t="s">
        <v>282</v>
      </c>
      <c r="L6286" s="19" t="s">
        <v>519</v>
      </c>
      <c r="M6286" s="19" t="s">
        <v>6</v>
      </c>
      <c r="N6286" t="b">
        <v>0</v>
      </c>
      <c r="O6286">
        <v>0</v>
      </c>
      <c r="P6286">
        <v>1</v>
      </c>
      <c r="Q6286">
        <v>0</v>
      </c>
      <c r="R6286">
        <v>0</v>
      </c>
    </row>
    <row r="6287" spans="1:18" x14ac:dyDescent="0.45">
      <c r="A6287" s="19" t="s">
        <v>519</v>
      </c>
      <c r="B6287" s="19" t="s">
        <v>6</v>
      </c>
      <c r="C6287">
        <v>4</v>
      </c>
      <c r="D6287">
        <v>5</v>
      </c>
      <c r="E6287">
        <v>2</v>
      </c>
      <c r="F6287" s="15">
        <v>46286</v>
      </c>
      <c r="G6287" s="19" t="s">
        <v>745</v>
      </c>
      <c r="H6287">
        <v>4</v>
      </c>
      <c r="I6287">
        <v>2026</v>
      </c>
      <c r="J6287">
        <v>9</v>
      </c>
      <c r="K6287" s="19" t="s">
        <v>282</v>
      </c>
      <c r="L6287" s="19" t="s">
        <v>20</v>
      </c>
      <c r="M6287" s="19" t="s">
        <v>8</v>
      </c>
      <c r="N6287" t="b">
        <v>0</v>
      </c>
      <c r="O6287">
        <v>0</v>
      </c>
      <c r="P6287">
        <v>1</v>
      </c>
      <c r="Q6287">
        <v>0</v>
      </c>
      <c r="R6287">
        <v>1</v>
      </c>
    </row>
    <row r="6288" spans="1:18" x14ac:dyDescent="0.45">
      <c r="A6288" s="19" t="s">
        <v>519</v>
      </c>
      <c r="B6288" s="19" t="s">
        <v>6</v>
      </c>
      <c r="C6288">
        <v>4</v>
      </c>
      <c r="D6288">
        <v>5</v>
      </c>
      <c r="E6288">
        <v>2</v>
      </c>
      <c r="F6288" s="15">
        <v>46286</v>
      </c>
      <c r="G6288" s="19" t="s">
        <v>745</v>
      </c>
      <c r="H6288">
        <v>4</v>
      </c>
      <c r="I6288">
        <v>2026</v>
      </c>
      <c r="J6288">
        <v>9</v>
      </c>
      <c r="K6288" s="19" t="s">
        <v>282</v>
      </c>
      <c r="L6288" s="19" t="s">
        <v>10</v>
      </c>
      <c r="M6288" s="19" t="s">
        <v>6</v>
      </c>
      <c r="N6288" t="b">
        <v>0</v>
      </c>
      <c r="O6288">
        <v>0</v>
      </c>
      <c r="P6288">
        <v>1</v>
      </c>
      <c r="Q6288">
        <v>0</v>
      </c>
      <c r="R6288">
        <v>0</v>
      </c>
    </row>
    <row r="6289" spans="1:18" x14ac:dyDescent="0.45">
      <c r="A6289" s="19" t="s">
        <v>519</v>
      </c>
      <c r="B6289" s="19" t="s">
        <v>6</v>
      </c>
      <c r="C6289">
        <v>4</v>
      </c>
      <c r="D6289">
        <v>5</v>
      </c>
      <c r="E6289">
        <v>2</v>
      </c>
      <c r="F6289" s="15">
        <v>46286</v>
      </c>
      <c r="G6289" s="19" t="s">
        <v>745</v>
      </c>
      <c r="H6289">
        <v>4</v>
      </c>
      <c r="I6289">
        <v>2026</v>
      </c>
      <c r="J6289">
        <v>9</v>
      </c>
      <c r="K6289" s="19" t="s">
        <v>282</v>
      </c>
      <c r="L6289" s="19" t="s">
        <v>13</v>
      </c>
      <c r="M6289" s="19" t="s">
        <v>6</v>
      </c>
      <c r="N6289" t="b">
        <v>0</v>
      </c>
      <c r="O6289">
        <v>0</v>
      </c>
      <c r="P6289">
        <v>1</v>
      </c>
      <c r="Q6289">
        <v>0</v>
      </c>
      <c r="R6289">
        <v>0</v>
      </c>
    </row>
    <row r="6290" spans="1:18" x14ac:dyDescent="0.45">
      <c r="A6290" s="19" t="s">
        <v>364</v>
      </c>
      <c r="B6290" s="19" t="s">
        <v>6</v>
      </c>
      <c r="C6290">
        <v>1</v>
      </c>
      <c r="D6290">
        <v>6</v>
      </c>
      <c r="E6290">
        <v>2</v>
      </c>
      <c r="F6290" s="15">
        <v>46286</v>
      </c>
      <c r="G6290" s="19" t="s">
        <v>746</v>
      </c>
      <c r="H6290">
        <v>3</v>
      </c>
      <c r="I6290">
        <v>2026</v>
      </c>
      <c r="J6290">
        <v>9</v>
      </c>
      <c r="K6290" s="19" t="s">
        <v>282</v>
      </c>
      <c r="L6290" s="19" t="s">
        <v>27</v>
      </c>
      <c r="M6290" s="19" t="s">
        <v>8</v>
      </c>
      <c r="N6290" t="b">
        <v>0</v>
      </c>
      <c r="O6290">
        <v>0</v>
      </c>
      <c r="P6290">
        <v>1</v>
      </c>
      <c r="Q6290">
        <v>0</v>
      </c>
      <c r="R6290">
        <v>1</v>
      </c>
    </row>
    <row r="6291" spans="1:18" x14ac:dyDescent="0.45">
      <c r="A6291" s="19" t="s">
        <v>364</v>
      </c>
      <c r="B6291" s="19" t="s">
        <v>6</v>
      </c>
      <c r="C6291">
        <v>1</v>
      </c>
      <c r="D6291">
        <v>6</v>
      </c>
      <c r="E6291">
        <v>2</v>
      </c>
      <c r="F6291" s="15">
        <v>46286</v>
      </c>
      <c r="G6291" s="19" t="s">
        <v>746</v>
      </c>
      <c r="H6291">
        <v>3</v>
      </c>
      <c r="I6291">
        <v>2026</v>
      </c>
      <c r="J6291">
        <v>9</v>
      </c>
      <c r="K6291" s="19" t="s">
        <v>282</v>
      </c>
      <c r="L6291" s="19" t="s">
        <v>609</v>
      </c>
      <c r="M6291" s="19" t="s">
        <v>6</v>
      </c>
      <c r="N6291" t="b">
        <v>0</v>
      </c>
      <c r="O6291">
        <v>0</v>
      </c>
      <c r="P6291">
        <v>1</v>
      </c>
      <c r="Q6291">
        <v>0</v>
      </c>
      <c r="R6291">
        <v>0</v>
      </c>
    </row>
    <row r="6292" spans="1:18" x14ac:dyDescent="0.45">
      <c r="A6292" s="19" t="s">
        <v>27</v>
      </c>
      <c r="B6292" s="19" t="s">
        <v>8</v>
      </c>
      <c r="C6292">
        <v>2</v>
      </c>
      <c r="D6292">
        <v>6</v>
      </c>
      <c r="E6292">
        <v>2</v>
      </c>
      <c r="F6292" s="15">
        <v>46286</v>
      </c>
      <c r="G6292" s="19" t="s">
        <v>746</v>
      </c>
      <c r="H6292">
        <v>3</v>
      </c>
      <c r="I6292">
        <v>2026</v>
      </c>
      <c r="J6292">
        <v>9</v>
      </c>
      <c r="K6292" s="19" t="s">
        <v>282</v>
      </c>
      <c r="L6292" s="19" t="s">
        <v>364</v>
      </c>
      <c r="M6292" s="19" t="s">
        <v>6</v>
      </c>
      <c r="N6292" t="b">
        <v>0</v>
      </c>
      <c r="O6292">
        <v>1</v>
      </c>
      <c r="P6292">
        <v>0</v>
      </c>
      <c r="Q6292">
        <v>0</v>
      </c>
      <c r="R6292">
        <v>0</v>
      </c>
    </row>
    <row r="6293" spans="1:18" x14ac:dyDescent="0.45">
      <c r="A6293" s="19" t="s">
        <v>27</v>
      </c>
      <c r="B6293" s="19" t="s">
        <v>8</v>
      </c>
      <c r="C6293">
        <v>2</v>
      </c>
      <c r="D6293">
        <v>6</v>
      </c>
      <c r="E6293">
        <v>2</v>
      </c>
      <c r="F6293" s="15">
        <v>46286</v>
      </c>
      <c r="G6293" s="19" t="s">
        <v>746</v>
      </c>
      <c r="H6293">
        <v>3</v>
      </c>
      <c r="I6293">
        <v>2026</v>
      </c>
      <c r="J6293">
        <v>9</v>
      </c>
      <c r="K6293" s="19" t="s">
        <v>282</v>
      </c>
      <c r="L6293" s="19" t="s">
        <v>609</v>
      </c>
      <c r="M6293" s="19" t="s">
        <v>6</v>
      </c>
      <c r="N6293" t="b">
        <v>0</v>
      </c>
      <c r="O6293">
        <v>1</v>
      </c>
      <c r="P6293">
        <v>0</v>
      </c>
      <c r="Q6293">
        <v>0</v>
      </c>
      <c r="R6293">
        <v>0</v>
      </c>
    </row>
    <row r="6294" spans="1:18" x14ac:dyDescent="0.45">
      <c r="A6294" s="19" t="s">
        <v>609</v>
      </c>
      <c r="B6294" s="19" t="s">
        <v>6</v>
      </c>
      <c r="C6294">
        <v>3</v>
      </c>
      <c r="D6294">
        <v>6</v>
      </c>
      <c r="E6294">
        <v>2</v>
      </c>
      <c r="F6294" s="15">
        <v>46286</v>
      </c>
      <c r="G6294" s="19" t="s">
        <v>746</v>
      </c>
      <c r="H6294">
        <v>3</v>
      </c>
      <c r="I6294">
        <v>2026</v>
      </c>
      <c r="J6294">
        <v>9</v>
      </c>
      <c r="K6294" s="19" t="s">
        <v>282</v>
      </c>
      <c r="L6294" s="19" t="s">
        <v>364</v>
      </c>
      <c r="M6294" s="19" t="s">
        <v>6</v>
      </c>
      <c r="N6294" t="b">
        <v>0</v>
      </c>
      <c r="O6294">
        <v>0</v>
      </c>
      <c r="P6294">
        <v>1</v>
      </c>
      <c r="Q6294">
        <v>0</v>
      </c>
      <c r="R6294">
        <v>0</v>
      </c>
    </row>
    <row r="6295" spans="1:18" x14ac:dyDescent="0.45">
      <c r="A6295" s="19" t="s">
        <v>609</v>
      </c>
      <c r="B6295" s="19" t="s">
        <v>6</v>
      </c>
      <c r="C6295">
        <v>3</v>
      </c>
      <c r="D6295">
        <v>6</v>
      </c>
      <c r="E6295">
        <v>2</v>
      </c>
      <c r="F6295" s="15">
        <v>46286</v>
      </c>
      <c r="G6295" s="19" t="s">
        <v>746</v>
      </c>
      <c r="H6295">
        <v>3</v>
      </c>
      <c r="I6295">
        <v>2026</v>
      </c>
      <c r="J6295">
        <v>9</v>
      </c>
      <c r="K6295" s="19" t="s">
        <v>282</v>
      </c>
      <c r="L6295" s="19" t="s">
        <v>27</v>
      </c>
      <c r="M6295" s="19" t="s">
        <v>8</v>
      </c>
      <c r="N6295" t="b">
        <v>0</v>
      </c>
      <c r="O6295">
        <v>0</v>
      </c>
      <c r="P6295">
        <v>1</v>
      </c>
      <c r="Q6295">
        <v>0</v>
      </c>
      <c r="R6295">
        <v>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2026-09-22T13:33:06Z</dcterms:modified>
</cp:coreProperties>
</file>