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C7A8EF0E-3602-4EF1-90E6-D7CDBDCC7835}" xr6:coauthVersionLast="47" xr6:coauthVersionMax="47" xr10:uidLastSave="{00000000-0000-0000-0000-000000000000}"/>
  <bookViews>
    <workbookView xWindow="-76920" yWindow="-120" windowWidth="38640" windowHeight="21120"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Matchups!$A$1:$R$5677</definedName>
    <definedName name="Slicer_Month">#N/A</definedName>
    <definedName name="Slicer_Year">#N/A</definedName>
  </definedNames>
  <calcPr calcId="191029"/>
  <pivotCaches>
    <pivotCache cacheId="7"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984" i="1" l="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0" i="2"/>
  <c r="H10" i="2"/>
  <c r="I10" i="2"/>
  <c r="K10" i="2"/>
  <c r="L10" i="2"/>
  <c r="M10" i="2"/>
  <c r="G103" i="2"/>
  <c r="H103" i="2"/>
  <c r="I103" i="2"/>
  <c r="K103" i="2"/>
  <c r="L103" i="2"/>
  <c r="M103" i="2"/>
  <c r="G102" i="2"/>
  <c r="H102" i="2"/>
  <c r="I102" i="2"/>
  <c r="K102" i="2"/>
  <c r="L102" i="2"/>
  <c r="M102" i="2"/>
  <c r="G101" i="2"/>
  <c r="H101" i="2"/>
  <c r="I101" i="2"/>
  <c r="K101" i="2"/>
  <c r="L101" i="2"/>
  <c r="M101" i="2"/>
  <c r="G100" i="2"/>
  <c r="H100" i="2"/>
  <c r="I100" i="2"/>
  <c r="K100" i="2"/>
  <c r="L100" i="2"/>
  <c r="M100" i="2"/>
  <c r="G99" i="2"/>
  <c r="H99" i="2"/>
  <c r="I99" i="2"/>
  <c r="K99" i="2"/>
  <c r="L99" i="2"/>
  <c r="M99" i="2"/>
  <c r="G45" i="2"/>
  <c r="H45" i="2"/>
  <c r="I45" i="2"/>
  <c r="K45" i="2"/>
  <c r="L45" i="2"/>
  <c r="M45" i="2"/>
  <c r="G16" i="2"/>
  <c r="H16" i="2"/>
  <c r="I16" i="2"/>
  <c r="K16" i="2"/>
  <c r="L16" i="2"/>
  <c r="M16"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96" i="2"/>
  <c r="H96" i="2"/>
  <c r="I96" i="2"/>
  <c r="K96" i="2"/>
  <c r="L96" i="2"/>
  <c r="M96" i="2"/>
  <c r="G56" i="2"/>
  <c r="H56" i="2"/>
  <c r="I56" i="2"/>
  <c r="K56" i="2"/>
  <c r="L56" i="2"/>
  <c r="M56" i="2"/>
  <c r="G20" i="2"/>
  <c r="H20" i="2"/>
  <c r="I20" i="2"/>
  <c r="K20" i="2"/>
  <c r="L20" i="2"/>
  <c r="M20" i="2"/>
  <c r="G94" i="2"/>
  <c r="H94" i="2"/>
  <c r="I94" i="2"/>
  <c r="K94" i="2"/>
  <c r="L94" i="2"/>
  <c r="M94" i="2"/>
  <c r="G82" i="2"/>
  <c r="H82" i="2"/>
  <c r="I82" i="2"/>
  <c r="K82" i="2"/>
  <c r="L82" i="2"/>
  <c r="M82"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93" i="2"/>
  <c r="H93" i="2"/>
  <c r="I93" i="2"/>
  <c r="K93" i="2"/>
  <c r="L93" i="2"/>
  <c r="M93"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56" i="14" s="1"/>
  <c r="G54" i="14"/>
  <c r="H54" i="14"/>
  <c r="H56" i="14"/>
  <c r="G83" i="2"/>
  <c r="H83" i="2"/>
  <c r="I83" i="2"/>
  <c r="K83" i="2"/>
  <c r="L83" i="2"/>
  <c r="M83"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1" i="2"/>
  <c r="H91" i="2"/>
  <c r="I91" i="2"/>
  <c r="K91" i="2"/>
  <c r="L91" i="2"/>
  <c r="M91"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43" i="2"/>
  <c r="L13" i="2"/>
  <c r="L65" i="2"/>
  <c r="G62" i="2"/>
  <c r="M54" i="2"/>
  <c r="M68" i="2"/>
  <c r="M71" i="2"/>
  <c r="I67" i="2"/>
  <c r="M44" i="2"/>
  <c r="K69" i="2"/>
  <c r="M5" i="2"/>
  <c r="G44" i="2"/>
  <c r="K62" i="2"/>
  <c r="K42" i="2"/>
  <c r="M79" i="2"/>
  <c r="H70" i="2"/>
  <c r="I31" i="2"/>
  <c r="I6" i="2"/>
  <c r="H38" i="2"/>
  <c r="M77" i="2"/>
  <c r="H6" i="2"/>
  <c r="M7" i="2"/>
  <c r="M92" i="2"/>
  <c r="M6" i="2"/>
  <c r="H58" i="2"/>
  <c r="G75" i="2"/>
  <c r="L54" i="2"/>
  <c r="K65" i="2"/>
  <c r="G72" i="2"/>
  <c r="K79" i="2"/>
  <c r="G38" i="2"/>
  <c r="L66" i="2"/>
  <c r="K23" i="2"/>
  <c r="H60" i="2"/>
  <c r="I43" i="2"/>
  <c r="M97"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0" i="2"/>
  <c r="I7" i="2"/>
  <c r="I65" i="2"/>
  <c r="L37" i="2"/>
  <c r="M37" i="2"/>
  <c r="M70" i="2"/>
  <c r="G68" i="2"/>
  <c r="G60" i="2"/>
  <c r="L7" i="2"/>
  <c r="L63" i="2"/>
  <c r="M63" i="2"/>
  <c r="H15" i="2"/>
  <c r="H31" i="2"/>
  <c r="M40" i="2"/>
  <c r="M62" i="2"/>
  <c r="G67" i="2"/>
  <c r="H64" i="2"/>
  <c r="L71" i="2"/>
  <c r="H55" i="2"/>
  <c r="L50" i="2"/>
  <c r="H74" i="2"/>
  <c r="K63" i="2"/>
  <c r="G73" i="2"/>
  <c r="K67" i="2"/>
  <c r="G74" i="2"/>
  <c r="K43" i="2"/>
  <c r="I64" i="2"/>
  <c r="L31" i="2"/>
  <c r="H97" i="2"/>
  <c r="H40" i="2"/>
  <c r="L69" i="2"/>
  <c r="M65" i="2"/>
  <c r="H42" i="2"/>
  <c r="G63" i="2"/>
  <c r="H7" i="2"/>
  <c r="G65" i="2"/>
  <c r="K77" i="2"/>
  <c r="I76" i="2"/>
  <c r="I59" i="2"/>
  <c r="M31" i="2"/>
  <c r="H62" i="2"/>
  <c r="M72" i="2"/>
  <c r="I90" i="2"/>
  <c r="I57" i="2"/>
  <c r="H79" i="2"/>
  <c r="G69" i="2"/>
  <c r="I92" i="2"/>
  <c r="H67" i="2"/>
  <c r="I60" i="2"/>
  <c r="M67" i="2"/>
  <c r="H37" i="2"/>
  <c r="L15" i="2"/>
  <c r="L53" i="2"/>
  <c r="G92" i="2"/>
  <c r="L18" i="2"/>
  <c r="I75" i="2"/>
  <c r="G53" i="2"/>
  <c r="G76" i="2"/>
  <c r="L6" i="2"/>
  <c r="L48" i="2"/>
  <c r="H5" i="2"/>
  <c r="I79" i="2"/>
  <c r="L38" i="2"/>
  <c r="G58" i="2"/>
  <c r="G90" i="2"/>
  <c r="M43" i="2"/>
  <c r="K90" i="2"/>
  <c r="I44" i="2"/>
  <c r="M74" i="2"/>
  <c r="G6" i="2"/>
  <c r="K73" i="2"/>
  <c r="I69" i="2"/>
  <c r="M50" i="2"/>
  <c r="G18" i="2"/>
  <c r="I77" i="2"/>
  <c r="K71" i="2"/>
  <c r="L78" i="2"/>
  <c r="M55" i="2"/>
  <c r="H50" i="2"/>
  <c r="H44" i="2"/>
  <c r="G71" i="2"/>
  <c r="I70" i="2"/>
  <c r="M13" i="2"/>
  <c r="I66" i="2"/>
  <c r="K6" i="2"/>
  <c r="G70" i="2"/>
  <c r="I52" i="2"/>
  <c r="G7" i="2"/>
  <c r="H53" i="2"/>
  <c r="H73" i="2"/>
  <c r="L90" i="2"/>
  <c r="M78" i="2"/>
  <c r="M23" i="2"/>
  <c r="L62" i="2"/>
  <c r="L68" i="2"/>
  <c r="K55" i="2"/>
  <c r="M66" i="2"/>
  <c r="L64" i="2"/>
  <c r="G13" i="2"/>
  <c r="M42" i="2"/>
  <c r="L72" i="2"/>
  <c r="L67" i="2"/>
  <c r="I62" i="2"/>
  <c r="K52" i="2"/>
  <c r="G97" i="2"/>
  <c r="G66" i="2"/>
  <c r="G15" i="2"/>
  <c r="M18" i="2"/>
  <c r="M61" i="2"/>
  <c r="G57" i="2"/>
  <c r="L97" i="2"/>
  <c r="K61" i="2"/>
  <c r="G54" i="2"/>
  <c r="L59" i="2"/>
  <c r="K40" i="2"/>
  <c r="L57" i="2"/>
  <c r="I13" i="2"/>
  <c r="G78" i="2"/>
  <c r="K74" i="2"/>
  <c r="K54" i="2"/>
  <c r="G40" i="2"/>
  <c r="L52" i="2"/>
  <c r="H75" i="2"/>
  <c r="M60" i="2"/>
  <c r="I55" i="2"/>
  <c r="G43" i="2"/>
  <c r="I68" i="2"/>
  <c r="L75" i="2"/>
  <c r="K13" i="2"/>
  <c r="K97" i="2"/>
  <c r="H18" i="2"/>
  <c r="M48" i="2"/>
  <c r="M69" i="2"/>
  <c r="G23" i="2"/>
  <c r="K38" i="2"/>
  <c r="K18" i="2"/>
  <c r="H54" i="2"/>
  <c r="M90" i="2"/>
  <c r="L40" i="2"/>
  <c r="I53" i="2"/>
  <c r="I48" i="2"/>
  <c r="K57" i="2"/>
  <c r="G55" i="2"/>
  <c r="M38" i="2"/>
  <c r="L92" i="2"/>
  <c r="H65" i="2"/>
  <c r="I97" i="2"/>
  <c r="G79" i="2"/>
  <c r="I74" i="2"/>
  <c r="L73" i="2"/>
  <c r="K50" i="2"/>
  <c r="H71" i="2"/>
  <c r="L61" i="2"/>
  <c r="G5" i="2"/>
  <c r="K5" i="2"/>
  <c r="M57" i="2"/>
  <c r="G31" i="2"/>
  <c r="L70" i="2"/>
  <c r="G64" i="2"/>
  <c r="G37" i="2"/>
  <c r="M64" i="2"/>
  <c r="K92" i="2"/>
  <c r="M59" i="2"/>
  <c r="K37" i="2"/>
  <c r="I40" i="2"/>
  <c r="L42" i="2"/>
  <c r="H13" i="2"/>
  <c r="H63" i="2"/>
  <c r="I23" i="2"/>
  <c r="H43" i="2"/>
  <c r="M58" i="2"/>
  <c r="I18" i="2"/>
  <c r="K75" i="2"/>
  <c r="K15" i="2"/>
  <c r="K70" i="2"/>
  <c r="L5" i="2"/>
  <c r="H92" i="2"/>
  <c r="K66" i="2"/>
  <c r="M52" i="2"/>
  <c r="G59" i="2"/>
  <c r="H61" i="2"/>
  <c r="H69" i="2"/>
  <c r="K60" i="2"/>
  <c r="H66" i="2"/>
  <c r="I38" i="2"/>
  <c r="H78" i="2"/>
  <c r="L44" i="2"/>
  <c r="I58" i="2"/>
  <c r="H23" i="2"/>
  <c r="I15" i="2"/>
  <c r="I72" i="2"/>
  <c r="G42" i="2"/>
  <c r="K44" i="2"/>
  <c r="K58" i="2"/>
  <c r="K59" i="2"/>
  <c r="M75" i="2"/>
  <c r="K72" i="2"/>
  <c r="K48" i="2"/>
  <c r="K53" i="2"/>
  <c r="K31" i="2"/>
  <c r="M53" i="2"/>
  <c r="K68" i="2"/>
  <c r="G52" i="2"/>
  <c r="K76" i="2"/>
  <c r="I42" i="2"/>
  <c r="J104" i="2" l="1"/>
  <c r="N104" i="2"/>
  <c r="O104" i="2"/>
  <c r="J10" i="2"/>
  <c r="N10" i="2"/>
  <c r="O10" i="2" s="1"/>
  <c r="J103" i="2"/>
  <c r="N103" i="2"/>
  <c r="O103" i="2" s="1"/>
  <c r="J102" i="2"/>
  <c r="N102" i="2"/>
  <c r="O102" i="2" s="1"/>
  <c r="J101" i="2"/>
  <c r="N101" i="2"/>
  <c r="O101" i="2" s="1"/>
  <c r="J100" i="2"/>
  <c r="N100" i="2"/>
  <c r="O100" i="2" s="1"/>
  <c r="J99" i="2"/>
  <c r="N99" i="2"/>
  <c r="O99" i="2" s="1"/>
  <c r="J45" i="2"/>
  <c r="N45" i="2"/>
  <c r="O45" i="2" s="1"/>
  <c r="H55" i="14"/>
  <c r="J16" i="2"/>
  <c r="N16" i="2"/>
  <c r="O16" i="2" s="1"/>
  <c r="J96" i="2"/>
  <c r="N96" i="2"/>
  <c r="O96" i="2" s="1"/>
  <c r="J56" i="2"/>
  <c r="N56" i="2"/>
  <c r="O56" i="2" s="1"/>
  <c r="J20" i="2"/>
  <c r="N20" i="2"/>
  <c r="O20" i="2" s="1"/>
  <c r="J94" i="2"/>
  <c r="N94" i="2"/>
  <c r="O94" i="2" s="1"/>
  <c r="J82" i="2"/>
  <c r="N82" i="2"/>
  <c r="O82" i="2" s="1"/>
  <c r="G55" i="14"/>
  <c r="J80" i="2"/>
  <c r="F80" i="2" s="1"/>
  <c r="N80" i="2"/>
  <c r="O80" i="2" s="1"/>
  <c r="J51" i="2"/>
  <c r="F51" i="2" s="1"/>
  <c r="N51" i="2"/>
  <c r="J85" i="2"/>
  <c r="F85" i="2" s="1"/>
  <c r="N85" i="2"/>
  <c r="J84" i="2"/>
  <c r="F84" i="2" s="1"/>
  <c r="N84" i="2"/>
  <c r="O84" i="2" s="1"/>
  <c r="J93" i="2"/>
  <c r="F93" i="2" s="1"/>
  <c r="N93" i="2"/>
  <c r="H53" i="14"/>
  <c r="J83" i="2"/>
  <c r="F83" i="2" s="1"/>
  <c r="N83" i="2"/>
  <c r="J89" i="2"/>
  <c r="N89" i="2"/>
  <c r="O89" i="2" s="1"/>
  <c r="J88" i="2"/>
  <c r="N88" i="2"/>
  <c r="J87" i="2"/>
  <c r="N87" i="2"/>
  <c r="J86" i="2"/>
  <c r="N86" i="2"/>
  <c r="J49" i="2"/>
  <c r="N49" i="2"/>
  <c r="O49" i="2" s="1"/>
  <c r="J47" i="2"/>
  <c r="N47" i="2"/>
  <c r="O47" i="2" s="1"/>
  <c r="J91" i="2"/>
  <c r="N91" i="2"/>
  <c r="J81" i="2"/>
  <c r="N81" i="2"/>
  <c r="O81" i="2" s="1"/>
  <c r="N90" i="2"/>
  <c r="O90" i="2" s="1"/>
  <c r="J90" i="2"/>
  <c r="F90" i="2" s="1"/>
  <c r="H52" i="14"/>
  <c r="N31" i="2"/>
  <c r="O31" i="2" s="1"/>
  <c r="J31" i="2"/>
  <c r="F31" i="2" s="1"/>
  <c r="N13" i="2"/>
  <c r="O13" i="2" s="1"/>
  <c r="J13" i="2"/>
  <c r="F13"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18" i="2"/>
  <c r="O18" i="2" s="1"/>
  <c r="J18" i="2"/>
  <c r="F18" i="2" s="1"/>
  <c r="N62" i="2"/>
  <c r="O62" i="2" s="1"/>
  <c r="J62" i="2"/>
  <c r="F62" i="2" s="1"/>
  <c r="N61" i="2"/>
  <c r="O61" i="2" s="1"/>
  <c r="J61" i="2"/>
  <c r="F61" i="2" s="1"/>
  <c r="N60" i="2"/>
  <c r="O60" i="2" s="1"/>
  <c r="J60" i="2"/>
  <c r="F60" i="2" s="1"/>
  <c r="N92" i="2"/>
  <c r="O92" i="2" s="1"/>
  <c r="J92" i="2"/>
  <c r="F92" i="2" s="1"/>
  <c r="N59" i="2"/>
  <c r="O59" i="2" s="1"/>
  <c r="J59" i="2"/>
  <c r="F59" i="2" s="1"/>
  <c r="N58" i="2"/>
  <c r="O58" i="2" s="1"/>
  <c r="J58" i="2"/>
  <c r="F58" i="2" s="1"/>
  <c r="N57" i="2"/>
  <c r="O57" i="2" s="1"/>
  <c r="J57" i="2"/>
  <c r="F57" i="2" s="1"/>
  <c r="N97" i="2"/>
  <c r="O97" i="2" s="1"/>
  <c r="J97" i="2"/>
  <c r="F97"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43" i="2"/>
  <c r="O43" i="2" s="1"/>
  <c r="J43" i="2"/>
  <c r="F43" i="2" s="1"/>
  <c r="N44" i="2"/>
  <c r="O44" i="2" s="1"/>
  <c r="J44" i="2"/>
  <c r="F44" i="2" s="1"/>
  <c r="N48" i="2"/>
  <c r="O48" i="2" s="1"/>
  <c r="J48" i="2"/>
  <c r="F48" i="2" s="1"/>
  <c r="H51" i="14"/>
  <c r="N42" i="2"/>
  <c r="O42" i="2" s="1"/>
  <c r="J42" i="2"/>
  <c r="F42" i="2" s="1"/>
  <c r="N40" i="2"/>
  <c r="O40" i="2" s="1"/>
  <c r="J40" i="2"/>
  <c r="F40" i="2" s="1"/>
  <c r="H50" i="14"/>
  <c r="H49" i="14"/>
  <c r="H46" i="14"/>
  <c r="N38" i="2"/>
  <c r="O38" i="2" s="1"/>
  <c r="J38" i="2"/>
  <c r="F38" i="2" s="1"/>
  <c r="N37" i="2"/>
  <c r="O37" i="2" s="1"/>
  <c r="J37" i="2"/>
  <c r="F37" i="2" s="1"/>
  <c r="H48" i="14"/>
  <c r="N23" i="2"/>
  <c r="O23" i="2" s="1"/>
  <c r="J23" i="2"/>
  <c r="F23" i="2" s="1"/>
  <c r="N7" i="2"/>
  <c r="O7" i="2" s="1"/>
  <c r="J7" i="2"/>
  <c r="F7" i="2" s="1"/>
  <c r="N66" i="2"/>
  <c r="O66" i="2" s="1"/>
  <c r="J66" i="2"/>
  <c r="F66"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1984"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34" i="2"/>
  <c r="L46" i="2"/>
  <c r="K30" i="2"/>
  <c r="I25" i="2"/>
  <c r="C6" i="5"/>
  <c r="H33" i="2"/>
  <c r="G17" i="2"/>
  <c r="M12" i="2"/>
  <c r="M8" i="2"/>
  <c r="M32" i="2"/>
  <c r="I11" i="2"/>
  <c r="G12" i="2"/>
  <c r="H25" i="2"/>
  <c r="K24" i="2"/>
  <c r="G35" i="2"/>
  <c r="M98" i="2"/>
  <c r="L11" i="2"/>
  <c r="M33" i="2"/>
  <c r="L30" i="2"/>
  <c r="L95" i="2"/>
  <c r="L22" i="2"/>
  <c r="H26" i="2"/>
  <c r="G30" i="2"/>
  <c r="I9" i="2"/>
  <c r="H30" i="2"/>
  <c r="I30" i="2"/>
  <c r="G98" i="2"/>
  <c r="M27" i="2"/>
  <c r="I29" i="2"/>
  <c r="L21" i="2"/>
  <c r="K21" i="2"/>
  <c r="C9" i="5"/>
  <c r="K32" i="2"/>
  <c r="H46" i="2"/>
  <c r="I24" i="2"/>
  <c r="G22" i="2"/>
  <c r="H24" i="2"/>
  <c r="H9" i="2"/>
  <c r="K26" i="2"/>
  <c r="L26" i="2"/>
  <c r="H21" i="2"/>
  <c r="K29" i="2"/>
  <c r="G36" i="2"/>
  <c r="I19" i="2"/>
  <c r="H22" i="2"/>
  <c r="M35" i="2"/>
  <c r="L24" i="2"/>
  <c r="L12" i="2"/>
  <c r="M34" i="2"/>
  <c r="M29" i="2"/>
  <c r="G25" i="2"/>
  <c r="K11" i="2"/>
  <c r="K27" i="2"/>
  <c r="I12" i="2"/>
  <c r="G46" i="2"/>
  <c r="M22" i="2"/>
  <c r="H36" i="2"/>
  <c r="K41" i="2"/>
  <c r="I36" i="2"/>
  <c r="I35" i="2"/>
  <c r="C5" i="5"/>
  <c r="I14" i="2"/>
  <c r="M39" i="2"/>
  <c r="G32" i="2"/>
  <c r="G27" i="2"/>
  <c r="G39" i="2"/>
  <c r="I21" i="2"/>
  <c r="M46" i="2"/>
  <c r="K98" i="2"/>
  <c r="I39" i="2"/>
  <c r="G11" i="2"/>
  <c r="H28" i="2"/>
  <c r="L8" i="2"/>
  <c r="G29" i="2"/>
  <c r="M9" i="2"/>
  <c r="L41" i="2"/>
  <c r="L14" i="2"/>
  <c r="G34" i="2"/>
  <c r="I27" i="2"/>
  <c r="L29" i="2"/>
  <c r="K9" i="2"/>
  <c r="I95" i="2"/>
  <c r="M24" i="2"/>
  <c r="G14" i="2"/>
  <c r="M11" i="2"/>
  <c r="H98" i="2"/>
  <c r="G8" i="2"/>
  <c r="H17" i="2"/>
  <c r="G21" i="2"/>
  <c r="M41" i="2"/>
  <c r="K25" i="2"/>
  <c r="M30" i="2"/>
  <c r="L17" i="2"/>
  <c r="H14" i="2"/>
  <c r="H32" i="2"/>
  <c r="I26" i="2"/>
  <c r="K17" i="2"/>
  <c r="M17" i="2"/>
  <c r="H34" i="2"/>
  <c r="L33" i="2"/>
  <c r="I22" i="2"/>
  <c r="C16" i="5"/>
  <c r="I33" i="2"/>
  <c r="I17" i="2"/>
  <c r="M21" i="2"/>
  <c r="K35" i="2"/>
  <c r="K36" i="2"/>
  <c r="I28" i="2"/>
  <c r="K12" i="2"/>
  <c r="H12" i="2"/>
  <c r="H29" i="2"/>
  <c r="L36" i="2"/>
  <c r="H11" i="2"/>
  <c r="M26" i="2"/>
  <c r="C7" i="5"/>
  <c r="K8" i="2"/>
  <c r="C10" i="5"/>
  <c r="G24" i="2"/>
  <c r="K39" i="2"/>
  <c r="I34" i="2"/>
  <c r="H95" i="2"/>
  <c r="G33" i="2"/>
  <c r="L32" i="2"/>
  <c r="K22" i="2"/>
  <c r="G41" i="2"/>
  <c r="L98" i="2"/>
  <c r="H27" i="2"/>
  <c r="M95" i="2"/>
  <c r="I8" i="2"/>
  <c r="M14" i="2"/>
  <c r="L9" i="2"/>
  <c r="G9" i="2"/>
  <c r="M19" i="2"/>
  <c r="L39" i="2"/>
  <c r="L25" i="2"/>
  <c r="L27" i="2"/>
  <c r="H19" i="2"/>
  <c r="H8" i="2"/>
  <c r="K28" i="2"/>
  <c r="K95" i="2"/>
  <c r="M28" i="2"/>
  <c r="H35" i="2"/>
  <c r="K34" i="2"/>
  <c r="C8" i="5"/>
  <c r="L19" i="2"/>
  <c r="G95" i="2"/>
  <c r="I32" i="2"/>
  <c r="K33" i="2"/>
  <c r="G26" i="2"/>
  <c r="G19" i="2"/>
  <c r="L35" i="2"/>
  <c r="I98" i="2"/>
  <c r="K46" i="2"/>
  <c r="I46" i="2"/>
  <c r="G28" i="2"/>
  <c r="L28" i="2"/>
  <c r="K14" i="2"/>
  <c r="M25" i="2"/>
  <c r="M36" i="2"/>
  <c r="H1983" i="1" l="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0" i="2"/>
  <c r="E10" i="2"/>
  <c r="F103" i="2"/>
  <c r="E103" i="2"/>
  <c r="F102" i="2"/>
  <c r="E102" i="2"/>
  <c r="F101" i="2"/>
  <c r="E101" i="2"/>
  <c r="F100" i="2"/>
  <c r="E100" i="2"/>
  <c r="F99" i="2"/>
  <c r="E99" i="2"/>
  <c r="F45" i="2"/>
  <c r="E45" i="2"/>
  <c r="F16" i="2"/>
  <c r="E16"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96" i="2"/>
  <c r="E96" i="2"/>
  <c r="F56" i="2"/>
  <c r="E56" i="2"/>
  <c r="F20" i="2"/>
  <c r="E20" i="2"/>
  <c r="F94" i="2"/>
  <c r="E94" i="2"/>
  <c r="F82" i="2"/>
  <c r="E82"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1"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83" i="2"/>
  <c r="O86" i="2"/>
  <c r="O87" i="2"/>
  <c r="O88" i="2"/>
  <c r="O93" i="2"/>
  <c r="E93"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83"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1" i="2"/>
  <c r="E91"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0"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13" i="2"/>
  <c r="E79" i="2"/>
  <c r="E78" i="2"/>
  <c r="E77" i="2"/>
  <c r="E76" i="2"/>
  <c r="E75" i="2"/>
  <c r="E74" i="2"/>
  <c r="E73" i="2"/>
  <c r="E72" i="2"/>
  <c r="E71" i="2"/>
  <c r="E70" i="2"/>
  <c r="E69" i="2"/>
  <c r="E68" i="2"/>
  <c r="E67" i="2"/>
  <c r="E6" i="2"/>
  <c r="E65" i="2"/>
  <c r="E64" i="2"/>
  <c r="E63" i="2"/>
  <c r="E18" i="2"/>
  <c r="E62" i="2"/>
  <c r="E61" i="2"/>
  <c r="E60" i="2"/>
  <c r="E92" i="2"/>
  <c r="E59" i="2"/>
  <c r="E58" i="2"/>
  <c r="E57" i="2"/>
  <c r="E97" i="2"/>
  <c r="E55" i="2"/>
  <c r="E54" i="2"/>
  <c r="E53" i="2"/>
  <c r="E52" i="2"/>
  <c r="E5" i="2"/>
  <c r="E50" i="2"/>
  <c r="E43" i="2"/>
  <c r="E44"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42"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3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66"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35" i="2"/>
  <c r="O35" i="2" s="1"/>
  <c r="J11" i="2"/>
  <c r="F11" i="2" s="1"/>
  <c r="J9" i="2"/>
  <c r="F9" i="2" s="1"/>
  <c r="J41" i="2"/>
  <c r="F41" i="2" s="1"/>
  <c r="J14" i="2"/>
  <c r="F14" i="2" s="1"/>
  <c r="J22" i="2"/>
  <c r="F22" i="2" s="1"/>
  <c r="N9" i="2"/>
  <c r="O9" i="2" s="1"/>
  <c r="N11" i="2"/>
  <c r="O11" i="2" s="1"/>
  <c r="N39" i="2"/>
  <c r="O39" i="2" s="1"/>
  <c r="N12" i="2"/>
  <c r="O12" i="2" s="1"/>
  <c r="J32" i="2"/>
  <c r="F32" i="2" s="1"/>
  <c r="N95" i="2"/>
  <c r="O95" i="2" s="1"/>
  <c r="N28" i="2"/>
  <c r="O28" i="2" s="1"/>
  <c r="N17" i="2"/>
  <c r="O17" i="2" s="1"/>
  <c r="N41" i="2"/>
  <c r="O41" i="2" s="1"/>
  <c r="N46" i="2"/>
  <c r="O46" i="2" s="1"/>
  <c r="N29" i="2"/>
  <c r="O29" i="2" s="1"/>
  <c r="J46" i="2"/>
  <c r="F46" i="2" s="1"/>
  <c r="N26" i="2"/>
  <c r="O26" i="2" s="1"/>
  <c r="J26" i="2"/>
  <c r="F26" i="2" s="1"/>
  <c r="J39" i="2"/>
  <c r="F39" i="2" s="1"/>
  <c r="J29" i="2"/>
  <c r="F29" i="2" s="1"/>
  <c r="J17" i="2"/>
  <c r="F17" i="2" s="1"/>
  <c r="N25" i="2"/>
  <c r="O25" i="2" s="1"/>
  <c r="J25" i="2"/>
  <c r="F25" i="2" s="1"/>
  <c r="N33" i="2"/>
  <c r="O33" i="2" s="1"/>
  <c r="J33" i="2"/>
  <c r="F33" i="2" s="1"/>
  <c r="N34" i="2"/>
  <c r="O34" i="2" s="1"/>
  <c r="J34" i="2"/>
  <c r="F34" i="2" s="1"/>
  <c r="N24" i="2"/>
  <c r="O24" i="2" s="1"/>
  <c r="N22" i="2"/>
  <c r="O22" i="2" s="1"/>
  <c r="J27" i="2"/>
  <c r="F27" i="2" s="1"/>
  <c r="N21" i="2"/>
  <c r="O21" i="2" s="1"/>
  <c r="N27" i="2"/>
  <c r="O27" i="2" s="1"/>
  <c r="J24" i="2"/>
  <c r="F24" i="2" s="1"/>
  <c r="N8" i="2"/>
  <c r="O8" i="2" s="1"/>
  <c r="N14" i="2"/>
  <c r="O14" i="2" s="1"/>
  <c r="N36" i="2"/>
  <c r="O36" i="2" s="1"/>
  <c r="N98" i="2"/>
  <c r="O98" i="2" s="1"/>
  <c r="N32" i="2"/>
  <c r="O32" i="2" s="1"/>
  <c r="N30" i="2"/>
  <c r="O30"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12" i="2"/>
  <c r="F12" i="2" s="1"/>
  <c r="J35" i="2"/>
  <c r="F35" i="2" s="1"/>
  <c r="J8" i="2"/>
  <c r="F8" i="2" s="1"/>
  <c r="J21" i="2"/>
  <c r="F21" i="2" s="1"/>
  <c r="J30" i="2"/>
  <c r="F30" i="2" s="1"/>
  <c r="J98" i="2"/>
  <c r="F98" i="2" s="1"/>
  <c r="J95" i="2"/>
  <c r="F95" i="2" s="1"/>
  <c r="C13" i="5"/>
  <c r="D9" i="5"/>
  <c r="G20" i="5"/>
  <c r="G17" i="5"/>
  <c r="G19" i="5"/>
  <c r="G16" i="5"/>
  <c r="G18" i="5"/>
  <c r="G21" i="5" s="1"/>
  <c r="P104" i="2" l="1"/>
  <c r="P10" i="2"/>
  <c r="P103" i="2"/>
  <c r="P102" i="2"/>
  <c r="P101" i="2"/>
  <c r="P100" i="2"/>
  <c r="P99" i="2"/>
  <c r="P45" i="2"/>
  <c r="P16" i="2"/>
  <c r="P96" i="2"/>
  <c r="P56" i="2"/>
  <c r="P20" i="2"/>
  <c r="P94" i="2"/>
  <c r="P82" i="2"/>
  <c r="P80" i="2"/>
  <c r="P51" i="2"/>
  <c r="P85" i="2"/>
  <c r="P84" i="2"/>
  <c r="P93" i="2"/>
  <c r="P83" i="2"/>
  <c r="P89" i="2"/>
  <c r="P88" i="2"/>
  <c r="P87" i="2"/>
  <c r="P86" i="2"/>
  <c r="P47" i="2"/>
  <c r="P49" i="2"/>
  <c r="P91" i="2"/>
  <c r="P81" i="2"/>
  <c r="P90" i="2"/>
  <c r="P31" i="2"/>
  <c r="P79" i="2"/>
  <c r="P13" i="2"/>
  <c r="P77" i="2"/>
  <c r="P78" i="2"/>
  <c r="P75" i="2"/>
  <c r="P76" i="2"/>
  <c r="P73" i="2"/>
  <c r="P74" i="2"/>
  <c r="P72" i="2"/>
  <c r="P69" i="2"/>
  <c r="P71" i="2"/>
  <c r="P70" i="2"/>
  <c r="P67" i="2"/>
  <c r="P68" i="2"/>
  <c r="P65" i="2"/>
  <c r="P6" i="2"/>
  <c r="P63" i="2"/>
  <c r="P64" i="2"/>
  <c r="P62" i="2"/>
  <c r="P18" i="2"/>
  <c r="P60" i="2"/>
  <c r="P61" i="2"/>
  <c r="P59" i="2"/>
  <c r="P92" i="2"/>
  <c r="P57" i="2"/>
  <c r="P58" i="2"/>
  <c r="P55" i="2"/>
  <c r="P97" i="2"/>
  <c r="P53" i="2"/>
  <c r="P54" i="2"/>
  <c r="P5" i="2"/>
  <c r="P52" i="2"/>
  <c r="P43" i="2"/>
  <c r="P50" i="2"/>
  <c r="P48" i="2"/>
  <c r="P44" i="2"/>
  <c r="P42" i="2"/>
  <c r="P40" i="2"/>
  <c r="E11" i="2"/>
  <c r="P37" i="2"/>
  <c r="P38" i="2"/>
  <c r="E34" i="2"/>
  <c r="E26" i="2"/>
  <c r="E32" i="2"/>
  <c r="P23" i="2"/>
  <c r="P7" i="2"/>
  <c r="P66" i="2"/>
  <c r="E9" i="2"/>
  <c r="E14" i="2"/>
  <c r="E27" i="2"/>
  <c r="E41" i="2"/>
  <c r="E46" i="2"/>
  <c r="P15" i="2"/>
  <c r="E29" i="2"/>
  <c r="E39" i="2"/>
  <c r="E19" i="2"/>
  <c r="E28" i="2"/>
  <c r="E22" i="2"/>
  <c r="E17" i="2"/>
  <c r="E33" i="2"/>
  <c r="E24" i="2"/>
  <c r="E25" i="2"/>
  <c r="P25" i="2"/>
  <c r="P34" i="2"/>
  <c r="P17" i="2"/>
  <c r="P33" i="2"/>
  <c r="P24" i="2"/>
  <c r="P32" i="2"/>
  <c r="P26" i="2"/>
  <c r="P39" i="2"/>
  <c r="P22" i="2"/>
  <c r="P9" i="2"/>
  <c r="P29" i="2"/>
  <c r="P11" i="2"/>
  <c r="P28" i="2"/>
  <c r="P19" i="2"/>
  <c r="P46" i="2"/>
  <c r="P41" i="2"/>
  <c r="P14" i="2"/>
  <c r="P27" i="2"/>
  <c r="E98" i="2"/>
  <c r="E12" i="2"/>
  <c r="E36" i="2"/>
  <c r="E30" i="2"/>
  <c r="E8" i="2"/>
  <c r="E21" i="2"/>
  <c r="E95"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35" i="2"/>
  <c r="D10" i="5"/>
  <c r="D7" i="5"/>
  <c r="D6" i="5"/>
  <c r="D5" i="5"/>
  <c r="C14" i="5"/>
  <c r="D104" i="2" l="1"/>
  <c r="C104" i="2" s="1"/>
  <c r="D10" i="2"/>
  <c r="C10" i="2" s="1"/>
  <c r="D103" i="2"/>
  <c r="C103" i="2" s="1"/>
  <c r="D102" i="2"/>
  <c r="C102" i="2" s="1"/>
  <c r="D101" i="2"/>
  <c r="C101" i="2" s="1"/>
  <c r="D100" i="2"/>
  <c r="C100" i="2" s="1"/>
  <c r="D99" i="2"/>
  <c r="C99" i="2" s="1"/>
  <c r="D45" i="2"/>
  <c r="C45" i="2" s="1"/>
  <c r="D16" i="2"/>
  <c r="C16" i="2" s="1"/>
  <c r="D96" i="2"/>
  <c r="C96" i="2" s="1"/>
  <c r="D56" i="2"/>
  <c r="C56" i="2" s="1"/>
  <c r="D20" i="2"/>
  <c r="C20" i="2" s="1"/>
  <c r="D82" i="2"/>
  <c r="C82" i="2" s="1"/>
  <c r="D94" i="2"/>
  <c r="C94" i="2" s="1"/>
  <c r="D80" i="2"/>
  <c r="C80" i="2" s="1"/>
  <c r="D85" i="2"/>
  <c r="C85" i="2" s="1"/>
  <c r="D51" i="2"/>
  <c r="C51" i="2" s="1"/>
  <c r="D93" i="2"/>
  <c r="C93" i="2" s="1"/>
  <c r="D84" i="2"/>
  <c r="C84" i="2" s="1"/>
  <c r="D83" i="2"/>
  <c r="C83" i="2" s="1"/>
  <c r="D89" i="2"/>
  <c r="C89" i="2" s="1"/>
  <c r="D88" i="2"/>
  <c r="C88" i="2" s="1"/>
  <c r="D87" i="2"/>
  <c r="C87" i="2" s="1"/>
  <c r="D86" i="2"/>
  <c r="C86" i="2" s="1"/>
  <c r="D47" i="2"/>
  <c r="C47" i="2" s="1"/>
  <c r="D49" i="2"/>
  <c r="C49" i="2" s="1"/>
  <c r="D81" i="2"/>
  <c r="C81" i="2" s="1"/>
  <c r="D91" i="2"/>
  <c r="C91" i="2" s="1"/>
  <c r="D90" i="2"/>
  <c r="C90" i="2" s="1"/>
  <c r="D13" i="2"/>
  <c r="C13"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18" i="2"/>
  <c r="C18" i="2" s="1"/>
  <c r="D63" i="2"/>
  <c r="C63" i="2" s="1"/>
  <c r="D61" i="2"/>
  <c r="C61" i="2" s="1"/>
  <c r="D62" i="2"/>
  <c r="C62" i="2" s="1"/>
  <c r="D60" i="2"/>
  <c r="C60" i="2" s="1"/>
  <c r="D59" i="2"/>
  <c r="C59" i="2" s="1"/>
  <c r="D92" i="2"/>
  <c r="C92" i="2" s="1"/>
  <c r="D57" i="2"/>
  <c r="C57" i="2" s="1"/>
  <c r="D58" i="2"/>
  <c r="C58" i="2" s="1"/>
  <c r="D55" i="2"/>
  <c r="C55" i="2" s="1"/>
  <c r="D97" i="2"/>
  <c r="C97" i="2" s="1"/>
  <c r="D53" i="2"/>
  <c r="C53" i="2" s="1"/>
  <c r="D54" i="2"/>
  <c r="C54" i="2" s="1"/>
  <c r="D5" i="2"/>
  <c r="C5" i="2" s="1"/>
  <c r="D52" i="2"/>
  <c r="C52" i="2" s="1"/>
  <c r="D43" i="2"/>
  <c r="C43" i="2" s="1"/>
  <c r="D50" i="2"/>
  <c r="C50" i="2" s="1"/>
  <c r="D48" i="2"/>
  <c r="C48" i="2" s="1"/>
  <c r="D44" i="2"/>
  <c r="C44" i="2" s="1"/>
  <c r="D42" i="2"/>
  <c r="C42" i="2" s="1"/>
  <c r="D40" i="2"/>
  <c r="C40" i="2" s="1"/>
  <c r="D38" i="2"/>
  <c r="C38" i="2" s="1"/>
  <c r="D37" i="2"/>
  <c r="C37" i="2" s="1"/>
  <c r="D23" i="2"/>
  <c r="C23" i="2" s="1"/>
  <c r="D7" i="2"/>
  <c r="C7" i="2" s="1"/>
  <c r="D66" i="2"/>
  <c r="C66" i="2" s="1"/>
  <c r="D15" i="2"/>
  <c r="C15" i="2" s="1"/>
  <c r="D25" i="2"/>
  <c r="C25" i="2" s="1"/>
  <c r="D34" i="2"/>
  <c r="C34" i="2" s="1"/>
  <c r="D17" i="2"/>
  <c r="C17" i="2" s="1"/>
  <c r="D33" i="2"/>
  <c r="C33" i="2" s="1"/>
  <c r="D24" i="2"/>
  <c r="C24" i="2" s="1"/>
  <c r="D32" i="2"/>
  <c r="C32" i="2" s="1"/>
  <c r="D26" i="2"/>
  <c r="C26" i="2" s="1"/>
  <c r="D39" i="2"/>
  <c r="C39" i="2" s="1"/>
  <c r="D22" i="2"/>
  <c r="C22" i="2" s="1"/>
  <c r="D9" i="2"/>
  <c r="C9" i="2" s="1"/>
  <c r="D28" i="2"/>
  <c r="C28" i="2" s="1"/>
  <c r="D29" i="2"/>
  <c r="C29" i="2" s="1"/>
  <c r="D11" i="2"/>
  <c r="C11" i="2" s="1"/>
  <c r="D19" i="2"/>
  <c r="C19" i="2" s="1"/>
  <c r="D46" i="2"/>
  <c r="C46" i="2" s="1"/>
  <c r="D41" i="2"/>
  <c r="C41" i="2" s="1"/>
  <c r="D14" i="2"/>
  <c r="C14" i="2" s="1"/>
  <c r="D27" i="2"/>
  <c r="C27" i="2" s="1"/>
  <c r="C15" i="5"/>
  <c r="D36" i="2"/>
  <c r="D35" i="2"/>
  <c r="D30" i="2"/>
  <c r="D21" i="2"/>
  <c r="D95" i="2"/>
  <c r="D12" i="2"/>
  <c r="D8" i="2"/>
  <c r="D98" i="2"/>
  <c r="G7" i="5"/>
  <c r="G5" i="5"/>
  <c r="G8" i="5" s="1"/>
  <c r="G6" i="5"/>
  <c r="G13" i="5"/>
  <c r="P21" i="2" l="1"/>
  <c r="C21" i="2" s="1"/>
  <c r="P95" i="2"/>
  <c r="C95" i="2" s="1"/>
  <c r="P35" i="2"/>
  <c r="C35" i="2" s="1"/>
  <c r="P30" i="2"/>
  <c r="C30" i="2" s="1"/>
  <c r="P36" i="2"/>
  <c r="C36" i="2" s="1"/>
  <c r="P8" i="2"/>
  <c r="C8" i="2" s="1"/>
  <c r="P12" i="2"/>
  <c r="C12" i="2" s="1"/>
  <c r="P98" i="2"/>
  <c r="C98"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<sst xmlns="http://schemas.openxmlformats.org/spreadsheetml/2006/main" count="38349" uniqueCount="683">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</sst>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0">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107950</xdr:colOff>
          <xdr:row>0</xdr:row>
          <xdr:rowOff>317500</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45.338288425926" createdVersion="8" refreshedVersion="8" minRefreshableVersion="3" recordCount="5556" xr:uid="{A68797AC-E72E-49CE-BBC1-16C3348D6A5F}">
  <cacheSource type="worksheet">
    <worksheetSource name="Matchups"/>
  </cacheSource>
  <cacheFields count="22">
    <cacheField name="Player" numFmtId="0">
      <sharedItems count="136">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ristian S" u="1"/>
        <s v="Christian" u="1"/>
        <s v="Arman"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8-04T00:00:00" count="54">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6">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ristian S" u="1"/>
        <s v="Christian" u="1"/>
        <s v="Arman" u="1"/>
        <s v="Jake D" u="1"/>
        <s v="Jon M" u="1"/>
        <s v="Eric Teaman" u="1"/>
        <s v="Andrew" u="1"/>
        <s v="Russ C" u="1"/>
        <s v=" Eric E" u="1"/>
        <s v="Edwin M" u="1"/>
        <s v="Charlie B"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8-04T00:00:00"/>
        <groupItems count="14">
          <s v="&lt;7/21/2025"/>
          <s v="Jan"/>
          <s v="Feb"/>
          <s v="Mar"/>
          <s v="Apr"/>
          <s v="May"/>
          <s v="Jun"/>
          <s v="Jul"/>
          <s v="Aug"/>
          <s v="Sep"/>
          <s v="Oct"/>
          <s v="Nov"/>
          <s v="Dec"/>
          <s v="&gt;8/4/2026"/>
        </groupItems>
      </fieldGroup>
    </cacheField>
    <cacheField name="Quarters (Date)" numFmtId="0" databaseField="0">
      <fieldGroup base="5">
        <rangePr groupBy="quarters" startDate="2025-07-21T00:00:00" endDate="2026-08-04T00:00:00"/>
        <groupItems count="6">
          <s v="&lt;7/21/2025"/>
          <s v="Qtr1"/>
          <s v="Qtr2"/>
          <s v="Qtr3"/>
          <s v="Qtr4"/>
          <s v="&gt;8/4/2026"/>
        </groupItems>
      </fieldGroup>
    </cacheField>
    <cacheField name="Years (Date)" numFmtId="0" databaseField="0">
      <fieldGroup base="5">
        <rangePr groupBy="years" startDate="2025-07-21T00:00:00" endDate="2026-08-04T00:00:00"/>
        <groupItems count="4">
          <s v="&lt;7/21/2025"/>
          <s v="2025"/>
          <s v="2026"/>
          <s v="&gt;8/4/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45.338288657411" createdVersion="8" refreshedVersion="8" minRefreshableVersion="3" recordCount="1983" xr:uid="{DC51D016-C251-461D-A8BC-322113D3679A}">
  <cacheSource type="worksheet">
    <worksheetSource name="GameLog"/>
  </cacheSource>
  <cacheFields count="11">
    <cacheField name="Player" numFmtId="0">
      <sharedItems containsBlank="1" count="150">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ristian S" u="1"/>
        <s v="Christian" u="1"/>
        <s v="Arman" u="1"/>
        <s v="Jake D" u="1"/>
        <s v="Jon M" u="1"/>
        <s v="Eric Teaman" u="1"/>
        <s v="Andrew" u="1"/>
        <s v="Russ C" u="1"/>
        <s v=" Eric E" u="1"/>
        <s v="Edwin M" u="1"/>
        <s v="Charlie B" u="1"/>
        <s v="Bryce C" u="1"/>
        <s v="Mark D"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5" count="6">
        <n v="2"/>
        <n v="3"/>
        <n v="4"/>
        <n v="5"/>
        <n v="1"/>
        <m/>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8-12T00:00:00"/>
    </cacheField>
    <cacheField name="Pod ID" numFmtId="1">
      <sharedItems/>
    </cacheField>
    <cacheField name="Pod Size" numFmtId="0">
      <sharedItems containsSemiMixedTypes="0" containsString="0" containsNumber="1" containsInteger="1" minValue="1" maxValue="10" count="6">
        <n v="4"/>
        <n v="5"/>
        <n v="3"/>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56">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Current"/>
    <x v="46"/>
    <s v="Win"/>
    <b v="0"/>
    <n v="0"/>
    <n v="1"/>
    <n v="0"/>
    <n v="1"/>
  </r>
  <r>
    <x v="4"/>
    <s v="Loss"/>
    <n v="1"/>
    <n v="1"/>
    <n v="1"/>
    <x v="53"/>
    <s v="1|19000101|46237"/>
    <n v="4"/>
    <n v="2026"/>
    <n v="8"/>
    <s v="Current"/>
    <x v="2"/>
    <s v="Loss"/>
    <b v="0"/>
    <n v="0"/>
    <n v="1"/>
    <n v="0"/>
    <n v="0"/>
  </r>
  <r>
    <x v="4"/>
    <s v="Loss"/>
    <n v="1"/>
    <n v="1"/>
    <n v="1"/>
    <x v="53"/>
    <s v="1|19000101|46237"/>
    <n v="4"/>
    <n v="2026"/>
    <n v="8"/>
    <s v="Current"/>
    <x v="93"/>
    <s v="Loss"/>
    <b v="0"/>
    <n v="0"/>
    <n v="1"/>
    <n v="0"/>
    <n v="0"/>
  </r>
  <r>
    <x v="46"/>
    <s v="Win"/>
    <n v="2"/>
    <n v="1"/>
    <n v="1"/>
    <x v="53"/>
    <s v="1|19000101|46237"/>
    <n v="4"/>
    <n v="2026"/>
    <n v="8"/>
    <s v="Current"/>
    <x v="4"/>
    <s v="Loss"/>
    <b v="0"/>
    <n v="1"/>
    <n v="0"/>
    <n v="0"/>
    <n v="0"/>
  </r>
  <r>
    <x v="46"/>
    <s v="Win"/>
    <n v="2"/>
    <n v="1"/>
    <n v="1"/>
    <x v="53"/>
    <s v="1|19000101|46237"/>
    <n v="4"/>
    <n v="2026"/>
    <n v="8"/>
    <s v="Current"/>
    <x v="2"/>
    <s v="Loss"/>
    <b v="0"/>
    <n v="1"/>
    <n v="0"/>
    <n v="0"/>
    <n v="0"/>
  </r>
  <r>
    <x v="46"/>
    <s v="Win"/>
    <n v="2"/>
    <n v="1"/>
    <n v="1"/>
    <x v="53"/>
    <s v="1|19000101|46237"/>
    <n v="4"/>
    <n v="2026"/>
    <n v="8"/>
    <s v="Current"/>
    <x v="93"/>
    <s v="Loss"/>
    <b v="0"/>
    <n v="1"/>
    <n v="0"/>
    <n v="0"/>
    <n v="0"/>
  </r>
  <r>
    <x v="3"/>
    <s v="Loss"/>
    <n v="3"/>
    <n v="1"/>
    <n v="1"/>
    <x v="53"/>
    <s v="1|19000101|46237"/>
    <n v="4"/>
    <n v="2026"/>
    <n v="8"/>
    <s v="Current"/>
    <x v="4"/>
    <s v="Loss"/>
    <b v="0"/>
    <n v="0"/>
    <n v="1"/>
    <n v="0"/>
    <n v="0"/>
  </r>
  <r>
    <x v="3"/>
    <s v="Loss"/>
    <n v="3"/>
    <n v="1"/>
    <n v="1"/>
    <x v="53"/>
    <s v="1|19000101|46237"/>
    <n v="4"/>
    <n v="2026"/>
    <n v="8"/>
    <s v="Current"/>
    <x v="46"/>
    <s v="Win"/>
    <b v="0"/>
    <n v="0"/>
    <n v="1"/>
    <n v="0"/>
    <n v="1"/>
  </r>
  <r>
    <x v="3"/>
    <s v="Loss"/>
    <n v="3"/>
    <n v="1"/>
    <n v="1"/>
    <x v="53"/>
    <s v="1|19000101|46237"/>
    <n v="4"/>
    <n v="2026"/>
    <n v="8"/>
    <s v="Current"/>
    <x v="93"/>
    <s v="Loss"/>
    <b v="0"/>
    <n v="0"/>
    <n v="1"/>
    <n v="0"/>
    <n v="0"/>
  </r>
  <r>
    <x v="93"/>
    <s v="Loss"/>
    <n v="4"/>
    <n v="1"/>
    <n v="1"/>
    <x v="53"/>
    <s v="1|19000101|46237"/>
    <n v="4"/>
    <n v="2026"/>
    <n v="8"/>
    <s v="Current"/>
    <x v="4"/>
    <s v="Loss"/>
    <b v="0"/>
    <n v="0"/>
    <n v="1"/>
    <n v="0"/>
    <n v="0"/>
  </r>
  <r>
    <x v="93"/>
    <s v="Loss"/>
    <n v="4"/>
    <n v="1"/>
    <n v="1"/>
    <x v="53"/>
    <s v="1|19000101|46237"/>
    <n v="4"/>
    <n v="2026"/>
    <n v="8"/>
    <s v="Current"/>
    <x v="46"/>
    <s v="Win"/>
    <b v="0"/>
    <n v="0"/>
    <n v="1"/>
    <n v="0"/>
    <n v="1"/>
  </r>
  <r>
    <x v="93"/>
    <s v="Loss"/>
    <n v="4"/>
    <n v="1"/>
    <n v="1"/>
    <x v="53"/>
    <s v="1|19000101|46237"/>
    <n v="4"/>
    <n v="2026"/>
    <n v="8"/>
    <s v="Current"/>
    <x v="2"/>
    <s v="Loss"/>
    <b v="0"/>
    <n v="0"/>
    <n v="1"/>
    <n v="0"/>
    <n v="0"/>
  </r>
  <r>
    <x v="18"/>
    <s v="Draw"/>
    <n v="1"/>
    <n v="2"/>
    <n v="1"/>
    <x v="53"/>
    <s v="2|19000101|46237"/>
    <n v="4"/>
    <n v="2026"/>
    <n v="8"/>
    <s v="Current"/>
    <x v="7"/>
    <s v="Draw"/>
    <b v="0"/>
    <n v="0"/>
    <n v="0"/>
    <n v="1"/>
    <n v="0"/>
  </r>
  <r>
    <x v="18"/>
    <s v="Draw"/>
    <n v="1"/>
    <n v="2"/>
    <n v="1"/>
    <x v="53"/>
    <s v="2|19000101|46237"/>
    <n v="4"/>
    <n v="2026"/>
    <n v="8"/>
    <s v="Current"/>
    <x v="1"/>
    <s v="Draw"/>
    <b v="0"/>
    <n v="0"/>
    <n v="0"/>
    <n v="1"/>
    <n v="0"/>
  </r>
  <r>
    <x v="18"/>
    <s v="Draw"/>
    <n v="1"/>
    <n v="2"/>
    <n v="1"/>
    <x v="53"/>
    <s v="2|19000101|46237"/>
    <n v="4"/>
    <n v="2026"/>
    <n v="8"/>
    <s v="Current"/>
    <x v="34"/>
    <s v="Draw"/>
    <b v="0"/>
    <n v="0"/>
    <n v="0"/>
    <n v="1"/>
    <n v="0"/>
  </r>
  <r>
    <x v="7"/>
    <s v="Draw"/>
    <n v="2"/>
    <n v="2"/>
    <n v="1"/>
    <x v="53"/>
    <s v="2|19000101|46237"/>
    <n v="4"/>
    <n v="2026"/>
    <n v="8"/>
    <s v="Current"/>
    <x v="18"/>
    <s v="Draw"/>
    <b v="0"/>
    <n v="0"/>
    <n v="0"/>
    <n v="1"/>
    <n v="0"/>
  </r>
  <r>
    <x v="7"/>
    <s v="Draw"/>
    <n v="2"/>
    <n v="2"/>
    <n v="1"/>
    <x v="53"/>
    <s v="2|19000101|46237"/>
    <n v="4"/>
    <n v="2026"/>
    <n v="8"/>
    <s v="Current"/>
    <x v="1"/>
    <s v="Draw"/>
    <b v="0"/>
    <n v="0"/>
    <n v="0"/>
    <n v="1"/>
    <n v="0"/>
  </r>
  <r>
    <x v="7"/>
    <s v="Draw"/>
    <n v="2"/>
    <n v="2"/>
    <n v="1"/>
    <x v="53"/>
    <s v="2|19000101|46237"/>
    <n v="4"/>
    <n v="2026"/>
    <n v="8"/>
    <s v="Current"/>
    <x v="34"/>
    <s v="Draw"/>
    <b v="0"/>
    <n v="0"/>
    <n v="0"/>
    <n v="1"/>
    <n v="0"/>
  </r>
  <r>
    <x v="2"/>
    <s v="Draw"/>
    <n v="3"/>
    <n v="2"/>
    <n v="1"/>
    <x v="53"/>
    <s v="2|19000101|46237"/>
    <n v="4"/>
    <n v="2026"/>
    <n v="8"/>
    <s v="Current"/>
    <x v="18"/>
    <s v="Draw"/>
    <b v="0"/>
    <n v="0"/>
    <n v="0"/>
    <n v="1"/>
    <n v="0"/>
  </r>
  <r>
    <x v="2"/>
    <s v="Draw"/>
    <n v="3"/>
    <n v="2"/>
    <n v="1"/>
    <x v="53"/>
    <s v="2|19000101|46237"/>
    <n v="4"/>
    <n v="2026"/>
    <n v="8"/>
    <s v="Current"/>
    <x v="7"/>
    <s v="Draw"/>
    <b v="0"/>
    <n v="0"/>
    <n v="0"/>
    <n v="1"/>
    <n v="0"/>
  </r>
  <r>
    <x v="2"/>
    <s v="Draw"/>
    <n v="3"/>
    <n v="2"/>
    <n v="1"/>
    <x v="53"/>
    <s v="2|19000101|46237"/>
    <n v="4"/>
    <n v="2026"/>
    <n v="8"/>
    <s v="Current"/>
    <x v="34"/>
    <s v="Draw"/>
    <b v="0"/>
    <n v="0"/>
    <n v="0"/>
    <n v="1"/>
    <n v="0"/>
  </r>
  <r>
    <x v="34"/>
    <s v="Draw"/>
    <n v="4"/>
    <n v="2"/>
    <n v="1"/>
    <x v="53"/>
    <s v="2|19000101|46237"/>
    <n v="4"/>
    <n v="2026"/>
    <n v="8"/>
    <s v="Current"/>
    <x v="18"/>
    <s v="Draw"/>
    <b v="0"/>
    <n v="0"/>
    <n v="0"/>
    <n v="1"/>
    <n v="0"/>
  </r>
  <r>
    <x v="34"/>
    <s v="Draw"/>
    <n v="4"/>
    <n v="2"/>
    <n v="1"/>
    <x v="53"/>
    <s v="2|19000101|46237"/>
    <n v="4"/>
    <n v="2026"/>
    <n v="8"/>
    <s v="Current"/>
    <x v="7"/>
    <s v="Draw"/>
    <b v="0"/>
    <n v="0"/>
    <n v="0"/>
    <n v="1"/>
    <n v="0"/>
  </r>
  <r>
    <x v="34"/>
    <s v="Draw"/>
    <n v="4"/>
    <n v="2"/>
    <n v="1"/>
    <x v="53"/>
    <s v="2|19000101|46237"/>
    <n v="4"/>
    <n v="2026"/>
    <n v="8"/>
    <s v="Current"/>
    <x v="1"/>
    <s v="Draw"/>
    <b v="0"/>
    <n v="0"/>
    <n v="0"/>
    <n v="1"/>
    <n v="0"/>
  </r>
  <r>
    <x v="79"/>
    <s v="Loss"/>
    <n v="1"/>
    <n v="3"/>
    <n v="1"/>
    <x v="53"/>
    <s v="3|19000101|46237"/>
    <n v="3"/>
    <n v="2026"/>
    <n v="8"/>
    <s v="Current"/>
    <x v="5"/>
    <s v="Win"/>
    <b v="0"/>
    <n v="0"/>
    <n v="1"/>
    <n v="0"/>
    <n v="1"/>
  </r>
  <r>
    <x v="79"/>
    <s v="Loss"/>
    <n v="1"/>
    <n v="3"/>
    <n v="1"/>
    <x v="53"/>
    <s v="3|19000101|46237"/>
    <n v="3"/>
    <n v="2026"/>
    <n v="8"/>
    <s v="Current"/>
    <x v="17"/>
    <s v="Loss"/>
    <b v="0"/>
    <n v="0"/>
    <n v="1"/>
    <n v="0"/>
    <n v="0"/>
  </r>
  <r>
    <x v="5"/>
    <s v="Win"/>
    <n v="2"/>
    <n v="3"/>
    <n v="1"/>
    <x v="53"/>
    <s v="3|19000101|46237"/>
    <n v="3"/>
    <n v="2026"/>
    <n v="8"/>
    <s v="Current"/>
    <x v="79"/>
    <s v="Loss"/>
    <b v="0"/>
    <n v="1"/>
    <n v="0"/>
    <n v="0"/>
    <n v="0"/>
  </r>
  <r>
    <x v="5"/>
    <s v="Win"/>
    <n v="2"/>
    <n v="3"/>
    <n v="1"/>
    <x v="53"/>
    <s v="3|19000101|46237"/>
    <n v="3"/>
    <n v="2026"/>
    <n v="8"/>
    <s v="Current"/>
    <x v="17"/>
    <s v="Loss"/>
    <b v="0"/>
    <n v="1"/>
    <n v="0"/>
    <n v="0"/>
    <n v="0"/>
  </r>
  <r>
    <x v="17"/>
    <s v="Loss"/>
    <n v="3"/>
    <n v="3"/>
    <n v="1"/>
    <x v="53"/>
    <s v="3|19000101|46237"/>
    <n v="3"/>
    <n v="2026"/>
    <n v="8"/>
    <s v="Current"/>
    <x v="79"/>
    <s v="Loss"/>
    <b v="0"/>
    <n v="0"/>
    <n v="1"/>
    <n v="0"/>
    <n v="0"/>
  </r>
  <r>
    <x v="17"/>
    <s v="Loss"/>
    <n v="3"/>
    <n v="3"/>
    <n v="1"/>
    <x v="53"/>
    <s v="3|19000101|46237"/>
    <n v="3"/>
    <n v="2026"/>
    <n v="8"/>
    <s v="Current"/>
    <x v="5"/>
    <s v="Win"/>
    <b v="0"/>
    <n v="0"/>
    <n v="1"/>
    <n v="0"/>
    <n v="1"/>
  </r>
  <r>
    <x v="1"/>
    <s v="Win"/>
    <n v="1"/>
    <n v="4"/>
    <n v="1"/>
    <x v="53"/>
    <s v="4|19000101|46237"/>
    <n v="3"/>
    <n v="2026"/>
    <n v="8"/>
    <s v="Current"/>
    <x v="44"/>
    <s v="Loss"/>
    <b v="0"/>
    <n v="1"/>
    <n v="0"/>
    <n v="0"/>
    <n v="0"/>
  </r>
  <r>
    <x v="1"/>
    <s v="Win"/>
    <n v="1"/>
    <n v="4"/>
    <n v="1"/>
    <x v="53"/>
    <s v="4|19000101|46237"/>
    <n v="3"/>
    <n v="2026"/>
    <n v="8"/>
    <s v="Current"/>
    <x v="32"/>
    <s v="Loss"/>
    <b v="0"/>
    <n v="1"/>
    <n v="0"/>
    <n v="0"/>
    <n v="0"/>
  </r>
  <r>
    <x v="44"/>
    <s v="Loss"/>
    <n v="2"/>
    <n v="4"/>
    <n v="1"/>
    <x v="53"/>
    <s v="4|19000101|46237"/>
    <n v="3"/>
    <n v="2026"/>
    <n v="8"/>
    <s v="Current"/>
    <x v="0"/>
    <s v="Win"/>
    <b v="0"/>
    <n v="0"/>
    <n v="1"/>
    <n v="0"/>
    <n v="1"/>
  </r>
  <r>
    <x v="44"/>
    <s v="Loss"/>
    <n v="2"/>
    <n v="4"/>
    <n v="1"/>
    <x v="53"/>
    <s v="4|19000101|46237"/>
    <n v="3"/>
    <n v="2026"/>
    <n v="8"/>
    <s v="Current"/>
    <x v="32"/>
    <s v="Loss"/>
    <b v="0"/>
    <n v="0"/>
    <n v="1"/>
    <n v="0"/>
    <n v="0"/>
  </r>
  <r>
    <x v="32"/>
    <s v="Loss"/>
    <n v="3"/>
    <n v="4"/>
    <n v="1"/>
    <x v="53"/>
    <s v="4|19000101|46237"/>
    <n v="3"/>
    <n v="2026"/>
    <n v="8"/>
    <s v="Current"/>
    <x v="0"/>
    <s v="Win"/>
    <b v="0"/>
    <n v="0"/>
    <n v="1"/>
    <n v="0"/>
    <n v="1"/>
  </r>
  <r>
    <x v="32"/>
    <s v="Loss"/>
    <n v="3"/>
    <n v="4"/>
    <n v="1"/>
    <x v="53"/>
    <s v="4|19000101|46237"/>
    <n v="3"/>
    <n v="2026"/>
    <n v="8"/>
    <s v="Current"/>
    <x v="44"/>
    <s v="Loss"/>
    <b v="0"/>
    <n v="0"/>
    <n v="1"/>
    <n v="0"/>
    <n v="0"/>
  </r>
  <r>
    <x v="2"/>
    <s v="Win"/>
    <n v="1"/>
    <n v="1"/>
    <n v="2"/>
    <x v="53"/>
    <s v="1|19000102|46237"/>
    <n v="4"/>
    <n v="2026"/>
    <n v="8"/>
    <s v="Current"/>
    <x v="5"/>
    <s v="Loss"/>
    <b v="0"/>
    <n v="1"/>
    <n v="0"/>
    <n v="0"/>
    <n v="0"/>
  </r>
  <r>
    <x v="2"/>
    <s v="Win"/>
    <n v="1"/>
    <n v="1"/>
    <n v="2"/>
    <x v="53"/>
    <s v="1|19000102|46237"/>
    <n v="4"/>
    <n v="2026"/>
    <n v="8"/>
    <s v="Current"/>
    <x v="0"/>
    <s v="Loss"/>
    <b v="0"/>
    <n v="1"/>
    <n v="0"/>
    <n v="0"/>
    <n v="0"/>
  </r>
  <r>
    <x v="2"/>
    <s v="Win"/>
    <n v="1"/>
    <n v="1"/>
    <n v="2"/>
    <x v="53"/>
    <s v="1|19000102|46237"/>
    <n v="4"/>
    <n v="2026"/>
    <n v="8"/>
    <s v="Current"/>
    <x v="46"/>
    <s v="Loss"/>
    <b v="0"/>
    <n v="1"/>
    <n v="0"/>
    <n v="0"/>
    <n v="0"/>
  </r>
  <r>
    <x v="5"/>
    <s v="Loss"/>
    <n v="2"/>
    <n v="1"/>
    <n v="2"/>
    <x v="53"/>
    <s v="1|19000102|46237"/>
    <n v="4"/>
    <n v="2026"/>
    <n v="8"/>
    <s v="Current"/>
    <x v="1"/>
    <s v="Win"/>
    <b v="0"/>
    <n v="0"/>
    <n v="1"/>
    <n v="0"/>
    <n v="1"/>
  </r>
  <r>
    <x v="5"/>
    <s v="Loss"/>
    <n v="2"/>
    <n v="1"/>
    <n v="2"/>
    <x v="53"/>
    <s v="1|19000102|46237"/>
    <n v="4"/>
    <n v="2026"/>
    <n v="8"/>
    <s v="Current"/>
    <x v="0"/>
    <s v="Loss"/>
    <b v="0"/>
    <n v="0"/>
    <n v="1"/>
    <n v="0"/>
    <n v="0"/>
  </r>
  <r>
    <x v="5"/>
    <s v="Loss"/>
    <n v="2"/>
    <n v="1"/>
    <n v="2"/>
    <x v="53"/>
    <s v="1|19000102|46237"/>
    <n v="4"/>
    <n v="2026"/>
    <n v="8"/>
    <s v="Current"/>
    <x v="46"/>
    <s v="Loss"/>
    <b v="0"/>
    <n v="0"/>
    <n v="1"/>
    <n v="0"/>
    <n v="0"/>
  </r>
  <r>
    <x v="1"/>
    <s v="Loss"/>
    <n v="3"/>
    <n v="1"/>
    <n v="2"/>
    <x v="53"/>
    <s v="1|19000102|46237"/>
    <n v="4"/>
    <n v="2026"/>
    <n v="8"/>
    <s v="Current"/>
    <x v="1"/>
    <s v="Win"/>
    <b v="0"/>
    <n v="0"/>
    <n v="1"/>
    <n v="0"/>
    <n v="1"/>
  </r>
  <r>
    <x v="1"/>
    <s v="Loss"/>
    <n v="3"/>
    <n v="1"/>
    <n v="2"/>
    <x v="53"/>
    <s v="1|19000102|46237"/>
    <n v="4"/>
    <n v="2026"/>
    <n v="8"/>
    <s v="Current"/>
    <x v="5"/>
    <s v="Loss"/>
    <b v="0"/>
    <n v="0"/>
    <n v="1"/>
    <n v="0"/>
    <n v="0"/>
  </r>
  <r>
    <x v="1"/>
    <s v="Loss"/>
    <n v="3"/>
    <n v="1"/>
    <n v="2"/>
    <x v="53"/>
    <s v="1|19000102|46237"/>
    <n v="4"/>
    <n v="2026"/>
    <n v="8"/>
    <s v="Current"/>
    <x v="46"/>
    <s v="Loss"/>
    <b v="0"/>
    <n v="0"/>
    <n v="1"/>
    <n v="0"/>
    <n v="0"/>
  </r>
  <r>
    <x v="46"/>
    <s v="Loss"/>
    <n v="4"/>
    <n v="1"/>
    <n v="2"/>
    <x v="53"/>
    <s v="1|19000102|46237"/>
    <n v="4"/>
    <n v="2026"/>
    <n v="8"/>
    <s v="Current"/>
    <x v="1"/>
    <s v="Win"/>
    <b v="0"/>
    <n v="0"/>
    <n v="1"/>
    <n v="0"/>
    <n v="1"/>
  </r>
  <r>
    <x v="46"/>
    <s v="Loss"/>
    <n v="4"/>
    <n v="1"/>
    <n v="2"/>
    <x v="53"/>
    <s v="1|19000102|46237"/>
    <n v="4"/>
    <n v="2026"/>
    <n v="8"/>
    <s v="Current"/>
    <x v="5"/>
    <s v="Loss"/>
    <b v="0"/>
    <n v="0"/>
    <n v="1"/>
    <n v="0"/>
    <n v="0"/>
  </r>
  <r>
    <x v="46"/>
    <s v="Loss"/>
    <n v="4"/>
    <n v="1"/>
    <n v="2"/>
    <x v="53"/>
    <s v="1|19000102|46237"/>
    <n v="4"/>
    <n v="2026"/>
    <n v="8"/>
    <s v="Current"/>
    <x v="0"/>
    <s v="Loss"/>
    <b v="0"/>
    <n v="0"/>
    <n v="1"/>
    <n v="0"/>
    <n v="0"/>
  </r>
  <r>
    <x v="32"/>
    <s v="Loss"/>
    <n v="1"/>
    <n v="2"/>
    <n v="2"/>
    <x v="53"/>
    <s v="2|19000102|46237"/>
    <n v="4"/>
    <n v="2026"/>
    <n v="8"/>
    <s v="Current"/>
    <x v="2"/>
    <s v="Win"/>
    <b v="0"/>
    <n v="0"/>
    <n v="1"/>
    <n v="0"/>
    <n v="1"/>
  </r>
  <r>
    <x v="32"/>
    <s v="Loss"/>
    <n v="1"/>
    <n v="2"/>
    <n v="2"/>
    <x v="53"/>
    <s v="2|19000102|46237"/>
    <n v="4"/>
    <n v="2026"/>
    <n v="8"/>
    <s v="Current"/>
    <x v="79"/>
    <s v="Loss"/>
    <b v="0"/>
    <n v="0"/>
    <n v="1"/>
    <n v="0"/>
    <n v="0"/>
  </r>
  <r>
    <x v="32"/>
    <s v="Loss"/>
    <n v="1"/>
    <n v="2"/>
    <n v="2"/>
    <x v="53"/>
    <s v="2|19000102|46237"/>
    <n v="4"/>
    <n v="2026"/>
    <n v="8"/>
    <s v="Current"/>
    <x v="18"/>
    <s v="Loss"/>
    <b v="0"/>
    <n v="0"/>
    <n v="1"/>
    <n v="0"/>
    <n v="0"/>
  </r>
  <r>
    <x v="3"/>
    <s v="Win"/>
    <n v="2"/>
    <n v="2"/>
    <n v="2"/>
    <x v="53"/>
    <s v="2|19000102|46237"/>
    <n v="4"/>
    <n v="2026"/>
    <n v="8"/>
    <s v="Current"/>
    <x v="32"/>
    <s v="Loss"/>
    <b v="0"/>
    <n v="1"/>
    <n v="0"/>
    <n v="0"/>
    <n v="0"/>
  </r>
  <r>
    <x v="3"/>
    <s v="Win"/>
    <n v="2"/>
    <n v="2"/>
    <n v="2"/>
    <x v="53"/>
    <s v="2|19000102|46237"/>
    <n v="4"/>
    <n v="2026"/>
    <n v="8"/>
    <s v="Current"/>
    <x v="79"/>
    <s v="Loss"/>
    <b v="0"/>
    <n v="1"/>
    <n v="0"/>
    <n v="0"/>
    <n v="0"/>
  </r>
  <r>
    <x v="3"/>
    <s v="Win"/>
    <n v="2"/>
    <n v="2"/>
    <n v="2"/>
    <x v="53"/>
    <s v="2|19000102|46237"/>
    <n v="4"/>
    <n v="2026"/>
    <n v="8"/>
    <s v="Current"/>
    <x v="18"/>
    <s v="Loss"/>
    <b v="0"/>
    <n v="1"/>
    <n v="0"/>
    <n v="0"/>
    <n v="0"/>
  </r>
  <r>
    <x v="79"/>
    <s v="Loss"/>
    <n v="3"/>
    <n v="2"/>
    <n v="2"/>
    <x v="53"/>
    <s v="2|19000102|46237"/>
    <n v="4"/>
    <n v="2026"/>
    <n v="8"/>
    <s v="Current"/>
    <x v="32"/>
    <s v="Loss"/>
    <b v="0"/>
    <n v="0"/>
    <n v="1"/>
    <n v="0"/>
    <n v="0"/>
  </r>
  <r>
    <x v="79"/>
    <s v="Loss"/>
    <n v="3"/>
    <n v="2"/>
    <n v="2"/>
    <x v="53"/>
    <s v="2|19000102|46237"/>
    <n v="4"/>
    <n v="2026"/>
    <n v="8"/>
    <s v="Current"/>
    <x v="2"/>
    <s v="Win"/>
    <b v="0"/>
    <n v="0"/>
    <n v="1"/>
    <n v="0"/>
    <n v="1"/>
  </r>
  <r>
    <x v="79"/>
    <s v="Loss"/>
    <n v="3"/>
    <n v="2"/>
    <n v="2"/>
    <x v="53"/>
    <s v="2|19000102|46237"/>
    <n v="4"/>
    <n v="2026"/>
    <n v="8"/>
    <s v="Current"/>
    <x v="18"/>
    <s v="Loss"/>
    <b v="0"/>
    <n v="0"/>
    <n v="1"/>
    <n v="0"/>
    <n v="0"/>
  </r>
  <r>
    <x v="18"/>
    <s v="Loss"/>
    <n v="4"/>
    <n v="2"/>
    <n v="2"/>
    <x v="53"/>
    <s v="2|19000102|46237"/>
    <n v="4"/>
    <n v="2026"/>
    <n v="8"/>
    <s v="Current"/>
    <x v="32"/>
    <s v="Loss"/>
    <b v="0"/>
    <n v="0"/>
    <n v="1"/>
    <n v="0"/>
    <n v="0"/>
  </r>
  <r>
    <x v="18"/>
    <s v="Loss"/>
    <n v="4"/>
    <n v="2"/>
    <n v="2"/>
    <x v="53"/>
    <s v="2|19000102|46237"/>
    <n v="4"/>
    <n v="2026"/>
    <n v="8"/>
    <s v="Current"/>
    <x v="2"/>
    <s v="Win"/>
    <b v="0"/>
    <n v="0"/>
    <n v="1"/>
    <n v="0"/>
    <n v="1"/>
  </r>
  <r>
    <x v="18"/>
    <s v="Loss"/>
    <n v="4"/>
    <n v="2"/>
    <n v="2"/>
    <x v="53"/>
    <s v="2|19000102|46237"/>
    <n v="4"/>
    <n v="2026"/>
    <n v="8"/>
    <s v="Current"/>
    <x v="79"/>
    <s v="Loss"/>
    <b v="0"/>
    <n v="0"/>
    <n v="1"/>
    <n v="0"/>
    <n v="0"/>
  </r>
  <r>
    <x v="17"/>
    <s v="Win"/>
    <n v="1"/>
    <n v="3"/>
    <n v="2"/>
    <x v="53"/>
    <s v="3|19000102|46237"/>
    <n v="3"/>
    <n v="2026"/>
    <n v="8"/>
    <s v="Current"/>
    <x v="4"/>
    <s v="Loss"/>
    <b v="0"/>
    <n v="1"/>
    <n v="0"/>
    <n v="0"/>
    <n v="0"/>
  </r>
  <r>
    <x v="17"/>
    <s v="Win"/>
    <n v="1"/>
    <n v="3"/>
    <n v="2"/>
    <x v="53"/>
    <s v="3|19000102|46237"/>
    <n v="3"/>
    <n v="2026"/>
    <n v="8"/>
    <s v="Current"/>
    <x v="7"/>
    <s v="Loss"/>
    <b v="0"/>
    <n v="1"/>
    <n v="0"/>
    <n v="0"/>
    <n v="0"/>
  </r>
  <r>
    <x v="4"/>
    <s v="Loss"/>
    <n v="2"/>
    <n v="3"/>
    <n v="2"/>
    <x v="53"/>
    <s v="3|19000102|46237"/>
    <n v="3"/>
    <n v="2026"/>
    <n v="8"/>
    <s v="Current"/>
    <x v="17"/>
    <s v="Win"/>
    <b v="0"/>
    <n v="0"/>
    <n v="1"/>
    <n v="0"/>
    <n v="1"/>
  </r>
  <r>
    <x v="4"/>
    <s v="Loss"/>
    <n v="2"/>
    <n v="3"/>
    <n v="2"/>
    <x v="53"/>
    <s v="3|19000102|46237"/>
    <n v="3"/>
    <n v="2026"/>
    <n v="8"/>
    <s v="Current"/>
    <x v="7"/>
    <s v="Loss"/>
    <b v="0"/>
    <n v="0"/>
    <n v="1"/>
    <n v="0"/>
    <n v="0"/>
  </r>
  <r>
    <x v="7"/>
    <s v="Loss"/>
    <n v="3"/>
    <n v="3"/>
    <n v="2"/>
    <x v="53"/>
    <s v="3|19000102|46237"/>
    <n v="3"/>
    <n v="2026"/>
    <n v="8"/>
    <s v="Current"/>
    <x v="17"/>
    <s v="Win"/>
    <b v="0"/>
    <n v="0"/>
    <n v="1"/>
    <n v="0"/>
    <n v="1"/>
  </r>
  <r>
    <x v="7"/>
    <s v="Loss"/>
    <n v="3"/>
    <n v="3"/>
    <n v="2"/>
    <x v="53"/>
    <s v="3|19000102|46237"/>
    <n v="3"/>
    <n v="2026"/>
    <n v="8"/>
    <s v="Current"/>
    <x v="4"/>
    <s v="Loss"/>
    <b v="0"/>
    <n v="0"/>
    <n v="1"/>
    <n v="0"/>
    <n v="0"/>
  </r>
  <r>
    <x v="93"/>
    <s v="Win"/>
    <n v="1"/>
    <n v="4"/>
    <n v="2"/>
    <x v="53"/>
    <s v="4|19000102|46237"/>
    <n v="3"/>
    <n v="2026"/>
    <n v="8"/>
    <s v="Current"/>
    <x v="34"/>
    <s v="Loss"/>
    <b v="0"/>
    <n v="1"/>
    <n v="0"/>
    <n v="0"/>
    <n v="0"/>
  </r>
  <r>
    <x v="93"/>
    <s v="Win"/>
    <n v="1"/>
    <n v="4"/>
    <n v="2"/>
    <x v="53"/>
    <s v="4|19000102|46237"/>
    <n v="3"/>
    <n v="2026"/>
    <n v="8"/>
    <s v="Current"/>
    <x v="44"/>
    <s v="Loss"/>
    <b v="0"/>
    <n v="1"/>
    <n v="0"/>
    <n v="0"/>
    <n v="0"/>
  </r>
  <r>
    <x v="34"/>
    <s v="Loss"/>
    <n v="2"/>
    <n v="4"/>
    <n v="2"/>
    <x v="53"/>
    <s v="4|19000102|46237"/>
    <n v="3"/>
    <n v="2026"/>
    <n v="8"/>
    <s v="Current"/>
    <x v="93"/>
    <s v="Win"/>
    <b v="0"/>
    <n v="0"/>
    <n v="1"/>
    <n v="0"/>
    <n v="1"/>
  </r>
  <r>
    <x v="34"/>
    <s v="Loss"/>
    <n v="2"/>
    <n v="4"/>
    <n v="2"/>
    <x v="53"/>
    <s v="4|19000102|46237"/>
    <n v="3"/>
    <n v="2026"/>
    <n v="8"/>
    <s v="Current"/>
    <x v="44"/>
    <s v="Loss"/>
    <b v="0"/>
    <n v="0"/>
    <n v="1"/>
    <n v="0"/>
    <n v="0"/>
  </r>
  <r>
    <x v="44"/>
    <s v="Loss"/>
    <n v="3"/>
    <n v="4"/>
    <n v="2"/>
    <x v="53"/>
    <s v="4|19000102|46237"/>
    <n v="3"/>
    <n v="2026"/>
    <n v="8"/>
    <s v="Current"/>
    <x v="93"/>
    <s v="Win"/>
    <b v="0"/>
    <n v="0"/>
    <n v="1"/>
    <n v="0"/>
    <n v="1"/>
  </r>
  <r>
    <x v="44"/>
    <s v="Loss"/>
    <n v="3"/>
    <n v="4"/>
    <n v="2"/>
    <x v="53"/>
    <s v="4|19000102|46237"/>
    <n v="3"/>
    <n v="2026"/>
    <n v="8"/>
    <s v="Current"/>
    <x v="34"/>
    <s v="Loss"/>
    <b v="0"/>
    <n v="0"/>
    <n v="1"/>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83">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1"/>
  </r>
  <r>
    <x v="13"/>
    <x v="2"/>
    <x v="0"/>
    <n v="1"/>
    <n v="1"/>
    <d v="2026-08-11T00:00:00"/>
    <s v="1|19000101|46245"/>
    <x v="0"/>
    <x v="1"/>
    <x v="4"/>
    <x v="1"/>
  </r>
  <r>
    <x v="57"/>
    <x v="2"/>
    <x v="1"/>
    <n v="1"/>
    <n v="1"/>
    <d v="2026-08-11T00:00:00"/>
    <s v="1|19000101|46245"/>
    <x v="0"/>
    <x v="1"/>
    <x v="4"/>
    <x v="1"/>
  </r>
  <r>
    <x v="4"/>
    <x v="2"/>
    <x v="2"/>
    <n v="1"/>
    <n v="1"/>
    <d v="2026-08-11T00:00:00"/>
    <s v="1|19000101|46245"/>
    <x v="0"/>
    <x v="1"/>
    <x v="4"/>
    <x v="1"/>
  </r>
  <r>
    <x v="25"/>
    <x v="2"/>
    <x v="4"/>
    <n v="2"/>
    <n v="1"/>
    <d v="2026-08-11T00:00:00"/>
    <s v="2|19000101|46245"/>
    <x v="0"/>
    <x v="1"/>
    <x v="4"/>
    <x v="1"/>
  </r>
  <r>
    <x v="84"/>
    <x v="2"/>
    <x v="0"/>
    <n v="2"/>
    <n v="1"/>
    <d v="2026-08-11T00:00:00"/>
    <s v="2|19000101|46245"/>
    <x v="0"/>
    <x v="1"/>
    <x v="4"/>
    <x v="1"/>
  </r>
  <r>
    <x v="50"/>
    <x v="2"/>
    <x v="1"/>
    <n v="2"/>
    <n v="1"/>
    <d v="2026-08-11T00:00:00"/>
    <s v="2|19000101|46245"/>
    <x v="0"/>
    <x v="1"/>
    <x v="4"/>
    <x v="1"/>
  </r>
  <r>
    <x v="1"/>
    <x v="2"/>
    <x v="2"/>
    <n v="2"/>
    <n v="1"/>
    <d v="2026-08-11T00:00:00"/>
    <s v="2|19000101|46245"/>
    <x v="0"/>
    <x v="1"/>
    <x v="4"/>
    <x v="1"/>
  </r>
  <r>
    <x v="9"/>
    <x v="1"/>
    <x v="4"/>
    <n v="3"/>
    <n v="1"/>
    <d v="2026-08-11T00:00:00"/>
    <s v="3|19000101|46245"/>
    <x v="0"/>
    <x v="1"/>
    <x v="4"/>
    <x v="1"/>
  </r>
  <r>
    <x v="42"/>
    <x v="0"/>
    <x v="0"/>
    <n v="3"/>
    <n v="1"/>
    <d v="2026-08-11T00:00:00"/>
    <s v="3|19000101|46245"/>
    <x v="0"/>
    <x v="1"/>
    <x v="4"/>
    <x v="1"/>
  </r>
  <r>
    <x v="58"/>
    <x v="1"/>
    <x v="1"/>
    <n v="3"/>
    <n v="1"/>
    <d v="2026-08-11T00:00:00"/>
    <s v="3|19000101|46245"/>
    <x v="0"/>
    <x v="1"/>
    <x v="4"/>
    <x v="1"/>
  </r>
  <r>
    <x v="27"/>
    <x v="1"/>
    <x v="2"/>
    <n v="3"/>
    <n v="1"/>
    <d v="2026-08-11T00:00:00"/>
    <s v="3|19000101|46245"/>
    <x v="0"/>
    <x v="1"/>
    <x v="4"/>
    <x v="1"/>
  </r>
  <r>
    <x v="83"/>
    <x v="2"/>
    <x v="4"/>
    <n v="4"/>
    <n v="1"/>
    <d v="2026-08-11T00:00:00"/>
    <s v="4|19000101|46245"/>
    <x v="0"/>
    <x v="1"/>
    <x v="4"/>
    <x v="1"/>
  </r>
  <r>
    <x v="76"/>
    <x v="2"/>
    <x v="0"/>
    <n v="4"/>
    <n v="1"/>
    <d v="2026-08-11T00:00:00"/>
    <s v="4|19000101|46245"/>
    <x v="0"/>
    <x v="1"/>
    <x v="4"/>
    <x v="1"/>
  </r>
  <r>
    <x v="15"/>
    <x v="2"/>
    <x v="1"/>
    <n v="4"/>
    <n v="1"/>
    <d v="2026-08-11T00:00:00"/>
    <s v="4|19000101|46245"/>
    <x v="0"/>
    <x v="1"/>
    <x v="4"/>
    <x v="1"/>
  </r>
  <r>
    <x v="19"/>
    <x v="2"/>
    <x v="2"/>
    <n v="4"/>
    <n v="1"/>
    <d v="2026-08-11T00:00:00"/>
    <s v="4|19000101|46245"/>
    <x v="0"/>
    <x v="1"/>
    <x v="4"/>
    <x v="1"/>
  </r>
  <r>
    <x v="8"/>
    <x v="2"/>
    <x v="4"/>
    <n v="5"/>
    <n v="1"/>
    <d v="2026-08-11T00:00:00"/>
    <s v="5|19000101|46245"/>
    <x v="2"/>
    <x v="1"/>
    <x v="4"/>
    <x v="1"/>
  </r>
  <r>
    <x v="18"/>
    <x v="2"/>
    <x v="0"/>
    <n v="5"/>
    <n v="1"/>
    <d v="2026-08-11T00:00:00"/>
    <s v="5|19000101|46245"/>
    <x v="2"/>
    <x v="1"/>
    <x v="4"/>
    <x v="1"/>
  </r>
  <r>
    <x v="70"/>
    <x v="2"/>
    <x v="1"/>
    <n v="5"/>
    <n v="1"/>
    <d v="2026-08-11T00:00:00"/>
    <s v="5|19000101|46245"/>
    <x v="2"/>
    <x v="1"/>
    <x v="4"/>
    <x v="1"/>
  </r>
  <r>
    <x v="10"/>
    <x v="0"/>
    <x v="4"/>
    <n v="6"/>
    <n v="1"/>
    <d v="2026-08-11T00:00:00"/>
    <s v="6|19000101|46245"/>
    <x v="2"/>
    <x v="1"/>
    <x v="4"/>
    <x v="1"/>
  </r>
  <r>
    <x v="90"/>
    <x v="1"/>
    <x v="0"/>
    <n v="6"/>
    <n v="1"/>
    <d v="2026-08-11T00:00:00"/>
    <s v="6|19000101|46245"/>
    <x v="2"/>
    <x v="1"/>
    <x v="4"/>
    <x v="1"/>
  </r>
  <r>
    <x v="28"/>
    <x v="1"/>
    <x v="1"/>
    <n v="6"/>
    <n v="1"/>
    <d v="2026-08-11T00:00:00"/>
    <s v="6|19000101|46245"/>
    <x v="2"/>
    <x v="1"/>
    <x v="4"/>
    <x v="1"/>
  </r>
  <r>
    <x v="10"/>
    <x v="1"/>
    <x v="4"/>
    <n v="1"/>
    <n v="2"/>
    <d v="2026-08-11T00:00:00"/>
    <s v="1|19000102|46245"/>
    <x v="0"/>
    <x v="1"/>
    <x v="4"/>
    <x v="1"/>
  </r>
  <r>
    <x v="70"/>
    <x v="1"/>
    <x v="0"/>
    <n v="1"/>
    <n v="2"/>
    <d v="2026-08-11T00:00:00"/>
    <s v="1|19000102|46245"/>
    <x v="0"/>
    <x v="1"/>
    <x v="4"/>
    <x v="1"/>
  </r>
  <r>
    <x v="83"/>
    <x v="1"/>
    <x v="1"/>
    <n v="1"/>
    <n v="2"/>
    <d v="2026-08-11T00:00:00"/>
    <s v="1|19000102|46245"/>
    <x v="0"/>
    <x v="1"/>
    <x v="4"/>
    <x v="1"/>
  </r>
  <r>
    <x v="50"/>
    <x v="0"/>
    <x v="2"/>
    <n v="1"/>
    <n v="2"/>
    <d v="2026-08-11T00:00:00"/>
    <s v="1|19000102|46245"/>
    <x v="0"/>
    <x v="1"/>
    <x v="4"/>
    <x v="1"/>
  </r>
  <r>
    <x v="8"/>
    <x v="2"/>
    <x v="4"/>
    <n v="2"/>
    <n v="2"/>
    <d v="2026-08-11T00:00:00"/>
    <s v="2|19000102|46245"/>
    <x v="0"/>
    <x v="1"/>
    <x v="4"/>
    <x v="1"/>
  </r>
  <r>
    <x v="84"/>
    <x v="2"/>
    <x v="0"/>
    <n v="2"/>
    <n v="2"/>
    <d v="2026-08-11T00:00:00"/>
    <s v="2|19000102|46245"/>
    <x v="0"/>
    <x v="1"/>
    <x v="4"/>
    <x v="1"/>
  </r>
  <r>
    <x v="19"/>
    <x v="2"/>
    <x v="1"/>
    <n v="2"/>
    <n v="2"/>
    <d v="2026-08-11T00:00:00"/>
    <s v="2|19000102|46245"/>
    <x v="0"/>
    <x v="1"/>
    <x v="4"/>
    <x v="1"/>
  </r>
  <r>
    <x v="42"/>
    <x v="2"/>
    <x v="2"/>
    <n v="2"/>
    <n v="2"/>
    <d v="2026-08-11T00:00:00"/>
    <s v="2|19000102|46245"/>
    <x v="0"/>
    <x v="1"/>
    <x v="4"/>
    <x v="1"/>
  </r>
  <r>
    <x v="4"/>
    <x v="2"/>
    <x v="4"/>
    <n v="3"/>
    <n v="2"/>
    <d v="2026-08-11T00:00:00"/>
    <s v="3|19000102|46245"/>
    <x v="0"/>
    <x v="1"/>
    <x v="4"/>
    <x v="1"/>
  </r>
  <r>
    <x v="18"/>
    <x v="2"/>
    <x v="0"/>
    <n v="3"/>
    <n v="2"/>
    <d v="2026-08-11T00:00:00"/>
    <s v="3|19000102|46245"/>
    <x v="0"/>
    <x v="1"/>
    <x v="4"/>
    <x v="1"/>
  </r>
  <r>
    <x v="15"/>
    <x v="2"/>
    <x v="1"/>
    <n v="3"/>
    <n v="2"/>
    <d v="2026-08-11T00:00:00"/>
    <s v="3|19000102|46245"/>
    <x v="0"/>
    <x v="1"/>
    <x v="4"/>
    <x v="1"/>
  </r>
  <r>
    <x v="25"/>
    <x v="2"/>
    <x v="2"/>
    <n v="3"/>
    <n v="2"/>
    <d v="2026-08-11T00:00:00"/>
    <s v="3|19000102|46245"/>
    <x v="0"/>
    <x v="1"/>
    <x v="4"/>
    <x v="1"/>
  </r>
  <r>
    <x v="1"/>
    <x v="2"/>
    <x v="4"/>
    <n v="4"/>
    <n v="2"/>
    <d v="2026-08-11T00:00:00"/>
    <s v="4|19000102|46245"/>
    <x v="0"/>
    <x v="1"/>
    <x v="4"/>
    <x v="1"/>
  </r>
  <r>
    <x v="28"/>
    <x v="2"/>
    <x v="0"/>
    <n v="4"/>
    <n v="2"/>
    <d v="2026-08-11T00:00:00"/>
    <s v="4|19000102|46245"/>
    <x v="0"/>
    <x v="1"/>
    <x v="4"/>
    <x v="1"/>
  </r>
  <r>
    <x v="57"/>
    <x v="2"/>
    <x v="1"/>
    <n v="4"/>
    <n v="2"/>
    <d v="2026-08-11T00:00:00"/>
    <s v="4|19000102|46245"/>
    <x v="0"/>
    <x v="1"/>
    <x v="4"/>
    <x v="1"/>
  </r>
  <r>
    <x v="76"/>
    <x v="2"/>
    <x v="2"/>
    <n v="4"/>
    <n v="2"/>
    <d v="2026-08-11T00:00:00"/>
    <s v="4|19000102|46245"/>
    <x v="0"/>
    <x v="1"/>
    <x v="4"/>
    <x v="1"/>
  </r>
  <r>
    <x v="27"/>
    <x v="1"/>
    <x v="4"/>
    <n v="5"/>
    <n v="2"/>
    <d v="2026-08-11T00:00:00"/>
    <s v="5|19000102|46245"/>
    <x v="2"/>
    <x v="1"/>
    <x v="4"/>
    <x v="1"/>
  </r>
  <r>
    <x v="90"/>
    <x v="1"/>
    <x v="0"/>
    <n v="5"/>
    <n v="2"/>
    <d v="2026-08-11T00:00:00"/>
    <s v="5|19000102|46245"/>
    <x v="2"/>
    <x v="1"/>
    <x v="4"/>
    <x v="1"/>
  </r>
  <r>
    <x v="13"/>
    <x v="0"/>
    <x v="1"/>
    <n v="5"/>
    <n v="2"/>
    <d v="2026-08-11T00:00:00"/>
    <s v="5|19000102|46245"/>
    <x v="2"/>
    <x v="1"/>
    <x v="4"/>
    <x v="1"/>
  </r>
  <r>
    <x v="74"/>
    <x v="0"/>
    <x v="4"/>
    <n v="6"/>
    <n v="2"/>
    <d v="2026-08-11T00:00:00"/>
    <s v="6|19000102|46245"/>
    <x v="2"/>
    <x v="1"/>
    <x v="4"/>
    <x v="1"/>
  </r>
  <r>
    <x v="58"/>
    <x v="1"/>
    <x v="0"/>
    <n v="6"/>
    <n v="2"/>
    <d v="2026-08-11T00:00:00"/>
    <s v="6|19000102|46245"/>
    <x v="2"/>
    <x v="1"/>
    <x v="4"/>
    <x v="1"/>
  </r>
  <r>
    <x v="9"/>
    <x v="1"/>
    <x v="1"/>
    <n v="6"/>
    <n v="2"/>
    <d v="2026-08-11T00:00:00"/>
    <s v="6|19000102|46245"/>
    <x v="2"/>
    <x v="1"/>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7">
        <item x="4"/>
        <item x="0"/>
        <item x="1"/>
        <item x="2"/>
        <item x="3"/>
        <item x="5"/>
        <item t="default"/>
      </items>
    </pivotField>
    <pivotField showAll="0"/>
    <pivotField showAll="0"/>
    <pivotField numFmtId="14" showAll="0"/>
    <pivotField showAll="0"/>
    <pivotField axis="axisCol" showAll="0">
      <items count="7">
        <item x="2"/>
        <item x="0"/>
        <item x="1"/>
        <item m="1" x="4"/>
        <item m="1" x="5"/>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7">
        <item x="4"/>
        <item x="0"/>
        <item x="1"/>
        <item x="2"/>
        <item x="3"/>
        <item x="5"/>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35" firstHeaderRow="1" firstDataRow="2" firstDataCol="1" rowPageCount="2" colPageCount="1"/>
  <pivotFields count="11">
    <pivotField axis="axisRow" showAll="0">
      <items count="151">
        <item x="1"/>
        <item x="8"/>
        <item x="9"/>
        <item x="11"/>
        <item x="13"/>
        <item x="15"/>
        <item m="1" x="131"/>
        <item x="42"/>
        <item x="47"/>
        <item x="48"/>
        <item x="50"/>
        <item x="51"/>
        <item x="55"/>
        <item x="56"/>
        <item x="57"/>
        <item x="58"/>
        <item x="61"/>
        <item x="0"/>
        <item m="1" x="118"/>
        <item x="72"/>
        <item x="18"/>
        <item x="33"/>
        <item x="53"/>
        <item x="22"/>
        <item m="1" x="144"/>
        <item m="1" x="145"/>
        <item m="1" x="146"/>
        <item m="1" x="147"/>
        <item m="1" x="148"/>
        <item m="1" x="149"/>
        <item x="60"/>
        <item m="1" x="112"/>
        <item x="45"/>
        <item x="27"/>
        <item x="44"/>
        <item x="26"/>
        <item x="52"/>
        <item m="1" x="142"/>
        <item x="43"/>
        <item x="6"/>
        <item x="35"/>
        <item x="23"/>
        <item m="1" x="130"/>
        <item x="49"/>
        <item x="36"/>
        <item m="1" x="124"/>
        <item x="19"/>
        <item m="1" x="143"/>
        <item m="1" x="139"/>
        <item x="16"/>
        <item m="1" x="114"/>
        <item x="38"/>
        <item x="31"/>
        <item x="21"/>
        <item x="46"/>
        <item m="1" x="140"/>
        <item x="62"/>
        <item m="1" x="141"/>
        <item x="39"/>
        <item x="17"/>
        <item x="41"/>
        <item x="3"/>
        <item m="1" x="108"/>
        <item x="32"/>
        <item x="20"/>
        <item x="30"/>
        <item x="59"/>
        <item x="34"/>
        <item m="1" x="138"/>
        <item m="1" x="127"/>
        <item m="1" x="120"/>
        <item m="1" x="119"/>
        <item x="12"/>
        <item m="1" x="122"/>
        <item x="40"/>
        <item m="1" x="137"/>
        <item m="1" x="135"/>
        <item m="1" x="134"/>
        <item m="1" x="136"/>
        <item m="1" x="132"/>
        <item m="1" x="133"/>
        <item m="1" x="121"/>
        <item x="5"/>
        <item m="1" x="100"/>
        <item x="29"/>
        <item x="10"/>
        <item x="37"/>
        <item m="1" x="128"/>
        <item m="1" x="123"/>
        <item x="4"/>
        <item m="1" x="129"/>
        <item x="25"/>
        <item x="14"/>
        <item x="54"/>
        <item m="1" x="97"/>
        <item x="63"/>
        <item m="1" x="126"/>
        <item m="1" x="125"/>
        <item x="65"/>
        <item x="66"/>
        <item x="67"/>
        <item x="68"/>
        <item x="69"/>
        <item x="70"/>
        <item x="71"/>
        <item x="7"/>
        <item x="24"/>
        <item x="28"/>
        <item x="64"/>
        <item x="73"/>
        <item x="74"/>
        <item m="1" x="116"/>
        <item m="1" x="117"/>
        <item m="1" x="115"/>
        <item m="1" x="110"/>
        <item m="1" x="101"/>
        <item m="1" x="113"/>
        <item x="76"/>
        <item x="77"/>
        <item x="78"/>
        <item m="1" x="111"/>
        <item x="79"/>
        <item m="1" x="102"/>
        <item x="80"/>
        <item m="1" x="109"/>
        <item m="1" x="96"/>
        <item m="1" x="103"/>
        <item x="2"/>
        <item x="81"/>
        <item x="82"/>
        <item x="83"/>
        <item x="84"/>
        <item x="75"/>
        <item m="1" x="105"/>
        <item m="1" x="106"/>
        <item x="85"/>
        <item x="86"/>
        <item m="1" x="104"/>
        <item x="87"/>
        <item m="1" x="107"/>
        <item x="88"/>
        <item x="89"/>
        <item m="1" x="99"/>
        <item x="91"/>
        <item x="92"/>
        <item x="90"/>
        <item m="1" x="98"/>
        <item m="1" x="94"/>
        <item x="93"/>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axis="axisPage" showAll="0">
      <items count="4">
        <item x="1"/>
        <item x="0"/>
        <item m="1" x="2"/>
        <item t="default"/>
      </items>
    </pivotField>
  </pivotFields>
  <rowFields count="1">
    <field x="0"/>
  </rowFields>
  <rowItems count="29">
    <i>
      <x/>
    </i>
    <i>
      <x v="1"/>
    </i>
    <i>
      <x v="2"/>
    </i>
    <i>
      <x v="3"/>
    </i>
    <i>
      <x v="4"/>
    </i>
    <i>
      <x v="5"/>
    </i>
    <i>
      <x v="7"/>
    </i>
    <i>
      <x v="10"/>
    </i>
    <i>
      <x v="14"/>
    </i>
    <i>
      <x v="15"/>
    </i>
    <i>
      <x v="20"/>
    </i>
    <i>
      <x v="21"/>
    </i>
    <i>
      <x v="33"/>
    </i>
    <i>
      <x v="46"/>
    </i>
    <i>
      <x v="56"/>
    </i>
    <i>
      <x v="85"/>
    </i>
    <i>
      <x v="86"/>
    </i>
    <i>
      <x v="89"/>
    </i>
    <i>
      <x v="103"/>
    </i>
    <i>
      <x v="105"/>
    </i>
    <i>
      <x v="107"/>
    </i>
    <i>
      <x v="121"/>
    </i>
    <i>
      <x v="123"/>
    </i>
    <i>
      <x v="130"/>
    </i>
    <i>
      <x v="131"/>
    </i>
    <i>
      <x v="140"/>
    </i>
    <i>
      <x v="145"/>
    </i>
    <i>
      <x v="148"/>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1" firstHeaderRow="0" firstDataRow="1" firstDataCol="1" rowPageCount="1" colPageCount="1"/>
  <pivotFields count="22">
    <pivotField axis="axisPage" showAll="0">
      <items count="137">
        <item x="0"/>
        <item x="4"/>
        <item x="40"/>
        <item x="50"/>
        <item x="14"/>
        <item x="5"/>
        <item x="18"/>
        <item m="1" x="117"/>
        <item x="1"/>
        <item x="10"/>
        <item x="15"/>
        <item x="8"/>
        <item x="2"/>
        <item x="34"/>
        <item x="62"/>
        <item m="1" x="130"/>
        <item x="9"/>
        <item x="61"/>
        <item x="22"/>
        <item x="24"/>
        <item m="1" x="129"/>
        <item m="1" x="123"/>
        <item x="55"/>
        <item x="53"/>
        <item x="35"/>
        <item x="13"/>
        <item x="37"/>
        <item x="56"/>
        <item x="51"/>
        <item m="1" x="113"/>
        <item x="29"/>
        <item x="36"/>
        <item x="49"/>
        <item x="3"/>
        <item x="54"/>
        <item x="25"/>
        <item x="60"/>
        <item x="63"/>
        <item x="6"/>
        <item x="19"/>
        <item x="52"/>
        <item x="20"/>
        <item x="23"/>
        <item x="27"/>
        <item x="30"/>
        <item x="26"/>
        <item x="57"/>
        <item x="17"/>
        <item x="7"/>
        <item x="31"/>
        <item x="59"/>
        <item m="1" x="111"/>
        <item x="33"/>
        <item m="1" x="126"/>
        <item m="1" x="120"/>
        <item m="1" x="119"/>
        <item x="12"/>
        <item m="1" x="121"/>
        <item x="42"/>
        <item m="1" x="135"/>
        <item m="1" x="133"/>
        <item m="1" x="134"/>
        <item m="1" x="131"/>
        <item m="1" x="132"/>
        <item x="28"/>
        <item m="1" x="118"/>
        <item x="45"/>
        <item m="1" x="100"/>
        <item x="48"/>
        <item x="46"/>
        <item x="43"/>
        <item m="1" x="127"/>
        <item m="1" x="122"/>
        <item x="21"/>
        <item x="44"/>
        <item m="1" x="128"/>
        <item x="11"/>
        <item x="16"/>
        <item x="58"/>
        <item m="1" x="97"/>
        <item x="64"/>
        <item m="1" x="125"/>
        <item m="1" x="124"/>
        <item x="66"/>
        <item x="65"/>
        <item x="67"/>
        <item x="68"/>
        <item x="69"/>
        <item x="70"/>
        <item x="71"/>
        <item x="72"/>
        <item x="32"/>
        <item x="38"/>
        <item x="39"/>
        <item x="41"/>
        <item x="73"/>
        <item x="74"/>
        <item m="1" x="115"/>
        <item m="1" x="116"/>
        <item m="1" x="114"/>
        <item m="1" x="110"/>
        <item m="1" x="101"/>
        <item m="1" x="112"/>
        <item x="76"/>
        <item x="77"/>
        <item x="78"/>
        <item m="1" x="108"/>
        <item x="79"/>
        <item m="1" x="102"/>
        <item x="80"/>
        <item m="1" x="109"/>
        <item m="1" x="96"/>
        <item m="1" x="103"/>
        <item x="47"/>
        <item x="81"/>
        <item x="82"/>
        <item x="83"/>
        <item x="84"/>
        <item x="75"/>
        <item m="1" x="105"/>
        <item m="1" x="106"/>
        <item x="85"/>
        <item x="86"/>
        <item m="1" x="104"/>
        <item x="87"/>
        <item m="1" x="107"/>
        <item x="88"/>
        <item x="89"/>
        <item m="1" x="99"/>
        <item x="91"/>
        <item x="92"/>
        <item x="90"/>
        <item m="1" x="98"/>
        <item m="1" x="94"/>
        <item x="93"/>
        <item m="1" x="95"/>
        <item t="default"/>
      </items>
    </pivotField>
    <pivotField showAll="0"/>
    <pivotField showAll="0"/>
    <pivotField showAll="0"/>
    <pivotField showAll="0"/>
    <pivotField numFmtId="22" showAll="0">
      <items count="55">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t="default"/>
      </items>
    </pivotField>
    <pivotField dataField="1" showAll="0"/>
    <pivotField showAll="0"/>
    <pivotField showAll="0"/>
    <pivotField showAll="0"/>
    <pivotField showAll="0"/>
    <pivotField axis="axisRow" showAll="0" sortType="descending">
      <items count="137">
        <item x="3"/>
        <item x="4"/>
        <item x="40"/>
        <item x="50"/>
        <item x="14"/>
        <item x="5"/>
        <item x="18"/>
        <item m="1" x="117"/>
        <item x="0"/>
        <item x="10"/>
        <item x="15"/>
        <item x="8"/>
        <item x="1"/>
        <item x="34"/>
        <item x="62"/>
        <item m="1" x="130"/>
        <item x="9"/>
        <item x="61"/>
        <item x="22"/>
        <item x="24"/>
        <item m="1" x="129"/>
        <item m="1" x="123"/>
        <item x="55"/>
        <item x="53"/>
        <item x="35"/>
        <item x="13"/>
        <item x="37"/>
        <item x="56"/>
        <item x="51"/>
        <item m="1" x="113"/>
        <item x="29"/>
        <item x="36"/>
        <item x="49"/>
        <item x="2"/>
        <item x="54"/>
        <item x="25"/>
        <item x="60"/>
        <item x="63"/>
        <item x="6"/>
        <item x="19"/>
        <item x="52"/>
        <item x="20"/>
        <item x="23"/>
        <item x="27"/>
        <item x="30"/>
        <item x="26"/>
        <item x="57"/>
        <item x="17"/>
        <item x="7"/>
        <item x="31"/>
        <item x="59"/>
        <item m="1" x="111"/>
        <item x="33"/>
        <item m="1" x="126"/>
        <item m="1" x="120"/>
        <item m="1" x="119"/>
        <item x="12"/>
        <item m="1" x="121"/>
        <item x="42"/>
        <item m="1" x="135"/>
        <item m="1" x="133"/>
        <item m="1" x="134"/>
        <item m="1" x="131"/>
        <item m="1" x="132"/>
        <item x="28"/>
        <item m="1" x="118"/>
        <item x="45"/>
        <item x="47"/>
        <item m="1" x="100"/>
        <item x="46"/>
        <item x="43"/>
        <item m="1" x="127"/>
        <item m="1" x="122"/>
        <item x="21"/>
        <item x="44"/>
        <item m="1" x="128"/>
        <item x="11"/>
        <item x="16"/>
        <item x="58"/>
        <item m="1" x="97"/>
        <item x="64"/>
        <item m="1" x="125"/>
        <item m="1" x="124"/>
        <item x="65"/>
        <item x="66"/>
        <item x="67"/>
        <item x="68"/>
        <item x="69"/>
        <item x="70"/>
        <item x="71"/>
        <item x="72"/>
        <item x="32"/>
        <item x="38"/>
        <item x="39"/>
        <item x="41"/>
        <item x="73"/>
        <item x="74"/>
        <item m="1" x="115"/>
        <item m="1" x="116"/>
        <item m="1" x="114"/>
        <item m="1" x="110"/>
        <item m="1" x="101"/>
        <item m="1" x="112"/>
        <item x="76"/>
        <item x="77"/>
        <item x="78"/>
        <item m="1" x="108"/>
        <item x="79"/>
        <item m="1" x="102"/>
        <item m="1" x="109"/>
        <item x="80"/>
        <item m="1" x="96"/>
        <item m="1" x="103"/>
        <item x="48"/>
        <item x="81"/>
        <item x="82"/>
        <item x="83"/>
        <item x="84"/>
        <item x="75"/>
        <item m="1" x="106"/>
        <item x="85"/>
        <item m="1" x="105"/>
        <item x="86"/>
        <item m="1" x="104"/>
        <item x="87"/>
        <item m="1" x="107"/>
        <item x="88"/>
        <item x="89"/>
        <item m="1" x="99"/>
        <item x="91"/>
        <item x="92"/>
        <item x="90"/>
        <item m="1" x="98"/>
        <item m="1" x="94"/>
        <item x="93"/>
        <item m="1" x="9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58">
    <i>
      <x v="47"/>
    </i>
    <i>
      <x v="73"/>
    </i>
    <i>
      <x v="1"/>
    </i>
    <i>
      <x v="12"/>
    </i>
    <i>
      <x v="6"/>
    </i>
    <i>
      <x v="5"/>
    </i>
    <i>
      <x v="33"/>
    </i>
    <i>
      <x v="9"/>
    </i>
    <i>
      <x v="48"/>
    </i>
    <i>
      <x v="4"/>
    </i>
    <i>
      <x v="19"/>
    </i>
    <i>
      <x v="10"/>
    </i>
    <i>
      <x v="74"/>
    </i>
    <i>
      <x v="56"/>
    </i>
    <i>
      <x v="25"/>
    </i>
    <i>
      <x v="64"/>
    </i>
    <i>
      <x v="13"/>
    </i>
    <i>
      <x v="41"/>
    </i>
    <i>
      <x v="88"/>
    </i>
    <i>
      <x v="42"/>
    </i>
    <i>
      <x v="43"/>
    </i>
    <i>
      <x v="49"/>
    </i>
    <i>
      <x v="77"/>
    </i>
    <i>
      <x v="69"/>
    </i>
    <i>
      <x v="70"/>
    </i>
    <i>
      <x v="45"/>
    </i>
    <i>
      <x v="107"/>
    </i>
    <i>
      <x v="91"/>
    </i>
    <i>
      <x/>
    </i>
    <i>
      <x v="76"/>
    </i>
    <i>
      <x v="11"/>
    </i>
    <i>
      <x v="39"/>
    </i>
    <i>
      <x v="38"/>
    </i>
    <i>
      <x v="31"/>
    </i>
    <i>
      <x v="117"/>
    </i>
    <i>
      <x v="52"/>
    </i>
    <i>
      <x v="35"/>
    </i>
    <i>
      <x v="116"/>
    </i>
    <i>
      <x v="90"/>
    </i>
    <i>
      <x v="105"/>
    </i>
    <i>
      <x v="93"/>
    </i>
    <i>
      <x v="66"/>
    </i>
    <i>
      <x v="2"/>
    </i>
    <i>
      <x v="110"/>
    </i>
    <i>
      <x v="44"/>
    </i>
    <i>
      <x v="36"/>
    </i>
    <i>
      <x v="95"/>
    </i>
    <i>
      <x v="120"/>
    </i>
    <i>
      <x v="27"/>
    </i>
    <i>
      <x v="87"/>
    </i>
    <i>
      <x v="37"/>
    </i>
    <i>
      <x v="131"/>
    </i>
    <i>
      <x v="118"/>
    </i>
    <i>
      <x v="134"/>
    </i>
    <i>
      <x v="30"/>
    </i>
    <i>
      <x v="78"/>
    </i>
    <i>
      <x v="3"/>
    </i>
    <i>
      <x v="14"/>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37" firstHeaderRow="1" firstDataRow="2" firstDataCol="1" rowPageCount="1" colPageCount="1"/>
  <pivotFields count="11">
    <pivotField axis="axisRow" showAll="0">
      <items count="151">
        <item x="1"/>
        <item x="8"/>
        <item x="9"/>
        <item x="11"/>
        <item x="13"/>
        <item x="15"/>
        <item m="1" x="131"/>
        <item x="42"/>
        <item x="47"/>
        <item x="48"/>
        <item x="50"/>
        <item x="51"/>
        <item x="55"/>
        <item x="56"/>
        <item x="57"/>
        <item x="58"/>
        <item x="61"/>
        <item x="0"/>
        <item m="1" x="118"/>
        <item x="72"/>
        <item x="18"/>
        <item x="33"/>
        <item x="53"/>
        <item x="22"/>
        <item m="1" x="144"/>
        <item m="1" x="145"/>
        <item m="1" x="146"/>
        <item m="1" x="147"/>
        <item m="1" x="148"/>
        <item m="1" x="149"/>
        <item x="60"/>
        <item m="1" x="112"/>
        <item x="45"/>
        <item x="27"/>
        <item x="44"/>
        <item x="26"/>
        <item x="52"/>
        <item m="1" x="142"/>
        <item x="43"/>
        <item x="6"/>
        <item x="35"/>
        <item x="23"/>
        <item m="1" x="130"/>
        <item x="49"/>
        <item x="36"/>
        <item m="1" x="124"/>
        <item x="19"/>
        <item m="1" x="143"/>
        <item m="1" x="139"/>
        <item x="16"/>
        <item m="1" x="114"/>
        <item x="38"/>
        <item x="31"/>
        <item x="21"/>
        <item x="46"/>
        <item m="1" x="140"/>
        <item x="62"/>
        <item m="1" x="141"/>
        <item x="39"/>
        <item x="17"/>
        <item x="41"/>
        <item x="3"/>
        <item m="1" x="108"/>
        <item x="32"/>
        <item x="20"/>
        <item x="30"/>
        <item x="59"/>
        <item x="34"/>
        <item m="1" x="138"/>
        <item m="1" x="127"/>
        <item m="1" x="120"/>
        <item m="1" x="119"/>
        <item x="12"/>
        <item m="1" x="122"/>
        <item x="40"/>
        <item m="1" x="137"/>
        <item m="1" x="135"/>
        <item m="1" x="134"/>
        <item m="1" x="136"/>
        <item m="1" x="132"/>
        <item m="1" x="133"/>
        <item m="1" x="121"/>
        <item x="5"/>
        <item m="1" x="100"/>
        <item x="29"/>
        <item x="10"/>
        <item x="37"/>
        <item m="1" x="128"/>
        <item m="1" x="123"/>
        <item x="4"/>
        <item m="1" x="129"/>
        <item x="25"/>
        <item x="14"/>
        <item x="54"/>
        <item m="1" x="97"/>
        <item x="63"/>
        <item m="1" x="126"/>
        <item m="1" x="125"/>
        <item x="65"/>
        <item x="66"/>
        <item x="67"/>
        <item x="68"/>
        <item x="69"/>
        <item x="70"/>
        <item x="71"/>
        <item x="7"/>
        <item x="24"/>
        <item x="28"/>
        <item x="64"/>
        <item x="73"/>
        <item x="74"/>
        <item m="1" x="116"/>
        <item m="1" x="117"/>
        <item m="1" x="115"/>
        <item m="1" x="110"/>
        <item m="1" x="101"/>
        <item m="1" x="113"/>
        <item x="76"/>
        <item x="77"/>
        <item x="78"/>
        <item m="1" x="111"/>
        <item x="79"/>
        <item m="1" x="102"/>
        <item x="80"/>
        <item m="1" x="109"/>
        <item m="1" x="96"/>
        <item m="1" x="103"/>
        <item x="2"/>
        <item x="81"/>
        <item x="82"/>
        <item x="83"/>
        <item x="84"/>
        <item x="75"/>
        <item m="1" x="105"/>
        <item m="1" x="106"/>
        <item x="85"/>
        <item x="86"/>
        <item m="1" x="104"/>
        <item x="87"/>
        <item m="1" x="107"/>
        <item x="88"/>
        <item x="89"/>
        <item m="1" x="99"/>
        <item x="91"/>
        <item x="92"/>
        <item x="90"/>
        <item m="1" x="98"/>
        <item m="1" x="94"/>
        <item x="93"/>
        <item m="1" x="95"/>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h="1" x="5"/>
        <item h="1" x="3"/>
        <item h="1" x="1"/>
        <item h="1" x="0"/>
        <item t="default"/>
      </items>
    </pivotField>
    <pivotField showAll="0"/>
  </pivotFields>
  <rowFields count="1">
    <field x="0"/>
  </rowFields>
  <rowItems count="32">
    <i>
      <x/>
    </i>
    <i>
      <x v="1"/>
    </i>
    <i>
      <x v="2"/>
    </i>
    <i>
      <x v="3"/>
    </i>
    <i>
      <x v="4"/>
    </i>
    <i>
      <x v="5"/>
    </i>
    <i>
      <x v="7"/>
    </i>
    <i>
      <x v="10"/>
    </i>
    <i>
      <x v="14"/>
    </i>
    <i>
      <x v="15"/>
    </i>
    <i>
      <x v="20"/>
    </i>
    <i>
      <x v="21"/>
    </i>
    <i>
      <x v="33"/>
    </i>
    <i>
      <x v="46"/>
    </i>
    <i>
      <x v="56"/>
    </i>
    <i>
      <x v="85"/>
    </i>
    <i>
      <x v="86"/>
    </i>
    <i>
      <x v="89"/>
    </i>
    <i>
      <x v="91"/>
    </i>
    <i>
      <x v="103"/>
    </i>
    <i>
      <x v="105"/>
    </i>
    <i>
      <x v="107"/>
    </i>
    <i>
      <x v="110"/>
    </i>
    <i>
      <x v="117"/>
    </i>
    <i>
      <x v="121"/>
    </i>
    <i>
      <x v="123"/>
    </i>
    <i>
      <x v="130"/>
    </i>
    <i>
      <x v="131"/>
    </i>
    <i>
      <x v="140"/>
    </i>
    <i>
      <x v="145"/>
    </i>
    <i>
      <x v="148"/>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nd="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4" totalsRowShown="0">
  <autoFilter ref="B4:P104" xr:uid="{F63DFD6A-A871-49D3-9D52-012AE1A05CAE}">
    <filterColumn colId="8">
      <filters>
        <filter val="10"/>
        <filter val="12"/>
        <filter val="2"/>
        <filter val="4"/>
        <filter val="6"/>
        <filter val="8"/>
      </filters>
    </filterColumn>
  </autoFilter>
  <sortState xmlns:xlrd2="http://schemas.microsoft.com/office/spreadsheetml/2017/richdata2" ref="B5:P103">
    <sortCondition ref="D4:D104"/>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1984" totalsRowShown="0">
  <autoFilter ref="A1:K1984"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5677" tableType="queryTable" totalsRowShown="0">
  <autoFilter ref="A1:R5677"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4"/>
  <sheetViews>
    <sheetView tabSelected="1" zoomScaleNormal="100" workbookViewId="0">
      <selection activeCell="B42" sqref="B42"/>
    </sheetView>
  </sheetViews>
  <sheetFormatPr defaultColWidth="19.453125" defaultRowHeight="14.5" x14ac:dyDescent="0.35"/>
  <cols>
    <col min="3" max="3" width="3.1796875" customWidth="1"/>
    <col min="4" max="4" width="7.7265625" customWidth="1"/>
    <col min="5" max="5" width="17.453125" style="10" customWidth="1"/>
    <col min="6" max="6" width="9.26953125" customWidth="1"/>
    <col min="7" max="7" width="8.81640625" style="4" customWidth="1"/>
    <col min="8" max="8" width="9.7265625" style="4" customWidth="1"/>
    <col min="9" max="9" width="9.26953125" customWidth="1"/>
    <col min="10" max="10" width="11.7265625" customWidth="1"/>
    <col min="11" max="14" width="19.453125" hidden="1" customWidth="1"/>
    <col min="15" max="15" width="19.453125" style="4" hidden="1" customWidth="1"/>
    <col min="16" max="16" width="19.453125" hidden="1" customWidth="1"/>
  </cols>
  <sheetData>
    <row r="1" spans="2:16" ht="247.5" customHeight="1" x14ac:dyDescent="0.35"/>
    <row r="4" spans="2:16" x14ac:dyDescent="0.3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3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0.43</v>
      </c>
      <c r="F5" s="8">
        <f>IF(View_Table[[#This Row],[Games]]=0,0,(View_Table[[#This Row],[Wins]] + (View_Table[[#This Row],[Draws]] * 0.25))/View_Table[[#This Row],[Games]])</f>
        <v>0.7</v>
      </c>
      <c r="G5" s="5">
        <f>IFERROR(
    GETPIVOTDATA(
        "Result",
        'Pivot Table'!$A$3,
        "Player",View_Table[[#This Row],[Player]],
        "Result","Win"
    ),
    0
)</f>
        <v>6</v>
      </c>
      <c r="H5" s="5">
        <f>IFERROR(
    GETPIVOTDATA(
        "Result",
        'Pivot Table'!$A$3,
        "Player",View_Table[[#This Row],[Player]],
        "Result","Loss"
    ),
    0
)</f>
        <v>0</v>
      </c>
      <c r="I5" s="5">
        <f>IFERROR(
    GETPIVOTDATA(
        "Result",
        'Pivot Table'!$A$3,
        "Player",View_Table[[#This Row],[Player]],
        "Result","Draw"
    ),
    0
)</f>
        <v>4</v>
      </c>
      <c r="J5" s="5">
        <f>View_Table[[#This Row],[Wins]]+View_Table[[#This Row],[Losses]]+View_Table[[#This Row],[Draws]]</f>
        <v>10</v>
      </c>
      <c r="K5" s="7">
        <f>IFERROR(
    GETPIVOTDATA(
        "Result",
        'Pivot Table Previous'!$A$3,
        "Player",View_Table[[#This Row],[Player]],
        "Result","Win"
    ),
    0
)</f>
        <v>6</v>
      </c>
      <c r="L5" s="5">
        <f>IFERROR(
    GETPIVOTDATA(
        "Result",
        'Pivot Table Previous'!$A$3,
        "Player",View_Table[[#This Row],[Player]],
        "Result","Loss"
    ),
    0
)</f>
        <v>0</v>
      </c>
      <c r="M5" s="5">
        <f>IFERROR(
    GETPIVOTDATA(
        "Result",
        'Pivot Table Previous'!$A$3,
        "Player",View_Table[[#This Row],[Player]],
        "Result","Draw"
    ),
    0
)</f>
        <v>2</v>
      </c>
      <c r="N5" s="5">
        <f>View_Table[[#This Row],[Wins Previous]]+View_Table[[#This Row],[Losses Previous]]+View_Table[[#This Row],[Draws Previous]]</f>
        <v>8</v>
      </c>
      <c r="O5" s="9">
        <f>_xlfn.LET(_xlpm.g,View_Table[[#This Row],[Games Previous]], _xlpm.w,(View_Table[[#This Row],[Wins Previous]] + View_Table[[#This Row],[Draws Previous]] * 0.25), _xlpm.fake, MAX(0,25-_xlpm.g), IF(_xlpm.g=0,0,(_xlpm.w + _xlpm.fake*0.25)/(_xlpm.g + _xlpm.fake)))</f>
        <v>0.43</v>
      </c>
      <c r="P5" s="7">
        <f>_xlfn.RANK.EQ(View_Table[[#This Row],[Weighted Win% Previous]], View_Table[Weighted Win% Previous], 0)</f>
        <v>1</v>
      </c>
    </row>
    <row r="6" spans="2:16" x14ac:dyDescent="0.35">
      <c r="B6" s="3" t="s">
        <v>15</v>
      </c>
      <c r="C6" s="6">
        <f>View_Table[[#This Row],[Rank Previous]]-View_Table[[#This Row],[Rank]]</f>
        <v>0</v>
      </c>
      <c r="D6" s="7">
        <f>_xlfn.RANK.EQ(View_Table[[#This Row],[Weighted Win%]], View_Table[Weighted Win%], 0)</f>
        <v>2</v>
      </c>
      <c r="E6" s="9">
        <f>_xlfn.LET(_xlpm.g,View_Table[[#This Row],[Games]], _xlpm.w,(View_Table[[#This Row],[Wins]] + View_Table[[#This Row],[Draws]] * 0.25), _xlpm.fake, MAX(0,25-_xlpm.g), IF(_xlpm.g=0,0,(_xlpm.w + _xlpm.fake*0.25)/(_xlpm.g + _xlpm.fake)))</f>
        <v>0.37</v>
      </c>
      <c r="F6" s="8">
        <f>IF(View_Table[[#This Row],[Games]]=0,0,(View_Table[[#This Row],[Wins]] + (View_Table[[#This Row],[Draws]] * 0.25))/View_Table[[#This Row],[Games]])</f>
        <v>0.55000000000000004</v>
      </c>
      <c r="G6" s="5">
        <f>IFERROR(
    GETPIVOTDATA(
        "Result",
        'Pivot Table'!$A$3,
        "Player",View_Table[[#This Row],[Player]],
        "Result","Win"
    ),
    0
)</f>
        <v>5</v>
      </c>
      <c r="H6" s="5">
        <f>IFERROR(
    GETPIVOTDATA(
        "Result",
        'Pivot Table'!$A$3,
        "Player",View_Table[[#This Row],[Player]],
        "Result","Loss"
    ),
    0
)</f>
        <v>3</v>
      </c>
      <c r="I6" s="5">
        <f>IFERROR(
    GETPIVOTDATA(
        "Result",
        'Pivot Table'!$A$3,
        "Player",View_Table[[#This Row],[Player]],
        "Result","Draw"
    ),
    0
)</f>
        <v>2</v>
      </c>
      <c r="J6" s="5">
        <f>View_Table[[#This Row],[Wins]]+View_Table[[#This Row],[Losses]]+View_Table[[#This Row],[Draws]]</f>
        <v>10</v>
      </c>
      <c r="K6" s="7">
        <f>IFERROR(
    GETPIVOTDATA(
        "Result",
        'Pivot Table Previous'!$A$3,
        "Player",View_Table[[#This Row],[Player]],
        "Result","Win"
    ),
    0
)</f>
        <v>4</v>
      </c>
      <c r="L6" s="5">
        <f>IFERROR(
    GETPIVOTDATA(
        "Result",
        'Pivot Table Previous'!$A$3,
        "Player",View_Table[[#This Row],[Player]],
        "Result","Loss"
    ),
    0
)</f>
        <v>3</v>
      </c>
      <c r="M6" s="5">
        <f>IFERROR(
    GETPIVOTDATA(
        "Result",
        'Pivot Table Previous'!$A$3,
        "Player",View_Table[[#This Row],[Player]],
        "Result","Draw"
    ),
    0
)</f>
        <v>1</v>
      </c>
      <c r="N6" s="5">
        <f>View_Table[[#This Row],[Wins Previous]]+View_Table[[#This Row],[Losses Previous]]+View_Table[[#This Row],[Draws Previous]]</f>
        <v>8</v>
      </c>
      <c r="O6" s="9">
        <f>_xlfn.LET(_xlpm.g,View_Table[[#This Row],[Games Previous]], _xlpm.w,(View_Table[[#This Row],[Wins Previous]] + View_Table[[#This Row],[Draws Previous]] * 0.25), _xlpm.fake, MAX(0,25-_xlpm.g), IF(_xlpm.g=0,0,(_xlpm.w + _xlpm.fake*0.25)/(_xlpm.g + _xlpm.fake)))</f>
        <v>0.34</v>
      </c>
      <c r="P6" s="7">
        <f>_xlfn.RANK.EQ(View_Table[[#This Row],[Weighted Win% Previous]], View_Table[Weighted Win% Previous], 0)</f>
        <v>2</v>
      </c>
    </row>
    <row r="7" spans="2:16" hidden="1" x14ac:dyDescent="0.35">
      <c r="B7" s="3" t="s">
        <v>434</v>
      </c>
      <c r="C7" s="6">
        <f>View_Table[[#This Row],[Rank Previous]]-View_Table[[#This Row],[Rank]]</f>
        <v>-3</v>
      </c>
      <c r="D7" s="7">
        <f>_xlfn.RANK.EQ(View_Table[[#This Row],[Weighted Win%]], View_Table[Weighted Win%], 0)</f>
        <v>32</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29</v>
      </c>
    </row>
    <row r="8" spans="2:16" x14ac:dyDescent="0.35">
      <c r="B8" s="3" t="s">
        <v>19</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0.31</v>
      </c>
      <c r="F8" s="8">
        <f>IF(View_Table[[#This Row],[Games]]=0,0,(View_Table[[#This Row],[Wins]] + (View_Table[[#This Row],[Draws]] * 0.25))/View_Table[[#This Row],[Games]])</f>
        <v>0.4</v>
      </c>
      <c r="G8" s="5">
        <f>IFERROR(
    GETPIVOTDATA(
        "Result",
        'Pivot Table'!$A$3,
        "Player",View_Table[[#This Row],[Player]],
        "Result","Win"
    ),
    0
)</f>
        <v>3</v>
      </c>
      <c r="H8" s="5">
        <f>IFERROR(
    GETPIVOTDATA(
        "Result",
        'Pivot Table'!$A$3,
        "Player",View_Table[[#This Row],[Player]],
        "Result","Loss"
    ),
    0
)</f>
        <v>3</v>
      </c>
      <c r="I8" s="5">
        <f>IFERROR(
    GETPIVOTDATA(
        "Result",
        'Pivot Table'!$A$3,
        "Player",View_Table[[#This Row],[Player]],
        "Result","Draw"
    ),
    0
)</f>
        <v>4</v>
      </c>
      <c r="J8" s="5">
        <f>View_Table[[#This Row],[Wins]]+View_Table[[#This Row],[Losses]]+View_Table[[#This Row],[Draws]]</f>
        <v>10</v>
      </c>
      <c r="K8" s="5">
        <f>IFERROR(
    GETPIVOTDATA(
        "Result",
        'Pivot Table Previous'!$A$3,
        "Player",View_Table[[#This Row],[Player]],
        "Result","Win"
    ),
    0
)</f>
        <v>3</v>
      </c>
      <c r="L8" s="5">
        <f>IFERROR(
    GETPIVOTDATA(
        "Result",
        'Pivot Table Previous'!$A$3,
        "Player",View_Table[[#This Row],[Player]],
        "Result","Loss"
    ),
    0
)</f>
        <v>3</v>
      </c>
      <c r="M8" s="5">
        <f>IFERROR(
    GETPIVOTDATA(
        "Result",
        'Pivot Table Previous'!$A$3,
        "Player",View_Table[[#This Row],[Player]],
        "Result","Draw"
    ),
    0
)</f>
        <v>2</v>
      </c>
      <c r="N8" s="5">
        <f>View_Table[[#This Row],[Wins Previous]]+View_Table[[#This Row],[Losses Previous]]+View_Table[[#This Row],[Draws Previous]]</f>
        <v>8</v>
      </c>
      <c r="O8" s="9">
        <f>_xlfn.LET(_xlpm.g,View_Table[[#This Row],[Games Previous]], _xlpm.w,(View_Table[[#This Row],[Wins Previous]] + View_Table[[#This Row],[Draws Previous]] * 0.25), _xlpm.fake, MAX(0,25-_xlpm.g), IF(_xlpm.g=0,0,(_xlpm.w + _xlpm.fake*0.25)/(_xlpm.g + _xlpm.fake)))</f>
        <v>0.31</v>
      </c>
      <c r="P8" s="7">
        <f>IF(View_Table[[#This Row],[Games Previous]]=0,
    View_Table[[#This Row],[Rank]],
    _xlfn.RANK.EQ(View_Table[[#This Row],[Weighted Win% Previous]], View_Table[Weighted Win% Previous], 0)
)</f>
        <v>3</v>
      </c>
    </row>
    <row r="9" spans="2:16" x14ac:dyDescent="0.35">
      <c r="B9" s="3" t="s">
        <v>352</v>
      </c>
      <c r="C9" s="6">
        <f>View_Table[[#This Row],[Rank Previous]]-View_Table[[#This Row],[Rank]]</f>
        <v>0</v>
      </c>
      <c r="D9" s="7">
        <f>_xlfn.RANK.EQ(View_Table[[#This Row],[Weighted Win%]], View_Table[Weighted Win%], 0)</f>
        <v>3</v>
      </c>
      <c r="E9" s="9">
        <f>_xlfn.LET(_xlpm.g,View_Table[[#This Row],[Games]], _xlpm.w,(View_Table[[#This Row],[Wins]] + View_Table[[#This Row],[Draws]] * 0.25), _xlpm.fake, MAX(0,25-_xlpm.g), IF(_xlpm.g=0,0,(_xlpm.w + _xlpm.fake*0.25)/(_xlpm.g + _xlpm.fake)))</f>
        <v>0.31</v>
      </c>
      <c r="F9" s="8">
        <f>IF(View_Table[[#This Row],[Games]]=0,0,(View_Table[[#This Row],[Wins]] + (View_Table[[#This Row],[Draws]] * 0.25))/View_Table[[#This Row],[Games]])</f>
        <v>0.4375</v>
      </c>
      <c r="G9" s="5">
        <f>IFERROR(
    GETPIVOTDATA(
        "Result",
        'Pivot Table'!$A$3,
        "Player",View_Table[[#This Row],[Player]],
        "Result","Win"
    ),
    0
)</f>
        <v>3</v>
      </c>
      <c r="H9" s="5">
        <f>IFERROR(
    GETPIVOTDATA(
        "Result",
        'Pivot Table'!$A$3,
        "Player",View_Table[[#This Row],[Player]],
        "Result","Loss"
    ),
    0
)</f>
        <v>3</v>
      </c>
      <c r="I9" s="5">
        <f>IFERROR(
    GETPIVOTDATA(
        "Result",
        'Pivot Table'!$A$3,
        "Player",View_Table[[#This Row],[Player]],
        "Result","Draw"
    ),
    0
)</f>
        <v>2</v>
      </c>
      <c r="J9" s="5">
        <f>View_Table[[#This Row],[Wins]]+View_Table[[#This Row],[Losses]]+View_Table[[#This Row],[Draws]]</f>
        <v>8</v>
      </c>
      <c r="K9" s="7">
        <f>IFERROR(
    GETPIVOTDATA(
        "Result",
        'Pivot Table Previous'!$A$3,
        "Player",View_Table[[#This Row],[Player]],
        "Result","Win"
    ),
    0
)</f>
        <v>3</v>
      </c>
      <c r="L9" s="5">
        <f>IFERROR(
    GETPIVOTDATA(
        "Result",
        'Pivot Table Previous'!$A$3,
        "Player",View_Table[[#This Row],[Player]],
        "Result","Loss"
    ),
    0
)</f>
        <v>3</v>
      </c>
      <c r="M9" s="5">
        <f>IFERROR(
    GETPIVOTDATA(
        "Result",
        'Pivot Table Previous'!$A$3,
        "Player",View_Table[[#This Row],[Player]],
        "Result","Draw"
    ),
    0
)</f>
        <v>2</v>
      </c>
      <c r="N9" s="5">
        <f>View_Table[[#This Row],[Wins Previous]]+View_Table[[#This Row],[Losses Previous]]+View_Table[[#This Row],[Draws Previous]]</f>
        <v>8</v>
      </c>
      <c r="O9" s="9">
        <f>_xlfn.LET(_xlpm.g,View_Table[[#This Row],[Games Previous]], _xlpm.w,(View_Table[[#This Row],[Wins Previous]] + View_Table[[#This Row],[Draws Previous]] * 0.25), _xlpm.fake, MAX(0,25-_xlpm.g), IF(_xlpm.g=0,0,(_xlpm.w + _xlpm.fake*0.25)/(_xlpm.g + _xlpm.fake)))</f>
        <v>0.31</v>
      </c>
      <c r="P9" s="7">
        <f>_xlfn.RANK.EQ(View_Table[[#This Row],[Weighted Win% Previous]], View_Table[Weighted Win% Previous], 0)</f>
        <v>3</v>
      </c>
    </row>
    <row r="10" spans="2:16" x14ac:dyDescent="0.35">
      <c r="B10" s="3" t="s">
        <v>11</v>
      </c>
      <c r="C10" s="6">
        <f>View_Table[[#This Row],[Rank Previous]]-View_Table[[#This Row],[Rank]]</f>
        <v>2</v>
      </c>
      <c r="D10" s="7">
        <f>_xlfn.RANK.EQ(View_Table[[#This Row],[Weighted Win%]], View_Table[Weighted Win%], 0)</f>
        <v>5</v>
      </c>
      <c r="E10" s="9">
        <f>_xlfn.LET(_xlpm.g,View_Table[[#This Row],[Games]], _xlpm.w,(View_Table[[#This Row],[Wins]] + View_Table[[#This Row],[Draws]] * 0.25), _xlpm.fake, MAX(0,25-_xlpm.g), IF(_xlpm.g=0,0,(_xlpm.w + _xlpm.fake*0.25)/(_xlpm.g + _xlpm.fake)))</f>
        <v>0.3</v>
      </c>
      <c r="F10" s="8">
        <f>IF(View_Table[[#This Row],[Games]]=0,0,(View_Table[[#This Row],[Wins]] + (View_Table[[#This Row],[Draws]] * 0.25))/View_Table[[#This Row],[Games]])</f>
        <v>0.5625</v>
      </c>
      <c r="G10" s="5">
        <f>IFERROR(
    GETPIVOTDATA(
        "Result",
        'Pivot Table'!$A$3,
        "Player",View_Table[[#This Row],[Player]],
        "Result","Win"
    ),
    0
)</f>
        <v>2</v>
      </c>
      <c r="H10" s="5">
        <f>IFERROR(
    GETPIVOTDATA(
        "Result",
        'Pivot Table'!$A$3,
        "Player",View_Table[[#This Row],[Player]],
        "Result","Loss"
    ),
    0
)</f>
        <v>1</v>
      </c>
      <c r="I10" s="5">
        <f>IFERROR(
    GETPIVOTDATA(
        "Result",
        'Pivot Table'!$A$3,
        "Player",View_Table[[#This Row],[Player]],
        "Result","Draw"
    ),
    0
)</f>
        <v>1</v>
      </c>
      <c r="J10" s="5">
        <f>View_Table[[#This Row],[Wins]]+View_Table[[#This Row],[Losses]]+View_Table[[#This Row],[Draws]]</f>
        <v>4</v>
      </c>
      <c r="K10" s="7">
        <f>IFERROR(
    GETPIVOTDATA(
        "Result",
        'Pivot Table Previous'!$A$3,
        "Player",View_Table[[#This Row],[Player]],
        "Result","Win"
    ),
    0
)</f>
        <v>1</v>
      </c>
      <c r="L10" s="5">
        <f>IFERROR(
    GETPIVOTDATA(
        "Result",
        'Pivot Table Previous'!$A$3,
        "Player",View_Table[[#This Row],[Player]],
        "Result","Loss"
    ),
    0
)</f>
        <v>1</v>
      </c>
      <c r="M10" s="5">
        <f>IFERROR(
    GETPIVOTDATA(
        "Result",
        'Pivot Table Previous'!$A$3,
        "Player",View_Table[[#This Row],[Player]],
        "Result","Draw"
    ),
    0
)</f>
        <v>0</v>
      </c>
      <c r="N10" s="5">
        <f>View_Table[[#This Row],[Wins Previous]]+View_Table[[#This Row],[Losses Previous]]+View_Table[[#This Row],[Draws Previous]]</f>
        <v>2</v>
      </c>
      <c r="O10" s="9">
        <f>_xlfn.LET(_xlpm.g,View_Table[[#This Row],[Games Previous]], _xlpm.w,(View_Table[[#This Row],[Wins Previous]] + View_Table[[#This Row],[Draws Previous]] * 0.25), _xlpm.fake, MAX(0,25-_xlpm.g), IF(_xlpm.g=0,0,(_xlpm.w + _xlpm.fake*0.25)/(_xlpm.g + _xlpm.fake)))</f>
        <v>0.27</v>
      </c>
      <c r="P10" s="7">
        <f>_xlfn.RANK.EQ(View_Table[[#This Row],[Weighted Win% Previous]], View_Table[Weighted Win% Previous], 0)</f>
        <v>7</v>
      </c>
    </row>
    <row r="11" spans="2:16" hidden="1" x14ac:dyDescent="0.35">
      <c r="B11" s="3" t="s">
        <v>322</v>
      </c>
      <c r="C11" s="6">
        <f>View_Table[[#This Row],[Rank Previous]]-View_Table[[#This Row],[Rank]]</f>
        <v>-3</v>
      </c>
      <c r="D11" s="7">
        <f>_xlfn.RANK.EQ(View_Table[[#This Row],[Weighted Win%]], View_Table[Weighted Win%], 0)</f>
        <v>32</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29</v>
      </c>
    </row>
    <row r="12" spans="2:16" x14ac:dyDescent="0.35">
      <c r="B12" s="3" t="s">
        <v>7</v>
      </c>
      <c r="C12" s="6">
        <f>View_Table[[#This Row],[Rank Previous]]-View_Table[[#This Row],[Rank]]</f>
        <v>2</v>
      </c>
      <c r="D12" s="7">
        <f>_xlfn.RANK.EQ(View_Table[[#This Row],[Weighted Win%]], View_Table[Weighted Win%], 0)</f>
        <v>5</v>
      </c>
      <c r="E12" s="9">
        <f>_xlfn.LET(_xlpm.g,View_Table[[#This Row],[Games]], _xlpm.w,(View_Table[[#This Row],[Wins]] + View_Table[[#This Row],[Draws]] * 0.25), _xlpm.fake, MAX(0,25-_xlpm.g), IF(_xlpm.g=0,0,(_xlpm.w + _xlpm.fake*0.25)/(_xlpm.g + _xlpm.fake)))</f>
        <v>0.3</v>
      </c>
      <c r="F12" s="8">
        <f>IF(View_Table[[#This Row],[Games]]=0,0,(View_Table[[#This Row],[Wins]] + (View_Table[[#This Row],[Draws]] * 0.25))/View_Table[[#This Row],[Games]])</f>
        <v>0.35416666666666669</v>
      </c>
      <c r="G12" s="5">
        <f>IFERROR(
    GETPIVOTDATA(
        "Result",
        'Pivot Table'!$A$3,
        "Player",View_Table[[#This Row],[Player]],
        "Result","Win"
    ),
    0
)</f>
        <v>4</v>
      </c>
      <c r="H12" s="5">
        <f>IFERROR(
    GETPIVOTDATA(
        "Result",
        'Pivot Table'!$A$3,
        "Player",View_Table[[#This Row],[Player]],
        "Result","Loss"
    ),
    0
)</f>
        <v>7</v>
      </c>
      <c r="I12" s="5">
        <f>IFERROR(
    GETPIVOTDATA(
        "Result",
        'Pivot Table'!$A$3,
        "Player",View_Table[[#This Row],[Player]],
        "Result","Draw"
    ),
    0
)</f>
        <v>1</v>
      </c>
      <c r="J12" s="5">
        <f>View_Table[[#This Row],[Wins]]+View_Table[[#This Row],[Losses]]+View_Table[[#This Row],[Draws]]</f>
        <v>12</v>
      </c>
      <c r="K12" s="5">
        <f>IFERROR(
    GETPIVOTDATA(
        "Result",
        'Pivot Table Previous'!$A$3,
        "Player",View_Table[[#This Row],[Player]],
        "Result","Win"
    ),
    0
)</f>
        <v>3</v>
      </c>
      <c r="L12" s="5">
        <f>IFERROR(
    GETPIVOTDATA(
        "Result",
        'Pivot Table Previous'!$A$3,
        "Player",View_Table[[#This Row],[Player]],
        "Result","Loss"
    ),
    0
)</f>
        <v>7</v>
      </c>
      <c r="M12" s="5">
        <f>IFERROR(
    GETPIVOTDATA(
        "Result",
        'Pivot Table Previous'!$A$3,
        "Player",View_Table[[#This Row],[Player]],
        "Result","Draw"
    ),
    0
)</f>
        <v>0</v>
      </c>
      <c r="N12" s="5">
        <f>View_Table[[#This Row],[Wins Previous]]+View_Table[[#This Row],[Losses Previous]]+View_Table[[#This Row],[Draws Previous]]</f>
        <v>10</v>
      </c>
      <c r="O12" s="9">
        <f>_xlfn.LET(_xlpm.g,View_Table[[#This Row],[Games Previous]], _xlpm.w,(View_Table[[#This Row],[Wins Previous]] + View_Table[[#This Row],[Draws Previous]] * 0.25), _xlpm.fake, MAX(0,25-_xlpm.g), IF(_xlpm.g=0,0,(_xlpm.w + _xlpm.fake*0.25)/(_xlpm.g + _xlpm.fake)))</f>
        <v>0.27</v>
      </c>
      <c r="P12" s="7">
        <f>IF(View_Table[[#This Row],[Games Previous]]=0,
    View_Table[[#This Row],[Rank]],
    _xlfn.RANK.EQ(View_Table[[#This Row],[Weighted Win% Previous]], View_Table[Weighted Win% Previous], 0)
)</f>
        <v>7</v>
      </c>
    </row>
    <row r="13" spans="2:16" x14ac:dyDescent="0.35">
      <c r="B13" s="3" t="s">
        <v>405</v>
      </c>
      <c r="C13" s="6">
        <f>View_Table[[#This Row],[Rank Previous]]-View_Table[[#This Row],[Rank]]</f>
        <v>-2</v>
      </c>
      <c r="D13" s="7">
        <f>_xlfn.RANK.EQ(View_Table[[#This Row],[Weighted Win%]], View_Table[Weighted Win%], 0)</f>
        <v>7</v>
      </c>
      <c r="E13" s="9">
        <f>_xlfn.LET(_xlpm.g,View_Table[[#This Row],[Games]], _xlpm.w,(View_Table[[#This Row],[Wins]] + View_Table[[#This Row],[Draws]] * 0.25), _xlpm.fake, MAX(0,25-_xlpm.g), IF(_xlpm.g=0,0,(_xlpm.w + _xlpm.fake*0.25)/(_xlpm.g + _xlpm.fake)))</f>
        <v>0.28000000000000003</v>
      </c>
      <c r="F13" s="8">
        <f>IF(View_Table[[#This Row],[Games]]=0,0,(View_Table[[#This Row],[Wins]] + (View_Table[[#This Row],[Draws]] * 0.25))/View_Table[[#This Row],[Games]])</f>
        <v>0.34375</v>
      </c>
      <c r="G13" s="5">
        <f>IFERROR(
    GETPIVOTDATA(
        "Result",
        'Pivot Table'!$A$3,
        "Player",View_Table[[#This Row],[Player]],
        "Result","Win"
    ),
    0
)</f>
        <v>2</v>
      </c>
      <c r="H13" s="5">
        <f>IFERROR(
    GETPIVOTDATA(
        "Result",
        'Pivot Table'!$A$3,
        "Player",View_Table[[#This Row],[Player]],
        "Result","Loss"
    ),
    0
)</f>
        <v>3</v>
      </c>
      <c r="I13" s="5">
        <f>IFERROR(
    GETPIVOTDATA(
        "Result",
        'Pivot Table'!$A$3,
        "Player",View_Table[[#This Row],[Player]],
        "Result","Draw"
    ),
    0
)</f>
        <v>3</v>
      </c>
      <c r="J13" s="5">
        <f>View_Table[[#This Row],[Wins]]+View_Table[[#This Row],[Losses]]+View_Table[[#This Row],[Draws]]</f>
        <v>8</v>
      </c>
      <c r="K13" s="7">
        <f>IFERROR(
    GETPIVOTDATA(
        "Result",
        'Pivot Table Previous'!$A$3,
        "Player",View_Table[[#This Row],[Player]],
        "Result","Win"
    ),
    0
)</f>
        <v>2</v>
      </c>
      <c r="L13" s="5">
        <f>IFERROR(
    GETPIVOTDATA(
        "Result",
        'Pivot Table Previous'!$A$3,
        "Player",View_Table[[#This Row],[Player]],
        "Result","Loss"
    ),
    0
)</f>
        <v>2</v>
      </c>
      <c r="M13" s="5">
        <f>IFERROR(
    GETPIVOTDATA(
        "Result",
        'Pivot Table Previous'!$A$3,
        "Player",View_Table[[#This Row],[Player]],
        "Result","Draw"
    ),
    0
)</f>
        <v>2</v>
      </c>
      <c r="N13" s="5">
        <f>View_Table[[#This Row],[Wins Previous]]+View_Table[[#This Row],[Losses Previous]]+View_Table[[#This Row],[Draws Previous]]</f>
        <v>6</v>
      </c>
      <c r="O13" s="9">
        <f>_xlfn.LET(_xlpm.g,View_Table[[#This Row],[Games Previous]], _xlpm.w,(View_Table[[#This Row],[Wins Previous]] + View_Table[[#This Row],[Draws Previous]] * 0.25), _xlpm.fake, MAX(0,25-_xlpm.g), IF(_xlpm.g=0,0,(_xlpm.w + _xlpm.fake*0.25)/(_xlpm.g + _xlpm.fake)))</f>
        <v>0.28999999999999998</v>
      </c>
      <c r="P13" s="7">
        <f>_xlfn.RANK.EQ(View_Table[[#This Row],[Weighted Win% Previous]], View_Table[Weighted Win% Previous], 0)</f>
        <v>5</v>
      </c>
    </row>
    <row r="14" spans="2:16" x14ac:dyDescent="0.35">
      <c r="B14" s="3" t="s">
        <v>9</v>
      </c>
      <c r="C14" s="6">
        <f>View_Table[[#This Row],[Rank Previous]]-View_Table[[#This Row],[Rank]]</f>
        <v>-1</v>
      </c>
      <c r="D14" s="7">
        <f>_xlfn.RANK.EQ(View_Table[[#This Row],[Weighted Win%]], View_Table[Weighted Win%], 0)</f>
        <v>7</v>
      </c>
      <c r="E14" s="9">
        <f>_xlfn.LET(_xlpm.g,View_Table[[#This Row],[Games]], _xlpm.w,(View_Table[[#This Row],[Wins]] + View_Table[[#This Row],[Draws]] * 0.25), _xlpm.fake, MAX(0,25-_xlpm.g), IF(_xlpm.g=0,0,(_xlpm.w + _xlpm.fake*0.25)/(_xlpm.g + _xlpm.fake)))</f>
        <v>0.28000000000000003</v>
      </c>
      <c r="F14" s="8">
        <f>IF(View_Table[[#This Row],[Games]]=0,0,(View_Table[[#This Row],[Wins]] + (View_Table[[#This Row],[Draws]] * 0.25))/View_Table[[#This Row],[Games]])</f>
        <v>0.32500000000000001</v>
      </c>
      <c r="G14" s="5">
        <f>IFERROR(
    GETPIVOTDATA(
        "Result",
        'Pivot Table'!$A$3,
        "Player",View_Table[[#This Row],[Player]],
        "Result","Win"
    ),
    0
)</f>
        <v>2</v>
      </c>
      <c r="H14" s="5">
        <f>IFERROR(
    GETPIVOTDATA(
        "Result",
        'Pivot Table'!$A$3,
        "Player",View_Table[[#This Row],[Player]],
        "Result","Loss"
    ),
    0
)</f>
        <v>3</v>
      </c>
      <c r="I14" s="5">
        <f>IFERROR(
    GETPIVOTDATA(
        "Result",
        'Pivot Table'!$A$3,
        "Player",View_Table[[#This Row],[Player]],
        "Result","Draw"
    ),
    0
)</f>
        <v>5</v>
      </c>
      <c r="J14" s="5">
        <f>View_Table[[#This Row],[Wins]]+View_Table[[#This Row],[Losses]]+View_Table[[#This Row],[Draws]]</f>
        <v>10</v>
      </c>
      <c r="K14" s="7">
        <f>IFERROR(
    GETPIVOTDATA(
        "Result",
        'Pivot Table Previous'!$A$3,
        "Player",View_Table[[#This Row],[Player]],
        "Result","Win"
    ),
    0
)</f>
        <v>2</v>
      </c>
      <c r="L14" s="5">
        <f>IFERROR(
    GETPIVOTDATA(
        "Result",
        'Pivot Table Previous'!$A$3,
        "Player",View_Table[[#This Row],[Player]],
        "Result","Loss"
    ),
    0
)</f>
        <v>3</v>
      </c>
      <c r="M14" s="5">
        <f>IFERROR(
    GETPIVOTDATA(
        "Result",
        'Pivot Table Previous'!$A$3,
        "Player",View_Table[[#This Row],[Player]],
        "Result","Draw"
    ),
    0
)</f>
        <v>3</v>
      </c>
      <c r="N14" s="5">
        <f>View_Table[[#This Row],[Wins Previous]]+View_Table[[#This Row],[Losses Previous]]+View_Table[[#This Row],[Draws Previous]]</f>
        <v>8</v>
      </c>
      <c r="O14" s="9">
        <f>_xlfn.LET(_xlpm.g,View_Table[[#This Row],[Games Previous]], _xlpm.w,(View_Table[[#This Row],[Wins Previous]] + View_Table[[#This Row],[Draws Previous]] * 0.25), _xlpm.fake, MAX(0,25-_xlpm.g), IF(_xlpm.g=0,0,(_xlpm.w + _xlpm.fake*0.25)/(_xlpm.g + _xlpm.fake)))</f>
        <v>0.28000000000000003</v>
      </c>
      <c r="P14" s="7">
        <f>_xlfn.RANK.EQ(View_Table[[#This Row],[Weighted Win% Previous]], View_Table[Weighted Win% Previous], 0)</f>
        <v>6</v>
      </c>
    </row>
    <row r="15" spans="2:16" hidden="1" x14ac:dyDescent="0.35">
      <c r="B15" s="3" t="s">
        <v>421</v>
      </c>
      <c r="C15" s="6">
        <f>View_Table[[#This Row],[Rank Previous]]-View_Table[[#This Row],[Rank]]</f>
        <v>-3</v>
      </c>
      <c r="D15" s="7">
        <f>_xlfn.RANK.EQ(View_Table[[#This Row],[Weighted Win%]], View_Table[Weighted Win%], 0)</f>
        <v>32</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29</v>
      </c>
    </row>
    <row r="16" spans="2:16" x14ac:dyDescent="0.35">
      <c r="B16" s="3" t="s">
        <v>622</v>
      </c>
      <c r="C16" s="6">
        <f>View_Table[[#This Row],[Rank Previous]]-View_Table[[#This Row],[Rank]]</f>
        <v>-3</v>
      </c>
      <c r="D16" s="7">
        <f>_xlfn.RANK.EQ(View_Table[[#This Row],[Weighted Win%]], View_Table[Weighted Win%], 0)</f>
        <v>10</v>
      </c>
      <c r="E16" s="9">
        <f>_xlfn.LET(_xlpm.g,View_Table[[#This Row],[Games]], _xlpm.w,(View_Table[[#This Row],[Wins]] + View_Table[[#This Row],[Draws]] * 0.25), _xlpm.fake, MAX(0,25-_xlpm.g), IF(_xlpm.g=0,0,(_xlpm.w + _xlpm.fake*0.25)/(_xlpm.g + _xlpm.fake)))</f>
        <v>0.27</v>
      </c>
      <c r="F16" s="8">
        <f>IF(View_Table[[#This Row],[Games]]=0,0,(View_Table[[#This Row],[Wins]] + (View_Table[[#This Row],[Draws]] * 0.25))/View_Table[[#This Row],[Games]])</f>
        <v>0.33333333333333331</v>
      </c>
      <c r="G16" s="5">
        <f>IFERROR(
    GETPIVOTDATA(
        "Result",
        'Pivot Table'!$A$3,
        "Player",View_Table[[#This Row],[Player]],
        "Result","Win"
    ),
    0
)</f>
        <v>2</v>
      </c>
      <c r="H16" s="5">
        <f>IFERROR(
    GETPIVOTDATA(
        "Result",
        'Pivot Table'!$A$3,
        "Player",View_Table[[#This Row],[Player]],
        "Result","Loss"
    ),
    0
)</f>
        <v>4</v>
      </c>
      <c r="I16" s="5">
        <f>IFERROR(
    GETPIVOTDATA(
        "Result",
        'Pivot Table'!$A$3,
        "Player",View_Table[[#This Row],[Player]],
        "Result","Draw"
    ),
    0
)</f>
        <v>0</v>
      </c>
      <c r="J16" s="5">
        <f>View_Table[[#This Row],[Wins]]+View_Table[[#This Row],[Losses]]+View_Table[[#This Row],[Draws]]</f>
        <v>6</v>
      </c>
      <c r="K16" s="7">
        <f>IFERROR(
    GETPIVOTDATA(
        "Result",
        'Pivot Table Previous'!$A$3,
        "Player",View_Table[[#This Row],[Player]],
        "Result","Win"
    ),
    0
)</f>
        <v>2</v>
      </c>
      <c r="L16" s="5">
        <f>IFERROR(
    GETPIVOTDATA(
        "Result",
        'Pivot Table Previous'!$A$3,
        "Player",View_Table[[#This Row],[Player]],
        "Result","Loss"
    ),
    0
)</f>
        <v>4</v>
      </c>
      <c r="M16" s="5">
        <f>IFERROR(
    GETPIVOTDATA(
        "Result",
        'Pivot Table Previous'!$A$3,
        "Player",View_Table[[#This Row],[Player]],
        "Result","Draw"
    ),
    0
)</f>
        <v>0</v>
      </c>
      <c r="N16" s="5">
        <f>View_Table[[#This Row],[Wins Previous]]+View_Table[[#This Row],[Losses Previous]]+View_Table[[#This Row],[Draws Previous]]</f>
        <v>6</v>
      </c>
      <c r="O16" s="9">
        <f>_xlfn.LET(_xlpm.g,View_Table[[#This Row],[Games Previous]], _xlpm.w,(View_Table[[#This Row],[Wins Previous]] + View_Table[[#This Row],[Draws Previous]] * 0.25), _xlpm.fake, MAX(0,25-_xlpm.g), IF(_xlpm.g=0,0,(_xlpm.w + _xlpm.fake*0.25)/(_xlpm.g + _xlpm.fake)))</f>
        <v>0.27</v>
      </c>
      <c r="P16" s="7">
        <f>_xlfn.RANK.EQ(View_Table[[#This Row],[Weighted Win% Previous]], View_Table[Weighted Win% Previous], 0)</f>
        <v>7</v>
      </c>
    </row>
    <row r="17" spans="2:16" hidden="1" x14ac:dyDescent="0.35">
      <c r="B17" s="3" t="s">
        <v>402</v>
      </c>
      <c r="C17" s="6">
        <f>View_Table[[#This Row],[Rank Previous]]-View_Table[[#This Row],[Rank]]</f>
        <v>-3</v>
      </c>
      <c r="D17" s="7">
        <f>_xlfn.RANK.EQ(View_Table[[#This Row],[Weighted Win%]], View_Table[Weighted Win%], 0)</f>
        <v>32</v>
      </c>
      <c r="E17" s="9">
        <f>_xlfn.LET(_xlpm.g,View_Table[[#This Row],[Games]], _xlpm.w,(View_Table[[#This Row],[Wins]] + View_Table[[#This Row],[Draws]] * 0.25), _xlpm.fake, MAX(0,25-_xlpm.g), IF(_xlpm.g=0,0,(_xlpm.w + _xlpm.fake*0.25)/(_xlpm.g + _xlpm.fake)))</f>
        <v>0</v>
      </c>
      <c r="F17" s="8">
        <f>IF(View_Table[[#This Row],[Games]]=0,0,(View_Table[[#This Row],[Wins]] + (View_Table[[#This Row],[Draws]] * 0.25))/View_Table[[#This Row],[Games]])</f>
        <v>0</v>
      </c>
      <c r="G17" s="5">
        <f>IFERROR(
    GETPIVOTDATA(
        "Result",
        'Pivot Table'!$A$3,
        "Player",View_Table[[#This Row],[Player]],
        "Result","Win"
    ),
    0
)</f>
        <v>0</v>
      </c>
      <c r="H17" s="5">
        <f>IFERROR(
    GETPIVOTDATA(
        "Result",
        'Pivot Table'!$A$3,
        "Player",View_Table[[#This Row],[Player]],
        "Result","Loss"
    ),
    0
)</f>
        <v>0</v>
      </c>
      <c r="I17" s="5">
        <f>IFERROR(
    GETPIVOTDATA(
        "Result",
        'Pivot Table'!$A$3,
        "Player",View_Table[[#This Row],[Player]],
        "Result","Draw"
    ),
    0
)</f>
        <v>0</v>
      </c>
      <c r="J17" s="5">
        <f>View_Table[[#This Row],[Wins]]+View_Table[[#This Row],[Losses]]+View_Table[[#This Row],[Draws]]</f>
        <v>0</v>
      </c>
      <c r="K17" s="7">
        <f>IFERROR(
    GETPIVOTDATA(
        "Result",
        'Pivot Table Previous'!$A$3,
        "Player",View_Table[[#This Row],[Player]],
        "Result","Win"
    ),
    0
)</f>
        <v>0</v>
      </c>
      <c r="L17" s="5">
        <f>IFERROR(
    GETPIVOTDATA(
        "Result",
        'Pivot Table Previous'!$A$3,
        "Player",View_Table[[#This Row],[Player]],
        "Result","Loss"
    ),
    0
)</f>
        <v>0</v>
      </c>
      <c r="M17" s="5">
        <f>IFERROR(
    GETPIVOTDATA(
        "Result",
        'Pivot Table Previous'!$A$3,
        "Player",View_Table[[#This Row],[Player]],
        "Result","Draw"
    ),
    0
)</f>
        <v>0</v>
      </c>
      <c r="N17" s="5">
        <f>View_Table[[#This Row],[Wins Previous]]+View_Table[[#This Row],[Losses Previous]]+View_Table[[#This Row],[Draws Previous]]</f>
        <v>0</v>
      </c>
      <c r="O17" s="9">
        <f>_xlfn.LET(_xlpm.g,View_Table[[#This Row],[Games Previous]], _xlpm.w,(View_Table[[#This Row],[Wins Previous]] + View_Table[[#This Row],[Draws Previous]] * 0.25), _xlpm.fake, MAX(0,25-_xlpm.g), IF(_xlpm.g=0,0,(_xlpm.w + _xlpm.fake*0.25)/(_xlpm.g + _xlpm.fake)))</f>
        <v>0</v>
      </c>
      <c r="P17" s="7">
        <f>_xlfn.RANK.EQ(View_Table[[#This Row],[Weighted Win% Previous]], View_Table[Weighted Win% Previous], 0)</f>
        <v>29</v>
      </c>
    </row>
    <row r="18" spans="2:16" x14ac:dyDescent="0.35">
      <c r="B18" s="3" t="s">
        <v>326</v>
      </c>
      <c r="C18" s="6">
        <f>View_Table[[#This Row],[Rank Previous]]-View_Table[[#This Row],[Rank]]</f>
        <v>1</v>
      </c>
      <c r="D18" s="7">
        <f>_xlfn.RANK.EQ(View_Table[[#This Row],[Weighted Win%]], View_Table[Weighted Win%], 0)</f>
        <v>11</v>
      </c>
      <c r="E18" s="9">
        <f>_xlfn.LET(_xlpm.g,View_Table[[#This Row],[Games]], _xlpm.w,(View_Table[[#This Row],[Wins]] + View_Table[[#This Row],[Draws]] * 0.25), _xlpm.fake, MAX(0,25-_xlpm.g), IF(_xlpm.g=0,0,(_xlpm.w + _xlpm.fake*0.25)/(_xlpm.g + _xlpm.fake)))</f>
        <v>0.26</v>
      </c>
      <c r="F18" s="8">
        <f>IF(View_Table[[#This Row],[Games]]=0,0,(View_Table[[#This Row],[Wins]] + (View_Table[[#This Row],[Draws]] * 0.25))/View_Table[[#This Row],[Games]])</f>
        <v>0.3125</v>
      </c>
      <c r="G18" s="5">
        <f>IFERROR(
    GETPIVOTDATA(
        "Result",
        'Pivot Table'!$A$3,
        "Player",View_Table[[#This Row],[Player]],
        "Result","Win"
    ),
    0
)</f>
        <v>1</v>
      </c>
      <c r="H18" s="5">
        <f>IFERROR(
    GETPIVOTDATA(
        "Result",
        'Pivot Table'!$A$3,
        "Player",View_Table[[#This Row],[Player]],
        "Result","Loss"
    ),
    0
)</f>
        <v>2</v>
      </c>
      <c r="I18" s="5">
        <f>IFERROR(
    GETPIVOTDATA(
        "Result",
        'Pivot Table'!$A$3,
        "Player",View_Table[[#This Row],[Player]],
        "Result","Draw"
    ),
    0
)</f>
        <v>1</v>
      </c>
      <c r="J18" s="5">
        <f>View_Table[[#This Row],[Wins]]+View_Table[[#This Row],[Losses]]+View_Table[[#This Row],[Draws]]</f>
        <v>4</v>
      </c>
      <c r="K18" s="7">
        <f>IFERROR(
    GETPIVOTDATA(
        "Result",
        'Pivot Table Previous'!$A$3,
        "Player",View_Table[[#This Row],[Player]],
        "Result","Win"
    ),
    0
)</f>
        <v>1</v>
      </c>
      <c r="L18" s="5">
        <f>IFERROR(
    GETPIVOTDATA(
        "Result",
        'Pivot Table Previous'!$A$3,
        "Player",View_Table[[#This Row],[Player]],
        "Result","Loss"
    ),
    0
)</f>
        <v>2</v>
      </c>
      <c r="M18" s="5">
        <f>IFERROR(
    GETPIVOTDATA(
        "Result",
        'Pivot Table Previous'!$A$3,
        "Player",View_Table[[#This Row],[Player]],
        "Result","Draw"
    ),
    0
)</f>
        <v>1</v>
      </c>
      <c r="N18" s="5">
        <f>View_Table[[#This Row],[Wins Previous]]+View_Table[[#This Row],[Losses Previous]]+View_Table[[#This Row],[Draws Previous]]</f>
        <v>4</v>
      </c>
      <c r="O18" s="9">
        <f>_xlfn.LET(_xlpm.g,View_Table[[#This Row],[Games Previous]], _xlpm.w,(View_Table[[#This Row],[Wins Previous]] + View_Table[[#This Row],[Draws Previous]] * 0.25), _xlpm.fake, MAX(0,25-_xlpm.g), IF(_xlpm.g=0,0,(_xlpm.w + _xlpm.fake*0.25)/(_xlpm.g + _xlpm.fake)))</f>
        <v>0.26</v>
      </c>
      <c r="P18" s="7">
        <f>_xlfn.RANK.EQ(View_Table[[#This Row],[Weighted Win% Previous]], View_Table[Weighted Win% Previous], 0)</f>
        <v>12</v>
      </c>
    </row>
    <row r="19" spans="2:16" hidden="1" x14ac:dyDescent="0.35">
      <c r="B19" s="3" t="s">
        <v>296</v>
      </c>
      <c r="C19" s="6">
        <f>View_Table[[#This Row],[Rank Previous]]-View_Table[[#This Row],[Rank]]</f>
        <v>-3</v>
      </c>
      <c r="D19" s="7">
        <f>_xlfn.RANK.EQ(View_Table[[#This Row],[Weighted Win%]], View_Table[Weighted Win%], 0)</f>
        <v>32</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29</v>
      </c>
    </row>
    <row r="20" spans="2:16" hidden="1" x14ac:dyDescent="0.35">
      <c r="B20" s="3" t="s">
        <v>607</v>
      </c>
      <c r="C20" s="6">
        <f>View_Table[[#This Row],[Rank Previous]]-View_Table[[#This Row],[Rank]]</f>
        <v>-3</v>
      </c>
      <c r="D20" s="7">
        <f>_xlfn.RANK.EQ(View_Table[[#This Row],[Weighted Win%]], View_Table[Weighted Win%], 0)</f>
        <v>32</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29</v>
      </c>
    </row>
    <row r="21" spans="2:16" hidden="1" x14ac:dyDescent="0.35">
      <c r="B21" s="3" t="s">
        <v>22</v>
      </c>
      <c r="C21" s="6">
        <f>View_Table[[#This Row],[Rank Previous]]-View_Table[[#This Row],[Rank]]</f>
        <v>0</v>
      </c>
      <c r="D21" s="7">
        <f>_xlfn.RANK.EQ(View_Table[[#This Row],[Weighted Win%]], View_Table[Weighted Win%], 0)</f>
        <v>32</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32</v>
      </c>
    </row>
    <row r="22" spans="2:16" x14ac:dyDescent="0.35">
      <c r="B22" s="3" t="s">
        <v>364</v>
      </c>
      <c r="C22" s="6">
        <f>View_Table[[#This Row],[Rank Previous]]-View_Table[[#This Row],[Rank]]</f>
        <v>17</v>
      </c>
      <c r="D22" s="7">
        <f>_xlfn.RANK.EQ(View_Table[[#This Row],[Weighted Win%]], View_Table[Weighted Win%], 0)</f>
        <v>12</v>
      </c>
      <c r="E22" s="9">
        <f>_xlfn.LET(_xlpm.g,View_Table[[#This Row],[Games]], _xlpm.w,(View_Table[[#This Row],[Wins]] + View_Table[[#This Row],[Draws]] * 0.25), _xlpm.fake, MAX(0,25-_xlpm.g), IF(_xlpm.g=0,0,(_xlpm.w + _xlpm.fake*0.25)/(_xlpm.g + _xlpm.fake)))</f>
        <v>0.25</v>
      </c>
      <c r="F22" s="8">
        <f>IF(View_Table[[#This Row],[Games]]=0,0,(View_Table[[#This Row],[Wins]] + (View_Table[[#This Row],[Draws]] * 0.25))/View_Table[[#This Row],[Games]])</f>
        <v>0.25</v>
      </c>
      <c r="G22" s="5">
        <f>IFERROR(
    GETPIVOTDATA(
        "Result",
        'Pivot Table'!$A$3,
        "Player",View_Table[[#This Row],[Player]],
        "Result","Win"
    ),
    0
)</f>
        <v>0</v>
      </c>
      <c r="H22" s="5">
        <f>IFERROR(
    GETPIVOTDATA(
        "Result",
        'Pivot Table'!$A$3,
        "Player",View_Table[[#This Row],[Player]],
        "Result","Loss"
    ),
    0
)</f>
        <v>0</v>
      </c>
      <c r="I22" s="5">
        <f>IFERROR(
    GETPIVOTDATA(
        "Result",
        'Pivot Table'!$A$3,
        "Player",View_Table[[#This Row],[Player]],
        "Result","Draw"
    ),
    0
)</f>
        <v>2</v>
      </c>
      <c r="J22" s="5">
        <f>View_Table[[#This Row],[Wins]]+View_Table[[#This Row],[Losses]]+View_Table[[#This Row],[Draws]]</f>
        <v>2</v>
      </c>
      <c r="K22" s="7">
        <f>IFERROR(
    GETPIVOTDATA(
        "Result",
        'Pivot Table Previous'!$A$3,
        "Player",View_Table[[#This Row],[Player]],
        "Result","Win"
    ),
    0
)</f>
        <v>0</v>
      </c>
      <c r="L22" s="5">
        <f>IFERROR(
    GETPIVOTDATA(
        "Result",
        'Pivot Table Previous'!$A$3,
        "Player",View_Table[[#This Row],[Player]],
        "Result","Loss"
    ),
    0
)</f>
        <v>0</v>
      </c>
      <c r="M22" s="5">
        <f>IFERROR(
    GETPIVOTDATA(
        "Result",
        'Pivot Table Previous'!$A$3,
        "Player",View_Table[[#This Row],[Player]],
        "Result","Draw"
    ),
    0
)</f>
        <v>0</v>
      </c>
      <c r="N22" s="5">
        <f>View_Table[[#This Row],[Wins Previous]]+View_Table[[#This Row],[Losses Previous]]+View_Table[[#This Row],[Draws Previous]]</f>
        <v>0</v>
      </c>
      <c r="O22" s="9">
        <f>_xlfn.LET(_xlpm.g,View_Table[[#This Row],[Games Previous]], _xlpm.w,(View_Table[[#This Row],[Wins Previous]] + View_Table[[#This Row],[Draws Previous]] * 0.25), _xlpm.fake, MAX(0,25-_xlpm.g), IF(_xlpm.g=0,0,(_xlpm.w + _xlpm.fake*0.25)/(_xlpm.g + _xlpm.fake)))</f>
        <v>0</v>
      </c>
      <c r="P22" s="7">
        <f>_xlfn.RANK.EQ(View_Table[[#This Row],[Weighted Win% Previous]], View_Table[Weighted Win% Previous], 0)</f>
        <v>29</v>
      </c>
    </row>
    <row r="23" spans="2:16" hidden="1" x14ac:dyDescent="0.35">
      <c r="B23" s="3" t="s">
        <v>432</v>
      </c>
      <c r="C23" s="6">
        <f>View_Table[[#This Row],[Rank Previous]]-View_Table[[#This Row],[Rank]]</f>
        <v>-3</v>
      </c>
      <c r="D23" s="7">
        <f>_xlfn.RANK.EQ(View_Table[[#This Row],[Weighted Win%]], View_Table[Weighted Win%], 0)</f>
        <v>32</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29</v>
      </c>
    </row>
    <row r="24" spans="2:16" hidden="1" x14ac:dyDescent="0.35">
      <c r="B24" s="3" t="s">
        <v>400</v>
      </c>
      <c r="C24" s="6">
        <f>View_Table[[#This Row],[Rank Previous]]-View_Table[[#This Row],[Rank]]</f>
        <v>-3</v>
      </c>
      <c r="D24" s="7">
        <f>_xlfn.RANK.EQ(View_Table[[#This Row],[Weighted Win%]], View_Table[Weighted Win%], 0)</f>
        <v>32</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29</v>
      </c>
    </row>
    <row r="25" spans="2:16" hidden="1" x14ac:dyDescent="0.35">
      <c r="B25" s="3" t="s">
        <v>406</v>
      </c>
      <c r="C25" s="6">
        <f>View_Table[[#This Row],[Rank Previous]]-View_Table[[#This Row],[Rank]]</f>
        <v>-3</v>
      </c>
      <c r="D25" s="7">
        <f>_xlfn.RANK.EQ(View_Table[[#This Row],[Weighted Win%]], View_Table[Weighted Win%], 0)</f>
        <v>32</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29</v>
      </c>
    </row>
    <row r="26" spans="2:16" hidden="1" x14ac:dyDescent="0.35">
      <c r="B26" s="3" t="s">
        <v>386</v>
      </c>
      <c r="C26" s="6">
        <f>View_Table[[#This Row],[Rank Previous]]-View_Table[[#This Row],[Rank]]</f>
        <v>-3</v>
      </c>
      <c r="D26" s="7">
        <f>_xlfn.RANK.EQ(View_Table[[#This Row],[Weighted Win%]], View_Table[Weighted Win%], 0)</f>
        <v>32</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29</v>
      </c>
    </row>
    <row r="27" spans="2:16" hidden="1" x14ac:dyDescent="0.35">
      <c r="B27" s="3" t="s">
        <v>43</v>
      </c>
      <c r="C27" s="6">
        <f>View_Table[[#This Row],[Rank Previous]]-View_Table[[#This Row],[Rank]]</f>
        <v>-3</v>
      </c>
      <c r="D27" s="7">
        <f>_xlfn.RANK.EQ(View_Table[[#This Row],[Weighted Win%]], View_Table[Weighted Win%], 0)</f>
        <v>32</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29</v>
      </c>
    </row>
    <row r="28" spans="2:16" hidden="1" x14ac:dyDescent="0.35">
      <c r="B28" s="3" t="s">
        <v>323</v>
      </c>
      <c r="C28" s="6">
        <f>View_Table[[#This Row],[Rank Previous]]-View_Table[[#This Row],[Rank]]</f>
        <v>-3</v>
      </c>
      <c r="D28" s="7">
        <f>_xlfn.RANK.EQ(View_Table[[#This Row],[Weighted Win%]], View_Table[Weighted Win%], 0)</f>
        <v>32</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29</v>
      </c>
    </row>
    <row r="29" spans="2:16" hidden="1" x14ac:dyDescent="0.35">
      <c r="B29" s="3" t="s">
        <v>324</v>
      </c>
      <c r="C29" s="6">
        <f>View_Table[[#This Row],[Rank Previous]]-View_Table[[#This Row],[Rank]]</f>
        <v>-3</v>
      </c>
      <c r="D29" s="7">
        <f>_xlfn.RANK.EQ(View_Table[[#This Row],[Weighted Win%]], View_Table[Weighted Win%], 0)</f>
        <v>32</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29</v>
      </c>
    </row>
    <row r="30" spans="2:16" x14ac:dyDescent="0.35">
      <c r="B30" s="3" t="s">
        <v>17</v>
      </c>
      <c r="C30" s="6">
        <f>View_Table[[#This Row],[Rank Previous]]-View_Table[[#This Row],[Rank]]</f>
        <v>-5</v>
      </c>
      <c r="D30" s="7">
        <f>_xlfn.RANK.EQ(View_Table[[#This Row],[Weighted Win%]], View_Table[Weighted Win%], 0)</f>
        <v>12</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2</v>
      </c>
      <c r="H30" s="5">
        <f>IFERROR(
    GETPIVOTDATA(
        "Result",
        'Pivot Table'!$A$3,
        "Player",View_Table[[#This Row],[Player]],
        "Result","Loss"
    ),
    0
)</f>
        <v>6</v>
      </c>
      <c r="I30" s="5">
        <f>IFERROR(
    GETPIVOTDATA(
        "Result",
        'Pivot Table'!$A$3,
        "Player",View_Table[[#This Row],[Player]],
        "Result","Draw"
    ),
    0
)</f>
        <v>4</v>
      </c>
      <c r="J30" s="5">
        <f>View_Table[[#This Row],[Wins]]+View_Table[[#This Row],[Losses]]+View_Table[[#This Row],[Draws]]</f>
        <v>12</v>
      </c>
      <c r="K30" s="5">
        <f>IFERROR(
    GETPIVOTDATA(
        "Result",
        'Pivot Table Previous'!$A$3,
        "Player",View_Table[[#This Row],[Player]],
        "Result","Win"
    ),
    0
)</f>
        <v>2</v>
      </c>
      <c r="L30" s="5">
        <f>IFERROR(
    GETPIVOTDATA(
        "Result",
        'Pivot Table Previous'!$A$3,
        "Player",View_Table[[#This Row],[Player]],
        "Result","Loss"
    ),
    0
)</f>
        <v>4</v>
      </c>
      <c r="M30" s="5">
        <f>IFERROR(
    GETPIVOTDATA(
        "Result",
        'Pivot Table Previous'!$A$3,
        "Player",View_Table[[#This Row],[Player]],
        "Result","Draw"
    ),
    0
)</f>
        <v>4</v>
      </c>
      <c r="N30" s="5">
        <f>View_Table[[#This Row],[Wins Previous]]+View_Table[[#This Row],[Losses Previous]]+View_Table[[#This Row],[Draws Previous]]</f>
        <v>10</v>
      </c>
      <c r="O30" s="9">
        <f>_xlfn.LET(_xlpm.g,View_Table[[#This Row],[Games Previous]], _xlpm.w,(View_Table[[#This Row],[Wins Previous]] + View_Table[[#This Row],[Draws Previous]] * 0.25), _xlpm.fake, MAX(0,25-_xlpm.g), IF(_xlpm.g=0,0,(_xlpm.w + _xlpm.fake*0.25)/(_xlpm.g + _xlpm.fake)))</f>
        <v>0.27</v>
      </c>
      <c r="P30" s="7">
        <f>IF(View_Table[[#This Row],[Games Previous]]=0,
    View_Table[[#This Row],[Rank]],
    _xlfn.RANK.EQ(View_Table[[#This Row],[Weighted Win% Previous]], View_Table[Weighted Win% Previous], 0)
)</f>
        <v>7</v>
      </c>
    </row>
    <row r="31" spans="2:16" hidden="1" x14ac:dyDescent="0.35">
      <c r="B31" s="3" t="s">
        <v>478</v>
      </c>
      <c r="C31" s="6">
        <f>View_Table[[#This Row],[Rank Previous]]-View_Table[[#This Row],[Rank]]</f>
        <v>-3</v>
      </c>
      <c r="D31" s="7">
        <f>_xlfn.RANK.EQ(View_Table[[#This Row],[Weighted Win%]], View_Table[Weighted Win%], 0)</f>
        <v>32</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29</v>
      </c>
    </row>
    <row r="32" spans="2:16" hidden="1" x14ac:dyDescent="0.35">
      <c r="B32" s="3" t="s">
        <v>401</v>
      </c>
      <c r="C32" s="6">
        <f>View_Table[[#This Row],[Rank Previous]]-View_Table[[#This Row],[Rank]]</f>
        <v>-3</v>
      </c>
      <c r="D32" s="7">
        <f>_xlfn.RANK.EQ(View_Table[[#This Row],[Weighted Win%]], View_Table[Weighted Win%], 0)</f>
        <v>32</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29</v>
      </c>
    </row>
    <row r="33" spans="2:16" hidden="1" x14ac:dyDescent="0.35">
      <c r="B33" s="3" t="s">
        <v>403</v>
      </c>
      <c r="C33" s="6">
        <f>View_Table[[#This Row],[Rank Previous]]-View_Table[[#This Row],[Rank]]</f>
        <v>-3</v>
      </c>
      <c r="D33" s="7">
        <f>_xlfn.RANK.EQ(View_Table[[#This Row],[Weighted Win%]], View_Table[Weighted Win%], 0)</f>
        <v>32</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29</v>
      </c>
    </row>
    <row r="34" spans="2:16" hidden="1" x14ac:dyDescent="0.35">
      <c r="B34" s="3" t="s">
        <v>404</v>
      </c>
      <c r="C34" s="6">
        <f>View_Table[[#This Row],[Rank Previous]]-View_Table[[#This Row],[Rank]]</f>
        <v>-3</v>
      </c>
      <c r="D34" s="7">
        <f>_xlfn.RANK.EQ(View_Table[[#This Row],[Weighted Win%]], View_Table[Weighted Win%], 0)</f>
        <v>32</v>
      </c>
      <c r="E34" s="9">
        <f>_xlfn.LET(_xlpm.g,View_Table[[#This Row],[Games]], _xlpm.w,(View_Table[[#This Row],[Wins]] + View_Table[[#This Row],[Draws]] * 0.25), _xlpm.fake, MAX(0,25-_xlpm.g), IF(_xlpm.g=0,0,(_xlpm.w + _xlpm.fake*0.25)/(_xlpm.g + _xlpm.fake)))</f>
        <v>0</v>
      </c>
      <c r="F34" s="8">
        <f>IF(View_Table[[#This Row],[Games]]=0,0,(View_Table[[#This Row],[Wins]] + (View_Table[[#This Row],[Draws]] * 0.25))/View_Table[[#This Row],[Games]])</f>
        <v>0</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0</v>
      </c>
      <c r="J34" s="5">
        <f>View_Table[[#This Row],[Wins]]+View_Table[[#This Row],[Losses]]+View_Table[[#This Row],[Draws]]</f>
        <v>0</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0</v>
      </c>
      <c r="N34" s="5">
        <f>View_Table[[#This Row],[Wins Previous]]+View_Table[[#This Row],[Losses Previous]]+View_Table[[#This Row],[Draws Previous]]</f>
        <v>0</v>
      </c>
      <c r="O34" s="9">
        <f>_xlfn.LET(_xlpm.g,View_Table[[#This Row],[Games Previous]], _xlpm.w,(View_Table[[#This Row],[Wins Previous]] + View_Table[[#This Row],[Draws Previous]] * 0.25), _xlpm.fake, MAX(0,25-_xlpm.g), IF(_xlpm.g=0,0,(_xlpm.w + _xlpm.fake*0.25)/(_xlpm.g + _xlpm.fake)))</f>
        <v>0</v>
      </c>
      <c r="P34" s="7">
        <f>_xlfn.RANK.EQ(View_Table[[#This Row],[Weighted Win% Previous]], View_Table[Weighted Win% Previous], 0)</f>
        <v>29</v>
      </c>
    </row>
    <row r="35" spans="2:16" x14ac:dyDescent="0.35">
      <c r="B35" s="3" t="s">
        <v>13</v>
      </c>
      <c r="C35" s="6">
        <f>View_Table[[#This Row],[Rank Previous]]-View_Table[[#This Row],[Rank]]</f>
        <v>-5</v>
      </c>
      <c r="D35" s="7">
        <f>_xlfn.RANK.EQ(View_Table[[#This Row],[Weighted Win%]], View_Table[Weighted Win%], 0)</f>
        <v>12</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2</v>
      </c>
      <c r="H35" s="5">
        <f>IFERROR(
    GETPIVOTDATA(
        "Result",
        'Pivot Table'!$A$3,
        "Player",View_Table[[#This Row],[Player]],
        "Result","Loss"
    ),
    0
)</f>
        <v>6</v>
      </c>
      <c r="I35" s="5">
        <f>IFERROR(
    GETPIVOTDATA(
        "Result",
        'Pivot Table'!$A$3,
        "Player",View_Table[[#This Row],[Player]],
        "Result","Draw"
    ),
    0
)</f>
        <v>4</v>
      </c>
      <c r="J35" s="5">
        <f>View_Table[[#This Row],[Wins]]+View_Table[[#This Row],[Losses]]+View_Table[[#This Row],[Draws]]</f>
        <v>12</v>
      </c>
      <c r="K35" s="5">
        <f>IFERROR(
    GETPIVOTDATA(
        "Result",
        'Pivot Table Previous'!$A$3,
        "Player",View_Table[[#This Row],[Player]],
        "Result","Win"
    ),
    0
)</f>
        <v>2</v>
      </c>
      <c r="L35" s="5">
        <f>IFERROR(
    GETPIVOTDATA(
        "Result",
        'Pivot Table Previous'!$A$3,
        "Player",View_Table[[#This Row],[Player]],
        "Result","Loss"
    ),
    0
)</f>
        <v>4</v>
      </c>
      <c r="M35" s="5">
        <f>IFERROR(
    GETPIVOTDATA(
        "Result",
        'Pivot Table Previous'!$A$3,
        "Player",View_Table[[#This Row],[Player]],
        "Result","Draw"
    ),
    0
)</f>
        <v>4</v>
      </c>
      <c r="N35" s="5">
        <f>View_Table[[#This Row],[Wins Previous]]+View_Table[[#This Row],[Losses Previous]]+View_Table[[#This Row],[Draws Previous]]</f>
        <v>10</v>
      </c>
      <c r="O35" s="9">
        <f>_xlfn.LET(_xlpm.g,View_Table[[#This Row],[Games Previous]], _xlpm.w,(View_Table[[#This Row],[Wins Previous]] + View_Table[[#This Row],[Draws Previous]] * 0.25), _xlpm.fake, MAX(0,25-_xlpm.g), IF(_xlpm.g=0,0,(_xlpm.w + _xlpm.fake*0.25)/(_xlpm.g + _xlpm.fake)))</f>
        <v>0.27</v>
      </c>
      <c r="P35" s="7">
        <f>IF(View_Table[[#This Row],[Games Previous]]=0,
    View_Table[[#This Row],[Rank]],
    _xlfn.RANK.EQ(View_Table[[#This Row],[Weighted Win% Previous]], View_Table[Weighted Win% Previous], 0)
)</f>
        <v>7</v>
      </c>
    </row>
    <row r="36" spans="2:16" hidden="1" x14ac:dyDescent="0.35">
      <c r="B36" s="3" t="s">
        <v>59</v>
      </c>
      <c r="C36" s="6">
        <f>View_Table[[#This Row],[Rank Previous]]-View_Table[[#This Row],[Rank]]</f>
        <v>0</v>
      </c>
      <c r="D36" s="7">
        <f>_xlfn.RANK.EQ(View_Table[[#This Row],[Weighted Win%]], View_Table[Weighted Win%], 0)</f>
        <v>32</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32</v>
      </c>
    </row>
    <row r="37" spans="2:16" hidden="1" x14ac:dyDescent="0.35">
      <c r="B37" s="3" t="s">
        <v>437</v>
      </c>
      <c r="C37" s="6">
        <f>View_Table[[#This Row],[Rank Previous]]-View_Table[[#This Row],[Rank]]</f>
        <v>-3</v>
      </c>
      <c r="D37" s="7">
        <f>_xlfn.RANK.EQ(View_Table[[#This Row],[Weighted Win%]], View_Table[Weighted Win%], 0)</f>
        <v>32</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29</v>
      </c>
    </row>
    <row r="38" spans="2:16" x14ac:dyDescent="0.35">
      <c r="B38" s="3" t="s">
        <v>438</v>
      </c>
      <c r="C38" s="6">
        <f>View_Table[[#This Row],[Rank Previous]]-View_Table[[#This Row],[Rank]]</f>
        <v>22</v>
      </c>
      <c r="D38" s="7">
        <f>_xlfn.RANK.EQ(View_Table[[#This Row],[Weighted Win%]], View_Table[Weighted Win%], 0)</f>
        <v>7</v>
      </c>
      <c r="E38" s="9">
        <f>_xlfn.LET(_xlpm.g,View_Table[[#This Row],[Games]], _xlpm.w,(View_Table[[#This Row],[Wins]] + View_Table[[#This Row],[Draws]] * 0.25), _xlpm.fake, MAX(0,25-_xlpm.g), IF(_xlpm.g=0,0,(_xlpm.w + _xlpm.fake*0.25)/(_xlpm.g + _xlpm.fake)))</f>
        <v>0.28000000000000003</v>
      </c>
      <c r="F38" s="8">
        <f>IF(View_Table[[#This Row],[Games]]=0,0,(View_Table[[#This Row],[Wins]] + (View_Table[[#This Row],[Draws]] * 0.25))/View_Table[[#This Row],[Games]])</f>
        <v>0.625</v>
      </c>
      <c r="G38" s="5">
        <f>IFERROR(
    GETPIVOTDATA(
        "Result",
        'Pivot Table'!$A$3,
        "Player",View_Table[[#This Row],[Player]],
        "Result","Win"
    ),
    0
)</f>
        <v>1</v>
      </c>
      <c r="H38" s="5">
        <f>IFERROR(
    GETPIVOTDATA(
        "Result",
        'Pivot Table'!$A$3,
        "Player",View_Table[[#This Row],[Player]],
        "Result","Loss"
    ),
    0
)</f>
        <v>0</v>
      </c>
      <c r="I38" s="5">
        <f>IFERROR(
    GETPIVOTDATA(
        "Result",
        'Pivot Table'!$A$3,
        "Player",View_Table[[#This Row],[Player]],
        "Result","Draw"
    ),
    0
)</f>
        <v>1</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0</v>
      </c>
      <c r="N38" s="5">
        <f>View_Table[[#This Row],[Wins Previous]]+View_Table[[#This Row],[Losses Previous]]+View_Table[[#This Row],[Draws Previous]]</f>
        <v>0</v>
      </c>
      <c r="O38" s="9">
        <f>_xlfn.LET(_xlpm.g,View_Table[[#This Row],[Games Previous]], _xlpm.w,(View_Table[[#This Row],[Wins Previous]] + View_Table[[#This Row],[Draws Previous]] * 0.25), _xlpm.fake, MAX(0,25-_xlpm.g), IF(_xlpm.g=0,0,(_xlpm.w + _xlpm.fake*0.25)/(_xlpm.g + _xlpm.fake)))</f>
        <v>0</v>
      </c>
      <c r="P38" s="7">
        <f>_xlfn.RANK.EQ(View_Table[[#This Row],[Weighted Win% Previous]], View_Table[Weighted Win% Previous], 0)</f>
        <v>29</v>
      </c>
    </row>
    <row r="39" spans="2:16" hidden="1" x14ac:dyDescent="0.35">
      <c r="B39" s="3" t="s">
        <v>365</v>
      </c>
      <c r="C39" s="6">
        <f>View_Table[[#This Row],[Rank Previous]]-View_Table[[#This Row],[Rank]]</f>
        <v>-3</v>
      </c>
      <c r="D39" s="7">
        <f>_xlfn.RANK.EQ(View_Table[[#This Row],[Weighted Win%]], View_Table[Weighted Win%], 0)</f>
        <v>32</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29</v>
      </c>
    </row>
    <row r="40" spans="2:16" hidden="1" x14ac:dyDescent="0.35">
      <c r="B40" s="3" t="s">
        <v>463</v>
      </c>
      <c r="C40" s="6">
        <f>View_Table[[#This Row],[Rank Previous]]-View_Table[[#This Row],[Rank]]</f>
        <v>-3</v>
      </c>
      <c r="D40" s="7">
        <f>_xlfn.RANK.EQ(View_Table[[#This Row],[Weighted Win%]], View_Table[Weighted Win%], 0)</f>
        <v>32</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29</v>
      </c>
    </row>
    <row r="41" spans="2:16" hidden="1" x14ac:dyDescent="0.35">
      <c r="B41" s="3" t="s">
        <v>42</v>
      </c>
      <c r="C41" s="6">
        <f>View_Table[[#This Row],[Rank Previous]]-View_Table[[#This Row],[Rank]]</f>
        <v>-3</v>
      </c>
      <c r="D41" s="7">
        <f>_xlfn.RANK.EQ(View_Table[[#This Row],[Weighted Win%]], View_Table[Weighted Win%], 0)</f>
        <v>32</v>
      </c>
      <c r="E41" s="9">
        <f>_xlfn.LET(_xlpm.g,View_Table[[#This Row],[Games]], _xlpm.w,(View_Table[[#This Row],[Wins]] + View_Table[[#This Row],[Draws]] * 0.25), _xlpm.fake, MAX(0,25-_xlpm.g), IF(_xlpm.g=0,0,(_xlpm.w + _xlpm.fake*0.25)/(_xlpm.g + _xlpm.fake)))</f>
        <v>0</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0</v>
      </c>
      <c r="I41" s="5">
        <f>IFERROR(
    GETPIVOTDATA(
        "Result",
        'Pivot Table'!$A$3,
        "Player",View_Table[[#This Row],[Player]],
        "Result","Draw"
    ),
    0
)</f>
        <v>0</v>
      </c>
      <c r="J41" s="5">
        <f>View_Table[[#This Row],[Wins]]+View_Table[[#This Row],[Losses]]+View_Table[[#This Row],[Draws]]</f>
        <v>0</v>
      </c>
      <c r="K41" s="7">
        <f>IFERROR(
    GETPIVOTDATA(
        "Result",
        'Pivot Table Previous'!$A$3,
        "Player",View_Table[[#This Row],[Player]],
        "Result","Win"
    ),
    0
)</f>
        <v>0</v>
      </c>
      <c r="L41" s="5">
        <f>IFERROR(
    GETPIVOTDATA(
        "Result",
        'Pivot Table Previous'!$A$3,
        "Player",View_Table[[#This Row],[Player]],
        "Result","Loss"
    ),
    0
)</f>
        <v>0</v>
      </c>
      <c r="M41" s="5">
        <f>IFERROR(
    GETPIVOTDATA(
        "Result",
        'Pivot Table Previous'!$A$3,
        "Player",View_Table[[#This Row],[Player]],
        "Result","Draw"
    ),
    0
)</f>
        <v>0</v>
      </c>
      <c r="N41" s="5">
        <f>View_Table[[#This Row],[Wins Previous]]+View_Table[[#This Row],[Losses Previous]]+View_Table[[#This Row],[Draws Previous]]</f>
        <v>0</v>
      </c>
      <c r="O41" s="9">
        <f>_xlfn.LET(_xlpm.g,View_Table[[#This Row],[Games Previous]], _xlpm.w,(View_Table[[#This Row],[Wins Previous]] + View_Table[[#This Row],[Draws Previous]] * 0.25), _xlpm.fake, MAX(0,25-_xlpm.g), IF(_xlpm.g=0,0,(_xlpm.w + _xlpm.fake*0.25)/(_xlpm.g + _xlpm.fake)))</f>
        <v>0</v>
      </c>
      <c r="P41" s="7">
        <f>_xlfn.RANK.EQ(View_Table[[#This Row],[Weighted Win% Previous]], View_Table[Weighted Win% Previous], 0)</f>
        <v>29</v>
      </c>
    </row>
    <row r="42" spans="2:16" x14ac:dyDescent="0.35">
      <c r="B42" s="3" t="s">
        <v>464</v>
      </c>
      <c r="C42" s="6">
        <f>View_Table[[#This Row],[Rank Previous]]-View_Table[[#This Row],[Rank]]</f>
        <v>17</v>
      </c>
      <c r="D42" s="7">
        <f>_xlfn.RANK.EQ(View_Table[[#This Row],[Weighted Win%]], View_Table[Weighted Win%], 0)</f>
        <v>12</v>
      </c>
      <c r="E42" s="9">
        <f>_xlfn.LET(_xlpm.g,View_Table[[#This Row],[Games]], _xlpm.w,(View_Table[[#This Row],[Wins]] + View_Table[[#This Row],[Draws]] * 0.25), _xlpm.fake, MAX(0,25-_xlpm.g), IF(_xlpm.g=0,0,(_xlpm.w + _xlpm.fake*0.25)/(_xlpm.g + _xlpm.fake)))</f>
        <v>0.25</v>
      </c>
      <c r="F42" s="8">
        <f>IF(View_Table[[#This Row],[Games]]=0,0,(View_Table[[#This Row],[Wins]] + (View_Table[[#This Row],[Draws]] * 0.25))/View_Table[[#This Row],[Games]])</f>
        <v>0.25</v>
      </c>
      <c r="G42" s="5">
        <f>IFERROR(
    GETPIVOTDATA(
        "Result",
        'Pivot Table'!$A$3,
        "Player",View_Table[[#This Row],[Player]],
        "Result","Win"
    ),
    0
)</f>
        <v>0</v>
      </c>
      <c r="H42" s="5">
        <f>IFERROR(
    GETPIVOTDATA(
        "Result",
        'Pivot Table'!$A$3,
        "Player",View_Table[[#This Row],[Player]],
        "Result","Loss"
    ),
    0
)</f>
        <v>0</v>
      </c>
      <c r="I42" s="5">
        <f>IFERROR(
    GETPIVOTDATA(
        "Result",
        'Pivot Table'!$A$3,
        "Player",View_Table[[#This Row],[Player]],
        "Result","Draw"
    ),
    0
)</f>
        <v>2</v>
      </c>
      <c r="J42" s="5">
        <f>View_Table[[#This Row],[Wins]]+View_Table[[#This Row],[Losses]]+View_Table[[#This Row],[Draws]]</f>
        <v>2</v>
      </c>
      <c r="K42" s="7">
        <f>IFERROR(
    GETPIVOTDATA(
        "Result",
        'Pivot Table Previous'!$A$3,
        "Player",View_Table[[#This Row],[Player]],
        "Result","Win"
    ),
    0
)</f>
        <v>0</v>
      </c>
      <c r="L42" s="5">
        <f>IFERROR(
    GETPIVOTDATA(
        "Result",
        'Pivot Table Previous'!$A$3,
        "Player",View_Table[[#This Row],[Player]],
        "Result","Loss"
    ),
    0
)</f>
        <v>0</v>
      </c>
      <c r="M42" s="5">
        <f>IFERROR(
    GETPIVOTDATA(
        "Result",
        'Pivot Table Previous'!$A$3,
        "Player",View_Table[[#This Row],[Player]],
        "Result","Draw"
    ),
    0
)</f>
        <v>0</v>
      </c>
      <c r="N42" s="5">
        <f>View_Table[[#This Row],[Wins Previous]]+View_Table[[#This Row],[Losses Previous]]+View_Table[[#This Row],[Draws Previous]]</f>
        <v>0</v>
      </c>
      <c r="O42" s="9">
        <f>_xlfn.LET(_xlpm.g,View_Table[[#This Row],[Games Previous]], _xlpm.w,(View_Table[[#This Row],[Wins Previous]] + View_Table[[#This Row],[Draws Previous]] * 0.25), _xlpm.fake, MAX(0,25-_xlpm.g), IF(_xlpm.g=0,0,(_xlpm.w + _xlpm.fake*0.25)/(_xlpm.g + _xlpm.fake)))</f>
        <v>0</v>
      </c>
      <c r="P42" s="7">
        <f>_xlfn.RANK.EQ(View_Table[[#This Row],[Weighted Win% Previous]], View_Table[Weighted Win% Previous], 0)</f>
        <v>29</v>
      </c>
    </row>
    <row r="43" spans="2:16" x14ac:dyDescent="0.35">
      <c r="B43" s="3" t="s">
        <v>20</v>
      </c>
      <c r="C43" s="6">
        <f>View_Table[[#This Row],[Rank Previous]]-View_Table[[#This Row],[Rank]]</f>
        <v>1</v>
      </c>
      <c r="D43" s="7">
        <f>_xlfn.RANK.EQ(View_Table[[#This Row],[Weighted Win%]], View_Table[Weighted Win%], 0)</f>
        <v>12</v>
      </c>
      <c r="E43" s="9">
        <f>_xlfn.LET(_xlpm.g,View_Table[[#This Row],[Games]], _xlpm.w,(View_Table[[#This Row],[Wins]] + View_Table[[#This Row],[Draws]] * 0.25), _xlpm.fake, MAX(0,25-_xlpm.g), IF(_xlpm.g=0,0,(_xlpm.w + _xlpm.fake*0.25)/(_xlpm.g + _xlpm.fake)))</f>
        <v>0.25</v>
      </c>
      <c r="F43" s="8">
        <f>IF(View_Table[[#This Row],[Games]]=0,0,(View_Table[[#This Row],[Wins]] + (View_Table[[#This Row],[Draws]] * 0.25))/View_Table[[#This Row],[Games]])</f>
        <v>0.25</v>
      </c>
      <c r="G43" s="5">
        <f>IFERROR(
    GETPIVOTDATA(
        "Result",
        'Pivot Table'!$A$3,
        "Player",View_Table[[#This Row],[Player]],
        "Result","Win"
    ),
    0
)</f>
        <v>1</v>
      </c>
      <c r="H43" s="5">
        <f>IFERROR(
    GETPIVOTDATA(
        "Result",
        'Pivot Table'!$A$3,
        "Player",View_Table[[#This Row],[Player]],
        "Result","Loss"
    ),
    0
)</f>
        <v>3</v>
      </c>
      <c r="I43" s="5">
        <f>IFERROR(
    GETPIVOTDATA(
        "Result",
        'Pivot Table'!$A$3,
        "Player",View_Table[[#This Row],[Player]],
        "Result","Draw"
    ),
    0
)</f>
        <v>2</v>
      </c>
      <c r="J43" s="5">
        <f>View_Table[[#This Row],[Wins]]+View_Table[[#This Row],[Losses]]+View_Table[[#This Row],[Draws]]</f>
        <v>6</v>
      </c>
      <c r="K43" s="7">
        <f>IFERROR(
    GETPIVOTDATA(
        "Result",
        'Pivot Table Previous'!$A$3,
        "Player",View_Table[[#This Row],[Player]],
        "Result","Win"
    ),
    0
)</f>
        <v>1</v>
      </c>
      <c r="L43" s="5">
        <f>IFERROR(
    GETPIVOTDATA(
        "Result",
        'Pivot Table Previous'!$A$3,
        "Player",View_Table[[#This Row],[Player]],
        "Result","Loss"
    ),
    0
)</f>
        <v>3</v>
      </c>
      <c r="M43" s="5">
        <f>IFERROR(
    GETPIVOTDATA(
        "Result",
        'Pivot Table Previous'!$A$3,
        "Player",View_Table[[#This Row],[Player]],
        "Result","Draw"
    ),
    0
)</f>
        <v>0</v>
      </c>
      <c r="N43" s="5">
        <f>View_Table[[#This Row],[Wins Previous]]+View_Table[[#This Row],[Losses Previous]]+View_Table[[#This Row],[Draws Previous]]</f>
        <v>4</v>
      </c>
      <c r="O43" s="9">
        <f>_xlfn.LET(_xlpm.g,View_Table[[#This Row],[Games Previous]], _xlpm.w,(View_Table[[#This Row],[Wins Previous]] + View_Table[[#This Row],[Draws Previous]] * 0.25), _xlpm.fake, MAX(0,25-_xlpm.g), IF(_xlpm.g=0,0,(_xlpm.w + _xlpm.fake*0.25)/(_xlpm.g + _xlpm.fake)))</f>
        <v>0.25</v>
      </c>
      <c r="P43" s="7">
        <f>_xlfn.RANK.EQ(View_Table[[#This Row],[Weighted Win% Previous]], View_Table[Weighted Win% Previous], 0)</f>
        <v>13</v>
      </c>
    </row>
    <row r="44" spans="2:16" x14ac:dyDescent="0.35">
      <c r="B44" s="3" t="s">
        <v>325</v>
      </c>
      <c r="C44" s="6">
        <f>View_Table[[#This Row],[Rank Previous]]-View_Table[[#This Row],[Rank]]</f>
        <v>3</v>
      </c>
      <c r="D44" s="7">
        <f>_xlfn.RANK.EQ(View_Table[[#This Row],[Weighted Win%]], View_Table[Weighted Win%], 0)</f>
        <v>12</v>
      </c>
      <c r="E44" s="9">
        <f>_xlfn.LET(_xlpm.g,View_Table[[#This Row],[Games]], _xlpm.w,(View_Table[[#This Row],[Wins]] + View_Table[[#This Row],[Draws]] * 0.25), _xlpm.fake, MAX(0,25-_xlpm.g), IF(_xlpm.g=0,0,(_xlpm.w + _xlpm.fake*0.25)/(_xlpm.g + _xlpm.fake)))</f>
        <v>0.25</v>
      </c>
      <c r="F44" s="8">
        <f>IF(View_Table[[#This Row],[Games]]=0,0,(View_Table[[#This Row],[Wins]] + (View_Table[[#This Row],[Draws]] * 0.25))/View_Table[[#This Row],[Games]])</f>
        <v>0.25</v>
      </c>
      <c r="G44" s="5">
        <f>IFERROR(
    GETPIVOTDATA(
        "Result",
        'Pivot Table'!$A$3,
        "Player",View_Table[[#This Row],[Player]],
        "Result","Win"
    ),
    0
)</f>
        <v>3</v>
      </c>
      <c r="H44" s="5">
        <f>IFERROR(
    GETPIVOTDATA(
        "Result",
        'Pivot Table'!$A$3,
        "Player",View_Table[[#This Row],[Player]],
        "Result","Loss"
    ),
    0
)</f>
        <v>9</v>
      </c>
      <c r="I44" s="5">
        <f>IFERROR(
    GETPIVOTDATA(
        "Result",
        'Pivot Table'!$A$3,
        "Player",View_Table[[#This Row],[Player]],
        "Result","Draw"
    ),
    0
)</f>
        <v>0</v>
      </c>
      <c r="J44" s="5">
        <f>View_Table[[#This Row],[Wins]]+View_Table[[#This Row],[Losses]]+View_Table[[#This Row],[Draws]]</f>
        <v>12</v>
      </c>
      <c r="K44" s="7">
        <f>IFERROR(
    GETPIVOTDATA(
        "Result",
        'Pivot Table Previous'!$A$3,
        "Player",View_Table[[#This Row],[Player]],
        "Result","Win"
    ),
    0
)</f>
        <v>2</v>
      </c>
      <c r="L44" s="5">
        <f>IFERROR(
    GETPIVOTDATA(
        "Result",
        'Pivot Table Previous'!$A$3,
        "Player",View_Table[[#This Row],[Player]],
        "Result","Loss"
    ),
    0
)</f>
        <v>8</v>
      </c>
      <c r="M44" s="5">
        <f>IFERROR(
    GETPIVOTDATA(
        "Result",
        'Pivot Table Previous'!$A$3,
        "Player",View_Table[[#This Row],[Player]],
        "Result","Draw"
    ),
    0
)</f>
        <v>0</v>
      </c>
      <c r="N44" s="5">
        <f>View_Table[[#This Row],[Wins Previous]]+View_Table[[#This Row],[Losses Previous]]+View_Table[[#This Row],[Draws Previous]]</f>
        <v>10</v>
      </c>
      <c r="O44" s="9">
        <f>_xlfn.LET(_xlpm.g,View_Table[[#This Row],[Games Previous]], _xlpm.w,(View_Table[[#This Row],[Wins Previous]] + View_Table[[#This Row],[Draws Previous]] * 0.25), _xlpm.fake, MAX(0,25-_xlpm.g), IF(_xlpm.g=0,0,(_xlpm.w + _xlpm.fake*0.25)/(_xlpm.g + _xlpm.fake)))</f>
        <v>0.23</v>
      </c>
      <c r="P44" s="7">
        <f>_xlfn.RANK.EQ(View_Table[[#This Row],[Weighted Win% Previous]], View_Table[Weighted Win% Previous], 0)</f>
        <v>15</v>
      </c>
    </row>
    <row r="45" spans="2:16" x14ac:dyDescent="0.35">
      <c r="B45" s="3" t="s">
        <v>351</v>
      </c>
      <c r="C45" s="6">
        <f>View_Table[[#This Row],[Rank Previous]]-View_Table[[#This Row],[Rank]]</f>
        <v>-4</v>
      </c>
      <c r="D45" s="7">
        <f>_xlfn.RANK.EQ(View_Table[[#This Row],[Weighted Win%]], View_Table[Weighted Win%], 0)</f>
        <v>18</v>
      </c>
      <c r="E45" s="9">
        <f>_xlfn.LET(_xlpm.g,View_Table[[#This Row],[Games]], _xlpm.w,(View_Table[[#This Row],[Wins]] + View_Table[[#This Row],[Draws]] * 0.25), _xlpm.fake, MAX(0,25-_xlpm.g), IF(_xlpm.g=0,0,(_xlpm.w + _xlpm.fake*0.25)/(_xlpm.g + _xlpm.fake)))</f>
        <v>0.24</v>
      </c>
      <c r="F45" s="8">
        <f>IF(View_Table[[#This Row],[Games]]=0,0,(View_Table[[#This Row],[Wins]] + (View_Table[[#This Row],[Draws]] * 0.25))/View_Table[[#This Row],[Games]])</f>
        <v>0.21875</v>
      </c>
      <c r="G45" s="5">
        <f>IFERROR(
    GETPIVOTDATA(
        "Result",
        'Pivot Table'!$A$3,
        "Player",View_Table[[#This Row],[Player]],
        "Result","Win"
    ),
    0
)</f>
        <v>1</v>
      </c>
      <c r="H45" s="5">
        <f>IFERROR(
    GETPIVOTDATA(
        "Result",
        'Pivot Table'!$A$3,
        "Player",View_Table[[#This Row],[Player]],
        "Result","Loss"
    ),
    0
)</f>
        <v>4</v>
      </c>
      <c r="I45" s="5">
        <f>IFERROR(
    GETPIVOTDATA(
        "Result",
        'Pivot Table'!$A$3,
        "Player",View_Table[[#This Row],[Player]],
        "Result","Draw"
    ),
    0
)</f>
        <v>3</v>
      </c>
      <c r="J45" s="5">
        <f>View_Table[[#This Row],[Wins]]+View_Table[[#This Row],[Losses]]+View_Table[[#This Row],[Draws]]</f>
        <v>8</v>
      </c>
      <c r="K45" s="7">
        <f>IFERROR(
    GETPIVOTDATA(
        "Result",
        'Pivot Table Previous'!$A$3,
        "Player",View_Table[[#This Row],[Player]],
        "Result","Win"
    ),
    0
)</f>
        <v>1</v>
      </c>
      <c r="L45" s="5">
        <f>IFERROR(
    GETPIVOTDATA(
        "Result",
        'Pivot Table Previous'!$A$3,
        "Player",View_Table[[#This Row],[Player]],
        "Result","Loss"
    ),
    0
)</f>
        <v>4</v>
      </c>
      <c r="M45" s="5">
        <f>IFERROR(
    GETPIVOTDATA(
        "Result",
        'Pivot Table Previous'!$A$3,
        "Player",View_Table[[#This Row],[Player]],
        "Result","Draw"
    ),
    0
)</f>
        <v>1</v>
      </c>
      <c r="N45" s="5">
        <f>View_Table[[#This Row],[Wins Previous]]+View_Table[[#This Row],[Losses Previous]]+View_Table[[#This Row],[Draws Previous]]</f>
        <v>6</v>
      </c>
      <c r="O45" s="9">
        <f>_xlfn.LET(_xlpm.g,View_Table[[#This Row],[Games Previous]], _xlpm.w,(View_Table[[#This Row],[Wins Previous]] + View_Table[[#This Row],[Draws Previous]] * 0.25), _xlpm.fake, MAX(0,25-_xlpm.g), IF(_xlpm.g=0,0,(_xlpm.w + _xlpm.fake*0.25)/(_xlpm.g + _xlpm.fake)))</f>
        <v>0.24</v>
      </c>
      <c r="P45" s="7">
        <f>_xlfn.RANK.EQ(View_Table[[#This Row],[Weighted Win% Previous]], View_Table[Weighted Win% Previous], 0)</f>
        <v>14</v>
      </c>
    </row>
    <row r="46" spans="2:16" hidden="1" x14ac:dyDescent="0.35">
      <c r="B46" s="3" t="s">
        <v>30</v>
      </c>
      <c r="C46" s="6">
        <f>View_Table[[#This Row],[Rank Previous]]-View_Table[[#This Row],[Rank]]</f>
        <v>-3</v>
      </c>
      <c r="D46" s="7">
        <f>_xlfn.RANK.EQ(View_Table[[#This Row],[Weighted Win%]], View_Table[Weighted Win%], 0)</f>
        <v>32</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29</v>
      </c>
    </row>
    <row r="47" spans="2:16" hidden="1" x14ac:dyDescent="0.35">
      <c r="B47" s="3" t="s">
        <v>541</v>
      </c>
      <c r="C47" s="6">
        <f>View_Table[[#This Row],[Rank Previous]]-View_Table[[#This Row],[Rank]]</f>
        <v>-3</v>
      </c>
      <c r="D47" s="7">
        <f>_xlfn.RANK.EQ(View_Table[[#This Row],[Weighted Win%]], View_Table[Weighted Win%], 0)</f>
        <v>32</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29</v>
      </c>
    </row>
    <row r="48" spans="2:16" hidden="1" x14ac:dyDescent="0.35">
      <c r="B48" s="3" t="s">
        <v>46</v>
      </c>
      <c r="C48" s="6">
        <f>View_Table[[#This Row],[Rank Previous]]-View_Table[[#This Row],[Rank]]</f>
        <v>-3</v>
      </c>
      <c r="D48" s="7">
        <f>_xlfn.RANK.EQ(View_Table[[#This Row],[Weighted Win%]], View_Table[Weighted Win%], 0)</f>
        <v>32</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29</v>
      </c>
    </row>
    <row r="49" spans="2:16" hidden="1" x14ac:dyDescent="0.35">
      <c r="B49" s="3" t="s">
        <v>542</v>
      </c>
      <c r="C49" s="6">
        <f>View_Table[[#This Row],[Rank Previous]]-View_Table[[#This Row],[Rank]]</f>
        <v>-3</v>
      </c>
      <c r="D49" s="7">
        <f>_xlfn.RANK.EQ(View_Table[[#This Row],[Weighted Win%]], View_Table[Weighted Win%], 0)</f>
        <v>32</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29</v>
      </c>
    </row>
    <row r="50" spans="2:16" hidden="1" x14ac:dyDescent="0.35">
      <c r="B50" s="3" t="s">
        <v>57</v>
      </c>
      <c r="C50" s="6">
        <f>View_Table[[#This Row],[Rank Previous]]-View_Table[[#This Row],[Rank]]</f>
        <v>-3</v>
      </c>
      <c r="D50" s="7">
        <f>_xlfn.RANK.EQ(View_Table[[#This Row],[Weighted Win%]], View_Table[Weighted Win%], 0)</f>
        <v>32</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29</v>
      </c>
    </row>
    <row r="51" spans="2:16" hidden="1" x14ac:dyDescent="0.35">
      <c r="B51" s="3" t="s">
        <v>591</v>
      </c>
      <c r="C51" s="6">
        <f>View_Table[[#This Row],[Rank Previous]]-View_Table[[#This Row],[Rank]]</f>
        <v>-3</v>
      </c>
      <c r="D51" s="7">
        <f>_xlfn.RANK.EQ(View_Table[[#This Row],[Weighted Win%]], View_Table[Weighted Win%], 0)</f>
        <v>32</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29</v>
      </c>
    </row>
    <row r="52" spans="2:16" hidden="1" x14ac:dyDescent="0.35">
      <c r="B52" s="3" t="s">
        <v>61</v>
      </c>
      <c r="C52" s="6">
        <f>View_Table[[#This Row],[Rank Previous]]-View_Table[[#This Row],[Rank]]</f>
        <v>-3</v>
      </c>
      <c r="D52" s="7">
        <f>_xlfn.RANK.EQ(View_Table[[#This Row],[Weighted Win%]], View_Table[Weighted Win%], 0)</f>
        <v>32</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29</v>
      </c>
    </row>
    <row r="53" spans="2:16" hidden="1" x14ac:dyDescent="0.35">
      <c r="B53" s="3" t="s">
        <v>321</v>
      </c>
      <c r="C53" s="6">
        <f>View_Table[[#This Row],[Rank Previous]]-View_Table[[#This Row],[Rank]]</f>
        <v>-3</v>
      </c>
      <c r="D53" s="7">
        <f>_xlfn.RANK.EQ(View_Table[[#This Row],[Weighted Win%]], View_Table[Weighted Win%], 0)</f>
        <v>32</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29</v>
      </c>
    </row>
    <row r="54" spans="2:16" hidden="1" x14ac:dyDescent="0.35">
      <c r="B54" s="3" t="s">
        <v>38</v>
      </c>
      <c r="C54" s="6">
        <f>View_Table[[#This Row],[Rank Previous]]-View_Table[[#This Row],[Rank]]</f>
        <v>-3</v>
      </c>
      <c r="D54" s="7">
        <f>_xlfn.RANK.EQ(View_Table[[#This Row],[Weighted Win%]], View_Table[Weighted Win%], 0)</f>
        <v>32</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29</v>
      </c>
    </row>
    <row r="55" spans="2:16" hidden="1" x14ac:dyDescent="0.35">
      <c r="B55" s="3" t="s">
        <v>48</v>
      </c>
      <c r="C55" s="6">
        <f>View_Table[[#This Row],[Rank Previous]]-View_Table[[#This Row],[Rank]]</f>
        <v>-3</v>
      </c>
      <c r="D55" s="7">
        <f>_xlfn.RANK.EQ(View_Table[[#This Row],[Weighted Win%]], View_Table[Weighted Win%], 0)</f>
        <v>32</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29</v>
      </c>
    </row>
    <row r="56" spans="2:16" hidden="1" x14ac:dyDescent="0.35">
      <c r="B56" s="3" t="s">
        <v>608</v>
      </c>
      <c r="C56" s="6">
        <f>View_Table[[#This Row],[Rank Previous]]-View_Table[[#This Row],[Rank]]</f>
        <v>-3</v>
      </c>
      <c r="D56" s="7">
        <f>_xlfn.RANK.EQ(View_Table[[#This Row],[Weighted Win%]], View_Table[Weighted Win%], 0)</f>
        <v>32</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29</v>
      </c>
    </row>
    <row r="57" spans="2:16" hidden="1" x14ac:dyDescent="0.35">
      <c r="B57" s="3" t="s">
        <v>62</v>
      </c>
      <c r="C57" s="6">
        <f>View_Table[[#This Row],[Rank Previous]]-View_Table[[#This Row],[Rank]]</f>
        <v>-3</v>
      </c>
      <c r="D57" s="7">
        <f>_xlfn.RANK.EQ(View_Table[[#This Row],[Weighted Win%]], View_Table[Weighted Win%], 0)</f>
        <v>32</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29</v>
      </c>
    </row>
    <row r="58" spans="2:16" hidden="1" x14ac:dyDescent="0.35">
      <c r="B58" s="3" t="s">
        <v>54</v>
      </c>
      <c r="C58" s="6">
        <f>View_Table[[#This Row],[Rank Previous]]-View_Table[[#This Row],[Rank]]</f>
        <v>-3</v>
      </c>
      <c r="D58" s="7">
        <f>_xlfn.RANK.EQ(View_Table[[#This Row],[Weighted Win%]], View_Table[Weighted Win%], 0)</f>
        <v>32</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29</v>
      </c>
    </row>
    <row r="59" spans="2:16" hidden="1" x14ac:dyDescent="0.35">
      <c r="B59" s="3" t="s">
        <v>60</v>
      </c>
      <c r="C59" s="6">
        <f>View_Table[[#This Row],[Rank Previous]]-View_Table[[#This Row],[Rank]]</f>
        <v>-3</v>
      </c>
      <c r="D59" s="7">
        <f>_xlfn.RANK.EQ(View_Table[[#This Row],[Weighted Win%]], View_Table[Weighted Win%], 0)</f>
        <v>32</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29</v>
      </c>
    </row>
    <row r="60" spans="2:16" hidden="1" x14ac:dyDescent="0.35">
      <c r="B60" s="3" t="s">
        <v>85</v>
      </c>
      <c r="C60" s="6">
        <f>View_Table[[#This Row],[Rank Previous]]-View_Table[[#This Row],[Rank]]</f>
        <v>-3</v>
      </c>
      <c r="D60" s="7">
        <f>_xlfn.RANK.EQ(View_Table[[#This Row],[Weighted Win%]], View_Table[Weighted Win%], 0)</f>
        <v>32</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29</v>
      </c>
    </row>
    <row r="61" spans="2:16" hidden="1" x14ac:dyDescent="0.35">
      <c r="B61" s="3" t="s">
        <v>47</v>
      </c>
      <c r="C61" s="6">
        <f>View_Table[[#This Row],[Rank Previous]]-View_Table[[#This Row],[Rank]]</f>
        <v>-3</v>
      </c>
      <c r="D61" s="7">
        <f>_xlfn.RANK.EQ(View_Table[[#This Row],[Weighted Win%]], View_Table[Weighted Win%], 0)</f>
        <v>32</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29</v>
      </c>
    </row>
    <row r="62" spans="2:16" hidden="1" x14ac:dyDescent="0.35">
      <c r="B62" s="3" t="s">
        <v>50</v>
      </c>
      <c r="C62" s="6">
        <f>View_Table[[#This Row],[Rank Previous]]-View_Table[[#This Row],[Rank]]</f>
        <v>-3</v>
      </c>
      <c r="D62" s="7">
        <f>_xlfn.RANK.EQ(View_Table[[#This Row],[Weighted Win%]], View_Table[Weighted Win%], 0)</f>
        <v>32</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29</v>
      </c>
    </row>
    <row r="63" spans="2:16" hidden="1" x14ac:dyDescent="0.35">
      <c r="B63" s="3" t="s">
        <v>53</v>
      </c>
      <c r="C63" s="6">
        <f>View_Table[[#This Row],[Rank Previous]]-View_Table[[#This Row],[Rank]]</f>
        <v>-3</v>
      </c>
      <c r="D63" s="7">
        <f>_xlfn.RANK.EQ(View_Table[[#This Row],[Weighted Win%]], View_Table[Weighted Win%], 0)</f>
        <v>32</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29</v>
      </c>
    </row>
    <row r="64" spans="2:16" hidden="1" x14ac:dyDescent="0.35">
      <c r="B64" s="3" t="s">
        <v>56</v>
      </c>
      <c r="C64" s="6">
        <f>View_Table[[#This Row],[Rank Previous]]-View_Table[[#This Row],[Rank]]</f>
        <v>-3</v>
      </c>
      <c r="D64" s="7">
        <f>_xlfn.RANK.EQ(View_Table[[#This Row],[Weighted Win%]], View_Table[Weighted Win%], 0)</f>
        <v>32</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29</v>
      </c>
    </row>
    <row r="65" spans="2:16" hidden="1" x14ac:dyDescent="0.35">
      <c r="B65" s="3" t="s">
        <v>58</v>
      </c>
      <c r="C65" s="6">
        <f>View_Table[[#This Row],[Rank Previous]]-View_Table[[#This Row],[Rank]]</f>
        <v>-3</v>
      </c>
      <c r="D65" s="7">
        <f>_xlfn.RANK.EQ(View_Table[[#This Row],[Weighted Win%]], View_Table[Weighted Win%], 0)</f>
        <v>32</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29</v>
      </c>
    </row>
    <row r="66" spans="2:16" x14ac:dyDescent="0.35">
      <c r="B66" s="3" t="s">
        <v>435</v>
      </c>
      <c r="C66" s="6">
        <f>View_Table[[#This Row],[Rank Previous]]-View_Table[[#This Row],[Rank]]</f>
        <v>-4</v>
      </c>
      <c r="D66" s="7">
        <f>_xlfn.RANK.EQ(View_Table[[#This Row],[Weighted Win%]], View_Table[Weighted Win%], 0)</f>
        <v>19</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0</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0</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15</v>
      </c>
    </row>
    <row r="67" spans="2:16" hidden="1" x14ac:dyDescent="0.35">
      <c r="B67" s="3" t="s">
        <v>45</v>
      </c>
      <c r="C67" s="6">
        <f>View_Table[[#This Row],[Rank Previous]]-View_Table[[#This Row],[Rank]]</f>
        <v>-3</v>
      </c>
      <c r="D67" s="7">
        <f>_xlfn.RANK.EQ(View_Table[[#This Row],[Weighted Win%]], View_Table[Weighted Win%], 0)</f>
        <v>32</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29</v>
      </c>
    </row>
    <row r="68" spans="2:16" hidden="1" x14ac:dyDescent="0.35">
      <c r="B68" s="3" t="s">
        <v>40</v>
      </c>
      <c r="C68" s="6">
        <f>View_Table[[#This Row],[Rank Previous]]-View_Table[[#This Row],[Rank]]</f>
        <v>-3</v>
      </c>
      <c r="D68" s="7">
        <f>_xlfn.RANK.EQ(View_Table[[#This Row],[Weighted Win%]], View_Table[Weighted Win%], 0)</f>
        <v>32</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29</v>
      </c>
    </row>
    <row r="69" spans="2:16" hidden="1" x14ac:dyDescent="0.35">
      <c r="B69" s="3" t="s">
        <v>55</v>
      </c>
      <c r="C69" s="6">
        <f>View_Table[[#This Row],[Rank Previous]]-View_Table[[#This Row],[Rank]]</f>
        <v>-3</v>
      </c>
      <c r="D69" s="7">
        <f>_xlfn.RANK.EQ(View_Table[[#This Row],[Weighted Win%]], View_Table[Weighted Win%], 0)</f>
        <v>32</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29</v>
      </c>
    </row>
    <row r="70" spans="2:16" hidden="1" x14ac:dyDescent="0.35">
      <c r="B70" s="3" t="s">
        <v>16</v>
      </c>
      <c r="C70" s="6">
        <f>View_Table[[#This Row],[Rank Previous]]-View_Table[[#This Row],[Rank]]</f>
        <v>-3</v>
      </c>
      <c r="D70" s="7">
        <f>_xlfn.RANK.EQ(View_Table[[#This Row],[Weighted Win%]], View_Table[Weighted Win%], 0)</f>
        <v>32</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29</v>
      </c>
    </row>
    <row r="71" spans="2:16" hidden="1" x14ac:dyDescent="0.35">
      <c r="B71" s="3" t="s">
        <v>21</v>
      </c>
      <c r="C71" s="6">
        <f>View_Table[[#This Row],[Rank Previous]]-View_Table[[#This Row],[Rank]]</f>
        <v>-3</v>
      </c>
      <c r="D71" s="7">
        <f>_xlfn.RANK.EQ(View_Table[[#This Row],[Weighted Win%]], View_Table[Weighted Win%], 0)</f>
        <v>32</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29</v>
      </c>
    </row>
    <row r="72" spans="2:16" hidden="1" x14ac:dyDescent="0.35">
      <c r="B72" s="3" t="s">
        <v>49</v>
      </c>
      <c r="C72" s="6">
        <f>View_Table[[#This Row],[Rank Previous]]-View_Table[[#This Row],[Rank]]</f>
        <v>-3</v>
      </c>
      <c r="D72" s="7">
        <f>_xlfn.RANK.EQ(View_Table[[#This Row],[Weighted Win%]], View_Table[Weighted Win%], 0)</f>
        <v>32</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29</v>
      </c>
    </row>
    <row r="73" spans="2:16" hidden="1" x14ac:dyDescent="0.35">
      <c r="B73" s="3" t="s">
        <v>12</v>
      </c>
      <c r="C73" s="6">
        <f>View_Table[[#This Row],[Rank Previous]]-View_Table[[#This Row],[Rank]]</f>
        <v>-3</v>
      </c>
      <c r="D73" s="7">
        <f>_xlfn.RANK.EQ(View_Table[[#This Row],[Weighted Win%]], View_Table[Weighted Win%], 0)</f>
        <v>32</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29</v>
      </c>
    </row>
    <row r="74" spans="2:16" hidden="1" x14ac:dyDescent="0.35">
      <c r="B74" s="3" t="s">
        <v>44</v>
      </c>
      <c r="C74" s="6">
        <f>View_Table[[#This Row],[Rank Previous]]-View_Table[[#This Row],[Rank]]</f>
        <v>-3</v>
      </c>
      <c r="D74" s="7">
        <f>_xlfn.RANK.EQ(View_Table[[#This Row],[Weighted Win%]], View_Table[Weighted Win%], 0)</f>
        <v>32</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29</v>
      </c>
    </row>
    <row r="75" spans="2:16" hidden="1" x14ac:dyDescent="0.35">
      <c r="B75" s="3" t="s">
        <v>29</v>
      </c>
      <c r="C75" s="6">
        <f>View_Table[[#This Row],[Rank Previous]]-View_Table[[#This Row],[Rank]]</f>
        <v>-3</v>
      </c>
      <c r="D75" s="7">
        <f>_xlfn.RANK.EQ(View_Table[[#This Row],[Weighted Win%]], View_Table[Weighted Win%], 0)</f>
        <v>32</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29</v>
      </c>
    </row>
    <row r="76" spans="2:16" hidden="1" x14ac:dyDescent="0.35">
      <c r="B76" s="3" t="s">
        <v>65</v>
      </c>
      <c r="C76" s="6">
        <f>View_Table[[#This Row],[Rank Previous]]-View_Table[[#This Row],[Rank]]</f>
        <v>-3</v>
      </c>
      <c r="D76" s="7">
        <f>_xlfn.RANK.EQ(View_Table[[#This Row],[Weighted Win%]], View_Table[Weighted Win%], 0)</f>
        <v>32</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29</v>
      </c>
    </row>
    <row r="77" spans="2:16" hidden="1" x14ac:dyDescent="0.35">
      <c r="B77" s="3" t="s">
        <v>76</v>
      </c>
      <c r="C77" s="6">
        <f>View_Table[[#This Row],[Rank Previous]]-View_Table[[#This Row],[Rank]]</f>
        <v>-3</v>
      </c>
      <c r="D77" s="7">
        <f>_xlfn.RANK.EQ(View_Table[[#This Row],[Weighted Win%]], View_Table[Weighted Win%], 0)</f>
        <v>32</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29</v>
      </c>
    </row>
    <row r="78" spans="2:16" hidden="1" x14ac:dyDescent="0.35">
      <c r="B78" s="3" t="s">
        <v>39</v>
      </c>
      <c r="C78" s="6">
        <f>View_Table[[#This Row],[Rank Previous]]-View_Table[[#This Row],[Rank]]</f>
        <v>-3</v>
      </c>
      <c r="D78" s="7">
        <f>_xlfn.RANK.EQ(View_Table[[#This Row],[Weighted Win%]], View_Table[Weighted Win%], 0)</f>
        <v>32</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29</v>
      </c>
    </row>
    <row r="79" spans="2:16" hidden="1" x14ac:dyDescent="0.35">
      <c r="B79" s="3" t="s">
        <v>18</v>
      </c>
      <c r="C79" s="6">
        <f>View_Table[[#This Row],[Rank Previous]]-View_Table[[#This Row],[Rank]]</f>
        <v>-3</v>
      </c>
      <c r="D79" s="7">
        <f>_xlfn.RANK.EQ(View_Table[[#This Row],[Weighted Win%]], View_Table[Weighted Win%], 0)</f>
        <v>32</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29</v>
      </c>
    </row>
    <row r="80" spans="2:16" hidden="1" x14ac:dyDescent="0.35">
      <c r="B80" s="3" t="s">
        <v>592</v>
      </c>
      <c r="C80" s="6">
        <f>View_Table[[#This Row],[Rank Previous]]-View_Table[[#This Row],[Rank]]</f>
        <v>-3</v>
      </c>
      <c r="D80" s="7">
        <f>_xlfn.RANK.EQ(View_Table[[#This Row],[Weighted Win%]], View_Table[Weighted Win%], 0)</f>
        <v>32</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29</v>
      </c>
    </row>
    <row r="81" spans="2:16" hidden="1" x14ac:dyDescent="0.35">
      <c r="B81" s="3" t="s">
        <v>539</v>
      </c>
      <c r="C81" s="6">
        <f>View_Table[[#This Row],[Rank Previous]]-View_Table[[#This Row],[Rank]]</f>
        <v>-3</v>
      </c>
      <c r="D81" s="7">
        <f>_xlfn.RANK.EQ(View_Table[[#This Row],[Weighted Win%]], View_Table[Weighted Win%], 0)</f>
        <v>32</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29</v>
      </c>
    </row>
    <row r="82" spans="2:16" x14ac:dyDescent="0.35">
      <c r="B82" s="3" t="s">
        <v>605</v>
      </c>
      <c r="C82" s="6">
        <f>View_Table[[#This Row],[Rank Previous]]-View_Table[[#This Row],[Rank]]</f>
        <v>-4</v>
      </c>
      <c r="D82" s="7">
        <f>_xlfn.RANK.EQ(View_Table[[#This Row],[Weighted Win%]], View_Table[Weighted Win%], 0)</f>
        <v>19</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15</v>
      </c>
    </row>
    <row r="83" spans="2:16" x14ac:dyDescent="0.35">
      <c r="B83" s="3" t="s">
        <v>567</v>
      </c>
      <c r="C83" s="6">
        <f>View_Table[[#This Row],[Rank Previous]]-View_Table[[#This Row],[Rank]]</f>
        <v>-6</v>
      </c>
      <c r="D83" s="7">
        <f>_xlfn.RANK.EQ(View_Table[[#This Row],[Weighted Win%]], View_Table[Weighted Win%], 0)</f>
        <v>21</v>
      </c>
      <c r="E83" s="9">
        <f>_xlfn.LET(_xlpm.g,View_Table[[#This Row],[Games]], _xlpm.w,(View_Table[[#This Row],[Wins]] + View_Table[[#This Row],[Draws]] * 0.25), _xlpm.fake, MAX(0,25-_xlpm.g), IF(_xlpm.g=0,0,(_xlpm.w + _xlpm.fake*0.25)/(_xlpm.g + _xlpm.fake)))</f>
        <v>0.22</v>
      </c>
      <c r="F83" s="8">
        <f>IF(View_Table[[#This Row],[Games]]=0,0,(View_Table[[#This Row],[Wins]] + (View_Table[[#This Row],[Draws]] * 0.25))/View_Table[[#This Row],[Games]])</f>
        <v>6.25E-2</v>
      </c>
      <c r="G83" s="5">
        <f>IFERROR(
    GETPIVOTDATA(
        "Result",
        'Pivot Table'!$A$3,
        "Player",View_Table[[#This Row],[Player]],
        "Result","Win"
    ),
    0
)</f>
        <v>0</v>
      </c>
      <c r="H83" s="5">
        <f>IFERROR(
    GETPIVOTDATA(
        "Result",
        'Pivot Table'!$A$3,
        "Player",View_Table[[#This Row],[Player]],
        "Result","Loss"
    ),
    0
)</f>
        <v>3</v>
      </c>
      <c r="I83" s="5">
        <f>IFERROR(
    GETPIVOTDATA(
        "Result",
        'Pivot Table'!$A$3,
        "Player",View_Table[[#This Row],[Player]],
        "Result","Draw"
    ),
    0
)</f>
        <v>1</v>
      </c>
      <c r="J83" s="5">
        <f>View_Table[[#This Row],[Wins]]+View_Table[[#This Row],[Losses]]+View_Table[[#This Row],[Draws]]</f>
        <v>4</v>
      </c>
      <c r="K83" s="7">
        <f>IFERROR(
    GETPIVOTDATA(
        "Result",
        'Pivot Table Previous'!$A$3,
        "Player",View_Table[[#This Row],[Player]],
        "Result","Win"
    ),
    0
)</f>
        <v>0</v>
      </c>
      <c r="L83" s="5">
        <f>IFERROR(
    GETPIVOTDATA(
        "Result",
        'Pivot Table Previous'!$A$3,
        "Player",View_Table[[#This Row],[Player]],
        "Result","Loss"
    ),
    0
)</f>
        <v>2</v>
      </c>
      <c r="M83" s="5">
        <f>IFERROR(
    GETPIVOTDATA(
        "Result",
        'Pivot Table Previous'!$A$3,
        "Player",View_Table[[#This Row],[Player]],
        "Result","Draw"
    ),
    0
)</f>
        <v>0</v>
      </c>
      <c r="N83" s="5">
        <f>View_Table[[#This Row],[Wins Previous]]+View_Table[[#This Row],[Losses Previous]]+View_Table[[#This Row],[Draws Previous]]</f>
        <v>2</v>
      </c>
      <c r="O83" s="9">
        <f>_xlfn.LET(_xlpm.g,View_Table[[#This Row],[Games Previous]], _xlpm.w,(View_Table[[#This Row],[Wins Previous]] + View_Table[[#This Row],[Draws Previous]] * 0.25), _xlpm.fake, MAX(0,25-_xlpm.g), IF(_xlpm.g=0,0,(_xlpm.w + _xlpm.fake*0.25)/(_xlpm.g + _xlpm.fake)))</f>
        <v>0.23</v>
      </c>
      <c r="P83" s="7">
        <f>_xlfn.RANK.EQ(View_Table[[#This Row],[Weighted Win% Previous]], View_Table[Weighted Win% Previous], 0)</f>
        <v>15</v>
      </c>
    </row>
    <row r="84" spans="2:16" hidden="1" x14ac:dyDescent="0.35">
      <c r="B84" s="3" t="s">
        <v>579</v>
      </c>
      <c r="C84" s="6">
        <f>View_Table[[#This Row],[Rank Previous]]-View_Table[[#This Row],[Rank]]</f>
        <v>-3</v>
      </c>
      <c r="D84" s="7">
        <f>_xlfn.RANK.EQ(View_Table[[#This Row],[Weighted Win%]], View_Table[Weighted Win%], 0)</f>
        <v>32</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29</v>
      </c>
    </row>
    <row r="85" spans="2:16" hidden="1" x14ac:dyDescent="0.35">
      <c r="B85" s="3" t="s">
        <v>590</v>
      </c>
      <c r="C85" s="6">
        <f>View_Table[[#This Row],[Rank Previous]]-View_Table[[#This Row],[Rank]]</f>
        <v>-3</v>
      </c>
      <c r="D85" s="7">
        <f>_xlfn.RANK.EQ(View_Table[[#This Row],[Weighted Win%]], View_Table[Weighted Win%], 0)</f>
        <v>32</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29</v>
      </c>
    </row>
    <row r="86" spans="2:16" hidden="1" x14ac:dyDescent="0.35">
      <c r="B86" s="3" t="s">
        <v>551</v>
      </c>
      <c r="C86" s="6">
        <f>View_Table[[#This Row],[Rank Previous]]-View_Table[[#This Row],[Rank]]</f>
        <v>-3</v>
      </c>
      <c r="D86" s="7">
        <f>_xlfn.RANK.EQ(View_Table[[#This Row],[Weighted Win%]], View_Table[Weighted Win%], 0)</f>
        <v>32</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29</v>
      </c>
    </row>
    <row r="87" spans="2:16" hidden="1" x14ac:dyDescent="0.35">
      <c r="B87" s="3" t="s">
        <v>552</v>
      </c>
      <c r="C87" s="6">
        <f>View_Table[[#This Row],[Rank Previous]]-View_Table[[#This Row],[Rank]]</f>
        <v>-3</v>
      </c>
      <c r="D87" s="7">
        <f>_xlfn.RANK.EQ(View_Table[[#This Row],[Weighted Win%]], View_Table[Weighted Win%], 0)</f>
        <v>32</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29</v>
      </c>
    </row>
    <row r="88" spans="2:16" hidden="1" x14ac:dyDescent="0.35">
      <c r="B88" s="3" t="s">
        <v>553</v>
      </c>
      <c r="C88" s="6">
        <f>View_Table[[#This Row],[Rank Previous]]-View_Table[[#This Row],[Rank]]</f>
        <v>-3</v>
      </c>
      <c r="D88" s="7">
        <f>_xlfn.RANK.EQ(View_Table[[#This Row],[Weighted Win%]], View_Table[Weighted Win%], 0)</f>
        <v>32</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29</v>
      </c>
    </row>
    <row r="89" spans="2:16" hidden="1" x14ac:dyDescent="0.35">
      <c r="B89" s="3" t="s">
        <v>554</v>
      </c>
      <c r="C89" s="6">
        <f>View_Table[[#This Row],[Rank Previous]]-View_Table[[#This Row],[Rank]]</f>
        <v>-3</v>
      </c>
      <c r="D89" s="7">
        <f>_xlfn.RANK.EQ(View_Table[[#This Row],[Weighted Win%]], View_Table[Weighted Win%], 0)</f>
        <v>32</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29</v>
      </c>
    </row>
    <row r="90" spans="2:16" x14ac:dyDescent="0.35">
      <c r="B90" s="3" t="s">
        <v>519</v>
      </c>
      <c r="C90" s="6">
        <f>View_Table[[#This Row],[Rank Previous]]-View_Table[[#This Row],[Rank]]</f>
        <v>0</v>
      </c>
      <c r="D90" s="7">
        <f>_xlfn.RANK.EQ(View_Table[[#This Row],[Weighted Win%]], View_Table[Weighted Win%], 0)</f>
        <v>21</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0.15625</v>
      </c>
      <c r="G90" s="5">
        <f>IFERROR(
    GETPIVOTDATA(
        "Result",
        'Pivot Table'!$A$3,
        "Player",View_Table[[#This Row],[Player]],
        "Result","Win"
    ),
    0
)</f>
        <v>1</v>
      </c>
      <c r="H90" s="5">
        <f>IFERROR(
    GETPIVOTDATA(
        "Result",
        'Pivot Table'!$A$3,
        "Player",View_Table[[#This Row],[Player]],
        "Result","Loss"
    ),
    0
)</f>
        <v>6</v>
      </c>
      <c r="I90" s="5">
        <f>IFERROR(
    GETPIVOTDATA(
        "Result",
        'Pivot Table'!$A$3,
        "Player",View_Table[[#This Row],[Player]],
        "Result","Draw"
    ),
    0
)</f>
        <v>1</v>
      </c>
      <c r="J90" s="5">
        <f>View_Table[[#This Row],[Wins]]+View_Table[[#This Row],[Losses]]+View_Table[[#This Row],[Draws]]</f>
        <v>8</v>
      </c>
      <c r="K90" s="7">
        <f>IFERROR(
    GETPIVOTDATA(
        "Result",
        'Pivot Table Previous'!$A$3,
        "Player",View_Table[[#This Row],[Player]],
        "Result","Win"
    ),
    0
)</f>
        <v>1</v>
      </c>
      <c r="L90" s="5">
        <f>IFERROR(
    GETPIVOTDATA(
        "Result",
        'Pivot Table Previous'!$A$3,
        "Player",View_Table[[#This Row],[Player]],
        "Result","Loss"
    ),
    0
)</f>
        <v>6</v>
      </c>
      <c r="M90" s="5">
        <f>IFERROR(
    GETPIVOTDATA(
        "Result",
        'Pivot Table Previous'!$A$3,
        "Player",View_Table[[#This Row],[Player]],
        "Result","Draw"
    ),
    0
)</f>
        <v>1</v>
      </c>
      <c r="N90" s="5">
        <f>View_Table[[#This Row],[Wins Previous]]+View_Table[[#This Row],[Losses Previous]]+View_Table[[#This Row],[Draws Previous]]</f>
        <v>8</v>
      </c>
      <c r="O90" s="9">
        <f>_xlfn.LET(_xlpm.g,View_Table[[#This Row],[Games Previous]], _xlpm.w,(View_Table[[#This Row],[Wins Previous]] + View_Table[[#This Row],[Draws Previous]] * 0.25), _xlpm.fake, MAX(0,25-_xlpm.g), IF(_xlpm.g=0,0,(_xlpm.w + _xlpm.fake*0.25)/(_xlpm.g + _xlpm.fake)))</f>
        <v>0.22</v>
      </c>
      <c r="P90" s="7">
        <f>_xlfn.RANK.EQ(View_Table[[#This Row],[Weighted Win% Previous]], View_Table[Weighted Win% Previous], 0)</f>
        <v>21</v>
      </c>
    </row>
    <row r="91" spans="2:16" x14ac:dyDescent="0.35">
      <c r="B91" s="3" t="s">
        <v>540</v>
      </c>
      <c r="C91" s="6">
        <f>View_Table[[#This Row],[Rank Previous]]-View_Table[[#This Row],[Rank]]</f>
        <v>0</v>
      </c>
      <c r="D91" s="7">
        <f>_xlfn.RANK.EQ(View_Table[[#This Row],[Weighted Win%]], View_Table[Weighted Win%], 0)</f>
        <v>21</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21</v>
      </c>
    </row>
    <row r="92" spans="2:16" x14ac:dyDescent="0.35">
      <c r="B92" s="3" t="s">
        <v>27</v>
      </c>
      <c r="C92" s="6">
        <f>View_Table[[#This Row],[Rank Previous]]-View_Table[[#This Row],[Rank]]</f>
        <v>0</v>
      </c>
      <c r="D92" s="7">
        <f>_xlfn.RANK.EQ(View_Table[[#This Row],[Weighted Win%]], View_Table[Weighted Win%], 0)</f>
        <v>21</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0.15625</v>
      </c>
      <c r="G92" s="5">
        <f>IFERROR(
    GETPIVOTDATA(
        "Result",
        'Pivot Table'!$A$3,
        "Player",View_Table[[#This Row],[Player]],
        "Result","Win"
    ),
    0
)</f>
        <v>1</v>
      </c>
      <c r="H92" s="5">
        <f>IFERROR(
    GETPIVOTDATA(
        "Result",
        'Pivot Table'!$A$3,
        "Player",View_Table[[#This Row],[Player]],
        "Result","Loss"
    ),
    0
)</f>
        <v>6</v>
      </c>
      <c r="I92" s="5">
        <f>IFERROR(
    GETPIVOTDATA(
        "Result",
        'Pivot Table'!$A$3,
        "Player",View_Table[[#This Row],[Player]],
        "Result","Draw"
    ),
    0
)</f>
        <v>1</v>
      </c>
      <c r="J92" s="5">
        <f>View_Table[[#This Row],[Wins]]+View_Table[[#This Row],[Losses]]+View_Table[[#This Row],[Draws]]</f>
        <v>8</v>
      </c>
      <c r="K92" s="7">
        <f>IFERROR(
    GETPIVOTDATA(
        "Result",
        'Pivot Table Previous'!$A$3,
        "Player",View_Table[[#This Row],[Player]],
        "Result","Win"
    ),
    0
)</f>
        <v>1</v>
      </c>
      <c r="L92" s="5">
        <f>IFERROR(
    GETPIVOTDATA(
        "Result",
        'Pivot Table Previous'!$A$3,
        "Player",View_Table[[#This Row],[Player]],
        "Result","Loss"
    ),
    0
)</f>
        <v>6</v>
      </c>
      <c r="M92" s="5">
        <f>IFERROR(
    GETPIVOTDATA(
        "Result",
        'Pivot Table Previous'!$A$3,
        "Player",View_Table[[#This Row],[Player]],
        "Result","Draw"
    ),
    0
)</f>
        <v>1</v>
      </c>
      <c r="N92" s="5">
        <f>View_Table[[#This Row],[Wins Previous]]+View_Table[[#This Row],[Losses Previous]]+View_Table[[#This Row],[Draws Previous]]</f>
        <v>8</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21</v>
      </c>
    </row>
    <row r="93" spans="2:16" x14ac:dyDescent="0.35">
      <c r="B93" s="3" t="s">
        <v>578</v>
      </c>
      <c r="C93" s="6">
        <f>View_Table[[#This Row],[Rank Previous]]-View_Table[[#This Row],[Rank]]</f>
        <v>0</v>
      </c>
      <c r="D93" s="7">
        <f>_xlfn.RANK.EQ(View_Table[[#This Row],[Weighted Win%]], View_Table[Weighted Win%], 0)</f>
        <v>21</v>
      </c>
      <c r="E93" s="9">
        <f>_xlfn.LET(_xlpm.g,View_Table[[#This Row],[Games]], _xlpm.w,(View_Table[[#This Row],[Wins]] + View_Table[[#This Row],[Draws]] * 0.25), _xlpm.fake, MAX(0,25-_xlpm.g), IF(_xlpm.g=0,0,(_xlpm.w + _xlpm.fake*0.25)/(_xlpm.g + _xlpm.fake)))</f>
        <v>0.22</v>
      </c>
      <c r="F93" s="8">
        <f>IF(View_Table[[#This Row],[Games]]=0,0,(View_Table[[#This Row],[Wins]] + (View_Table[[#This Row],[Draws]] * 0.25))/View_Table[[#This Row],[Games]])</f>
        <v>0.17499999999999999</v>
      </c>
      <c r="G93" s="5">
        <f>IFERROR(
    GETPIVOTDATA(
        "Result",
        'Pivot Table'!$A$3,
        "Player",View_Table[[#This Row],[Player]],
        "Result","Win"
    ),
    0
)</f>
        <v>1</v>
      </c>
      <c r="H93" s="5">
        <f>IFERROR(
    GETPIVOTDATA(
        "Result",
        'Pivot Table'!$A$3,
        "Player",View_Table[[#This Row],[Player]],
        "Result","Loss"
    ),
    0
)</f>
        <v>6</v>
      </c>
      <c r="I93" s="5">
        <f>IFERROR(
    GETPIVOTDATA(
        "Result",
        'Pivot Table'!$A$3,
        "Player",View_Table[[#This Row],[Player]],
        "Result","Draw"
    ),
    0
)</f>
        <v>3</v>
      </c>
      <c r="J93" s="5">
        <f>View_Table[[#This Row],[Wins]]+View_Table[[#This Row],[Losses]]+View_Table[[#This Row],[Draws]]</f>
        <v>10</v>
      </c>
      <c r="K93" s="7">
        <f>IFERROR(
    GETPIVOTDATA(
        "Result",
        'Pivot Table Previous'!$A$3,
        "Player",View_Table[[#This Row],[Player]],
        "Result","Win"
    ),
    0
)</f>
        <v>1</v>
      </c>
      <c r="L93" s="5">
        <f>IFERROR(
    GETPIVOTDATA(
        "Result",
        'Pivot Table Previous'!$A$3,
        "Player",View_Table[[#This Row],[Player]],
        "Result","Loss"
    ),
    0
)</f>
        <v>6</v>
      </c>
      <c r="M93" s="5">
        <f>IFERROR(
    GETPIVOTDATA(
        "Result",
        'Pivot Table Previous'!$A$3,
        "Player",View_Table[[#This Row],[Player]],
        "Result","Draw"
    ),
    0
)</f>
        <v>1</v>
      </c>
      <c r="N93" s="5">
        <f>View_Table[[#This Row],[Wins Previous]]+View_Table[[#This Row],[Losses Previous]]+View_Table[[#This Row],[Draws Previous]]</f>
        <v>8</v>
      </c>
      <c r="O93" s="9">
        <f>_xlfn.LET(_xlpm.g,View_Table[[#This Row],[Games Previous]], _xlpm.w,(View_Table[[#This Row],[Wins Previous]] + View_Table[[#This Row],[Draws Previous]] * 0.25), _xlpm.fake, MAX(0,25-_xlpm.g), IF(_xlpm.g=0,0,(_xlpm.w + _xlpm.fake*0.25)/(_xlpm.g + _xlpm.fake)))</f>
        <v>0.22</v>
      </c>
      <c r="P93" s="7">
        <f>_xlfn.RANK.EQ(View_Table[[#This Row],[Weighted Win% Previous]], View_Table[Weighted Win% Previous], 0)</f>
        <v>21</v>
      </c>
    </row>
    <row r="94" spans="2:16" hidden="1" x14ac:dyDescent="0.35">
      <c r="B94" s="3" t="s">
        <v>606</v>
      </c>
      <c r="C94" s="6">
        <f>View_Table[[#This Row],[Rank Previous]]-View_Table[[#This Row],[Rank]]</f>
        <v>-3</v>
      </c>
      <c r="D94" s="7">
        <f>_xlfn.RANK.EQ(View_Table[[#This Row],[Weighted Win%]], View_Table[Weighted Win%], 0)</f>
        <v>32</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29</v>
      </c>
    </row>
    <row r="95" spans="2:16" x14ac:dyDescent="0.35">
      <c r="B95" s="3" t="s">
        <v>41</v>
      </c>
      <c r="C95" s="6">
        <f>View_Table[[#This Row],[Rank Previous]]-View_Table[[#This Row],[Rank]]</f>
        <v>-11</v>
      </c>
      <c r="D95" s="7">
        <f>_xlfn.RANK.EQ(View_Table[[#This Row],[Weighted Win%]], View_Table[Weighted Win%], 0)</f>
        <v>26</v>
      </c>
      <c r="E95" s="9">
        <f>_xlfn.LET(_xlpm.g,View_Table[[#This Row],[Games]], _xlpm.w,(View_Table[[#This Row],[Wins]] + View_Table[[#This Row],[Draws]] * 0.25), _xlpm.fake, MAX(0,25-_xlpm.g), IF(_xlpm.g=0,0,(_xlpm.w + _xlpm.fake*0.25)/(_xlpm.g + _xlpm.fake)))</f>
        <v>0.21</v>
      </c>
      <c r="F95" s="8">
        <f>IF(View_Table[[#This Row],[Games]]=0,0,(View_Table[[#This Row],[Wins]] + (View_Table[[#This Row],[Draws]] * 0.25))/View_Table[[#This Row],[Games]])</f>
        <v>0.125</v>
      </c>
      <c r="G95" s="5">
        <f>IFERROR(
    GETPIVOTDATA(
        "Result",
        'Pivot Table'!$A$3,
        "Player",View_Table[[#This Row],[Player]],
        "Result","Win"
    ),
    0
)</f>
        <v>1</v>
      </c>
      <c r="H95" s="5">
        <f>IFERROR(
    GETPIVOTDATA(
        "Result",
        'Pivot Table'!$A$3,
        "Player",View_Table[[#This Row],[Player]],
        "Result","Loss"
    ),
    0
)</f>
        <v>7</v>
      </c>
      <c r="I95" s="5">
        <f>IFERROR(
    GETPIVOTDATA(
        "Result",
        'Pivot Table'!$A$3,
        "Player",View_Table[[#This Row],[Player]],
        "Result","Draw"
    ),
    0
)</f>
        <v>0</v>
      </c>
      <c r="J95" s="5">
        <f>View_Table[[#This Row],[Wins]]+View_Table[[#This Row],[Losses]]+View_Table[[#This Row],[Draws]]</f>
        <v>8</v>
      </c>
      <c r="K95" s="5">
        <f>IFERROR(
    GETPIVOTDATA(
        "Result",
        'Pivot Table Previous'!$A$3,
        "Player",View_Table[[#This Row],[Player]],
        "Result","Win"
    ),
    0
)</f>
        <v>1</v>
      </c>
      <c r="L95" s="5">
        <f>IFERROR(
    GETPIVOTDATA(
        "Result",
        'Pivot Table Previous'!$A$3,
        "Player",View_Table[[#This Row],[Player]],
        "Result","Loss"
    ),
    0
)</f>
        <v>5</v>
      </c>
      <c r="M95" s="5">
        <f>IFERROR(
    GETPIVOTDATA(
        "Result",
        'Pivot Table Previous'!$A$3,
        "Player",View_Table[[#This Row],[Player]],
        "Result","Draw"
    ),
    0
)</f>
        <v>0</v>
      </c>
      <c r="N95" s="5">
        <f>View_Table[[#This Row],[Wins Previous]]+View_Table[[#This Row],[Losses Previous]]+View_Table[[#This Row],[Draws Previous]]</f>
        <v>6</v>
      </c>
      <c r="O95" s="9">
        <f>_xlfn.LET(_xlpm.g,View_Table[[#This Row],[Games Previous]], _xlpm.w,(View_Table[[#This Row],[Wins Previous]] + View_Table[[#This Row],[Draws Previous]] * 0.25), _xlpm.fake, MAX(0,25-_xlpm.g), IF(_xlpm.g=0,0,(_xlpm.w + _xlpm.fake*0.25)/(_xlpm.g + _xlpm.fake)))</f>
        <v>0.23</v>
      </c>
      <c r="P95" s="7">
        <f>IF(View_Table[[#This Row],[Games Previous]]=0,
    View_Table[[#This Row],[Rank]],
    _xlfn.RANK.EQ(View_Table[[#This Row],[Weighted Win% Previous]], View_Table[Weighted Win% Previous], 0)
)</f>
        <v>15</v>
      </c>
    </row>
    <row r="96" spans="2:16" x14ac:dyDescent="0.35">
      <c r="B96" s="3" t="s">
        <v>609</v>
      </c>
      <c r="C96" s="6">
        <f>View_Table[[#This Row],[Rank Previous]]-View_Table[[#This Row],[Rank]]</f>
        <v>-11</v>
      </c>
      <c r="D96" s="7">
        <f>_xlfn.RANK.EQ(View_Table[[#This Row],[Weighted Win%]], View_Table[Weighted Win%], 0)</f>
        <v>26</v>
      </c>
      <c r="E96" s="9">
        <f>_xlfn.LET(_xlpm.g,View_Table[[#This Row],[Games]], _xlpm.w,(View_Table[[#This Row],[Wins]] + View_Table[[#This Row],[Draws]] * 0.25), _xlpm.fake, MAX(0,25-_xlpm.g), IF(_xlpm.g=0,0,(_xlpm.w + _xlpm.fake*0.25)/(_xlpm.g + _xlpm.fake)))</f>
        <v>0.21</v>
      </c>
      <c r="F96" s="8">
        <f>IF(View_Table[[#This Row],[Games]]=0,0,(View_Table[[#This Row],[Wins]] + (View_Table[[#This Row],[Draws]] * 0.25))/View_Table[[#This Row],[Games]])</f>
        <v>8.3333333333333329E-2</v>
      </c>
      <c r="G96" s="5">
        <f>IFERROR(
    GETPIVOTDATA(
        "Result",
        'Pivot Table'!$A$3,
        "Player",View_Table[[#This Row],[Player]],
        "Result","Win"
    ),
    0
)</f>
        <v>0</v>
      </c>
      <c r="H96" s="5">
        <f>IFERROR(
    GETPIVOTDATA(
        "Result",
        'Pivot Table'!$A$3,
        "Player",View_Table[[#This Row],[Player]],
        "Result","Loss"
    ),
    0
)</f>
        <v>4</v>
      </c>
      <c r="I96" s="5">
        <f>IFERROR(
    GETPIVOTDATA(
        "Result",
        'Pivot Table'!$A$3,
        "Player",View_Table[[#This Row],[Player]],
        "Result","Draw"
    ),
    0
)</f>
        <v>2</v>
      </c>
      <c r="J96" s="5">
        <f>View_Table[[#This Row],[Wins]]+View_Table[[#This Row],[Losses]]+View_Table[[#This Row],[Draws]]</f>
        <v>6</v>
      </c>
      <c r="K96" s="7">
        <f>IFERROR(
    GETPIVOTDATA(
        "Result",
        'Pivot Table Previous'!$A$3,
        "Player",View_Table[[#This Row],[Player]],
        "Result","Win"
    ),
    0
)</f>
        <v>0</v>
      </c>
      <c r="L96" s="5">
        <f>IFERROR(
    GETPIVOTDATA(
        "Result",
        'Pivot Table Previous'!$A$3,
        "Player",View_Table[[#This Row],[Player]],
        "Result","Loss"
    ),
    0
)</f>
        <v>2</v>
      </c>
      <c r="M96" s="5">
        <f>IFERROR(
    GETPIVOTDATA(
        "Result",
        'Pivot Table Previous'!$A$3,
        "Player",View_Table[[#This Row],[Player]],
        "Result","Draw"
    ),
    0
)</f>
        <v>2</v>
      </c>
      <c r="N96" s="5">
        <f>View_Table[[#This Row],[Wins Previous]]+View_Table[[#This Row],[Losses Previous]]+View_Table[[#This Row],[Draws Previous]]</f>
        <v>4</v>
      </c>
      <c r="O96" s="9">
        <f>_xlfn.LET(_xlpm.g,View_Table[[#This Row],[Games Previous]], _xlpm.w,(View_Table[[#This Row],[Wins Previous]] + View_Table[[#This Row],[Draws Previous]] * 0.25), _xlpm.fake, MAX(0,25-_xlpm.g), IF(_xlpm.g=0,0,(_xlpm.w + _xlpm.fake*0.25)/(_xlpm.g + _xlpm.fake)))</f>
        <v>0.23</v>
      </c>
      <c r="P96" s="7">
        <f>_xlfn.RANK.EQ(View_Table[[#This Row],[Weighted Win% Previous]], View_Table[Weighted Win% Previous], 0)</f>
        <v>15</v>
      </c>
    </row>
    <row r="97" spans="2:16" x14ac:dyDescent="0.35">
      <c r="B97" s="3" t="s">
        <v>433</v>
      </c>
      <c r="C97" s="6">
        <f>View_Table[[#This Row],[Rank Previous]]-View_Table[[#This Row],[Rank]]</f>
        <v>-3</v>
      </c>
      <c r="D97" s="7">
        <f>_xlfn.RANK.EQ(View_Table[[#This Row],[Weighted Win%]], View_Table[Weighted Win%], 0)</f>
        <v>28</v>
      </c>
      <c r="E97" s="9">
        <f>_xlfn.LET(_xlpm.g,View_Table[[#This Row],[Games]], _xlpm.w,(View_Table[[#This Row],[Wins]] + View_Table[[#This Row],[Draws]] * 0.25), _xlpm.fake, MAX(0,25-_xlpm.g), IF(_xlpm.g=0,0,(_xlpm.w + _xlpm.fake*0.25)/(_xlpm.g + _xlpm.fake)))</f>
        <v>0.2</v>
      </c>
      <c r="F97" s="8">
        <f>IF(View_Table[[#This Row],[Games]]=0,0,(View_Table[[#This Row],[Wins]] + (View_Table[[#This Row],[Draws]] * 0.25))/View_Table[[#This Row],[Games]])</f>
        <v>4.1666666666666664E-2</v>
      </c>
      <c r="G97" s="5">
        <f>IFERROR(
    GETPIVOTDATA(
        "Result",
        'Pivot Table'!$A$3,
        "Player",View_Table[[#This Row],[Player]],
        "Result","Win"
    ),
    0
)</f>
        <v>0</v>
      </c>
      <c r="H97" s="5">
        <f>IFERROR(
    GETPIVOTDATA(
        "Result",
        'Pivot Table'!$A$3,
        "Player",View_Table[[#This Row],[Player]],
        "Result","Loss"
    ),
    0
)</f>
        <v>5</v>
      </c>
      <c r="I97" s="5">
        <f>IFERROR(
    GETPIVOTDATA(
        "Result",
        'Pivot Table'!$A$3,
        "Player",View_Table[[#This Row],[Player]],
        "Result","Draw"
    ),
    0
)</f>
        <v>1</v>
      </c>
      <c r="J97" s="5">
        <f>View_Table[[#This Row],[Wins]]+View_Table[[#This Row],[Losses]]+View_Table[[#This Row],[Draws]]</f>
        <v>6</v>
      </c>
      <c r="K97" s="7">
        <f>IFERROR(
    GETPIVOTDATA(
        "Result",
        'Pivot Table Previous'!$A$3,
        "Player",View_Table[[#This Row],[Player]],
        "Result","Win"
    ),
    0
)</f>
        <v>0</v>
      </c>
      <c r="L97" s="5">
        <f>IFERROR(
    GETPIVOTDATA(
        "Result",
        'Pivot Table Previous'!$A$3,
        "Player",View_Table[[#This Row],[Player]],
        "Result","Loss"
    ),
    0
)</f>
        <v>4</v>
      </c>
      <c r="M97" s="5">
        <f>IFERROR(
    GETPIVOTDATA(
        "Result",
        'Pivot Table Previous'!$A$3,
        "Player",View_Table[[#This Row],[Player]],
        "Result","Draw"
    ),
    0
)</f>
        <v>0</v>
      </c>
      <c r="N97" s="5">
        <f>View_Table[[#This Row],[Wins Previous]]+View_Table[[#This Row],[Losses Previous]]+View_Table[[#This Row],[Draws Previous]]</f>
        <v>4</v>
      </c>
      <c r="O97" s="9">
        <f>_xlfn.LET(_xlpm.g,View_Table[[#This Row],[Games Previous]], _xlpm.w,(View_Table[[#This Row],[Wins Previous]] + View_Table[[#This Row],[Draws Previous]] * 0.25), _xlpm.fake, MAX(0,25-_xlpm.g), IF(_xlpm.g=0,0,(_xlpm.w + _xlpm.fake*0.25)/(_xlpm.g + _xlpm.fake)))</f>
        <v>0.21</v>
      </c>
      <c r="P97" s="7">
        <f>_xlfn.RANK.EQ(View_Table[[#This Row],[Weighted Win% Previous]], View_Table[Weighted Win% Previous], 0)</f>
        <v>25</v>
      </c>
    </row>
    <row r="98" spans="2:16" x14ac:dyDescent="0.35">
      <c r="B98" s="3" t="s">
        <v>14</v>
      </c>
      <c r="C98" s="6">
        <f>View_Table[[#This Row],[Rank Previous]]-View_Table[[#This Row],[Rank]]</f>
        <v>-2</v>
      </c>
      <c r="D98" s="7">
        <f>_xlfn.RANK.EQ(View_Table[[#This Row],[Weighted Win%]], View_Table[Weighted Win%], 0)</f>
        <v>28</v>
      </c>
      <c r="E98" s="9">
        <f>_xlfn.LET(_xlpm.g,View_Table[[#This Row],[Games]], _xlpm.w,(View_Table[[#This Row],[Wins]] + View_Table[[#This Row],[Draws]] * 0.25), _xlpm.fake, MAX(0,25-_xlpm.g), IF(_xlpm.g=0,0,(_xlpm.w + _xlpm.fake*0.25)/(_xlpm.g + _xlpm.fake)))</f>
        <v>0.2</v>
      </c>
      <c r="F98" s="8">
        <f>IF(View_Table[[#This Row],[Games]]=0,0,(View_Table[[#This Row],[Wins]] + (View_Table[[#This Row],[Draws]] * 0.25))/View_Table[[#This Row],[Games]])</f>
        <v>0.14583333333333334</v>
      </c>
      <c r="G98" s="5">
        <f>IFERROR(
    GETPIVOTDATA(
        "Result",
        'Pivot Table'!$A$3,
        "Player",View_Table[[#This Row],[Player]],
        "Result","Win"
    ),
    0
)</f>
        <v>1</v>
      </c>
      <c r="H98" s="5">
        <f>IFERROR(
    GETPIVOTDATA(
        "Result",
        'Pivot Table'!$A$3,
        "Player",View_Table[[#This Row],[Player]],
        "Result","Loss"
    ),
    0
)</f>
        <v>8</v>
      </c>
      <c r="I98" s="5">
        <f>IFERROR(
    GETPIVOTDATA(
        "Result",
        'Pivot Table'!$A$3,
        "Player",View_Table[[#This Row],[Player]],
        "Result","Draw"
    ),
    0
)</f>
        <v>3</v>
      </c>
      <c r="J98" s="5">
        <f>View_Table[[#This Row],[Wins]]+View_Table[[#This Row],[Losses]]+View_Table[[#This Row],[Draws]]</f>
        <v>12</v>
      </c>
      <c r="K98" s="5">
        <f>IFERROR(
    GETPIVOTDATA(
        "Result",
        'Pivot Table Previous'!$A$3,
        "Player",View_Table[[#This Row],[Player]],
        "Result","Win"
    ),
    0
)</f>
        <v>1</v>
      </c>
      <c r="L98" s="5">
        <f>IFERROR(
    GETPIVOTDATA(
        "Result",
        'Pivot Table Previous'!$A$3,
        "Player",View_Table[[#This Row],[Player]],
        "Result","Loss"
    ),
    0
)</f>
        <v>8</v>
      </c>
      <c r="M98" s="5">
        <f>IFERROR(
    GETPIVOTDATA(
        "Result",
        'Pivot Table Previous'!$A$3,
        "Player",View_Table[[#This Row],[Player]],
        "Result","Draw"
    ),
    0
)</f>
        <v>1</v>
      </c>
      <c r="N98" s="5">
        <f>View_Table[[#This Row],[Wins Previous]]+View_Table[[#This Row],[Losses Previous]]+View_Table[[#This Row],[Draws Previous]]</f>
        <v>10</v>
      </c>
      <c r="O98" s="9">
        <f>_xlfn.LET(_xlpm.g,View_Table[[#This Row],[Games Previous]], _xlpm.w,(View_Table[[#This Row],[Wins Previous]] + View_Table[[#This Row],[Draws Previous]] * 0.25), _xlpm.fake, MAX(0,25-_xlpm.g), IF(_xlpm.g=0,0,(_xlpm.w + _xlpm.fake*0.25)/(_xlpm.g + _xlpm.fake)))</f>
        <v>0.2</v>
      </c>
      <c r="P98" s="7">
        <f>IF(View_Table[[#This Row],[Games Previous]]=0,
    View_Table[[#This Row],[Rank]],
    _xlfn.RANK.EQ(View_Table[[#This Row],[Weighted Win% Previous]], View_Table[Weighted Win% Previous], 0)
)</f>
        <v>26</v>
      </c>
    </row>
    <row r="99" spans="2:16" x14ac:dyDescent="0.35">
      <c r="B99" s="3" t="s">
        <v>10</v>
      </c>
      <c r="C99" s="6">
        <f>View_Table[[#This Row],[Rank Previous]]-View_Table[[#This Row],[Rank]]</f>
        <v>-2</v>
      </c>
      <c r="D99" s="7">
        <f>_xlfn.RANK.EQ(View_Table[[#This Row],[Weighted Win%]], View_Table[Weighted Win%], 0)</f>
        <v>28</v>
      </c>
      <c r="E99" s="9">
        <f>_xlfn.LET(_xlpm.g,View_Table[[#This Row],[Games]], _xlpm.w,(View_Table[[#This Row],[Wins]] + View_Table[[#This Row],[Draws]] * 0.25), _xlpm.fake, MAX(0,25-_xlpm.g), IF(_xlpm.g=0,0,(_xlpm.w + _xlpm.fake*0.25)/(_xlpm.g + _xlpm.fake)))</f>
        <v>0.2</v>
      </c>
      <c r="F99" s="8">
        <f>IF(View_Table[[#This Row],[Games]]=0,0,(View_Table[[#This Row],[Wins]] + (View_Table[[#This Row],[Draws]] * 0.25))/View_Table[[#This Row],[Games]])</f>
        <v>4.1666666666666664E-2</v>
      </c>
      <c r="G99" s="5">
        <f>IFERROR(
    GETPIVOTDATA(
        "Result",
        'Pivot Table'!$A$3,
        "Player",View_Table[[#This Row],[Player]],
        "Result","Win"
    ),
    0
)</f>
        <v>0</v>
      </c>
      <c r="H99" s="5">
        <f>IFERROR(
    GETPIVOTDATA(
        "Result",
        'Pivot Table'!$A$3,
        "Player",View_Table[[#This Row],[Player]],
        "Result","Loss"
    ),
    0
)</f>
        <v>5</v>
      </c>
      <c r="I99" s="5">
        <f>IFERROR(
    GETPIVOTDATA(
        "Result",
        'Pivot Table'!$A$3,
        "Player",View_Table[[#This Row],[Player]],
        "Result","Draw"
    ),
    0
)</f>
        <v>1</v>
      </c>
      <c r="J99" s="5">
        <f>View_Table[[#This Row],[Wins]]+View_Table[[#This Row],[Losses]]+View_Table[[#This Row],[Draws]]</f>
        <v>6</v>
      </c>
      <c r="K99" s="7">
        <f>IFERROR(
    GETPIVOTDATA(
        "Result",
        'Pivot Table Previous'!$A$3,
        "Player",View_Table[[#This Row],[Player]],
        "Result","Win"
    ),
    0
)</f>
        <v>0</v>
      </c>
      <c r="L99" s="5">
        <f>IFERROR(
    GETPIVOTDATA(
        "Result",
        'Pivot Table Previous'!$A$3,
        "Player",View_Table[[#This Row],[Player]],
        "Result","Loss"
    ),
    0
)</f>
        <v>5</v>
      </c>
      <c r="M99" s="5">
        <f>IFERROR(
    GETPIVOTDATA(
        "Result",
        'Pivot Table Previous'!$A$3,
        "Player",View_Table[[#This Row],[Player]],
        "Result","Draw"
    ),
    0
)</f>
        <v>1</v>
      </c>
      <c r="N99" s="5">
        <f>View_Table[[#This Row],[Wins Previous]]+View_Table[[#This Row],[Losses Previous]]+View_Table[[#This Row],[Draws Previous]]</f>
        <v>6</v>
      </c>
      <c r="O99" s="9">
        <f>_xlfn.LET(_xlpm.g,View_Table[[#This Row],[Games Previous]], _xlpm.w,(View_Table[[#This Row],[Wins Previous]] + View_Table[[#This Row],[Draws Previous]] * 0.25), _xlpm.fake, MAX(0,25-_xlpm.g), IF(_xlpm.g=0,0,(_xlpm.w + _xlpm.fake*0.25)/(_xlpm.g + _xlpm.fake)))</f>
        <v>0.2</v>
      </c>
      <c r="P99" s="7">
        <f>_xlfn.RANK.EQ(View_Table[[#This Row],[Weighted Win% Previous]], View_Table[Weighted Win% Previous], 0)</f>
        <v>26</v>
      </c>
    </row>
    <row r="100" spans="2:16" hidden="1" x14ac:dyDescent="0.35">
      <c r="B100" s="3" t="s">
        <v>436</v>
      </c>
      <c r="C100" s="6">
        <f>View_Table[[#This Row],[Rank Previous]]-View_Table[[#This Row],[Rank]]</f>
        <v>-3</v>
      </c>
      <c r="D100" s="7">
        <f>_xlfn.RANK.EQ(View_Table[[#This Row],[Weighted Win%]], View_Table[Weighted Win%], 0)</f>
        <v>32</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29</v>
      </c>
    </row>
    <row r="101" spans="2:16" hidden="1" x14ac:dyDescent="0.35">
      <c r="B101" s="3" t="s">
        <v>363</v>
      </c>
      <c r="C101" s="6">
        <f>View_Table[[#This Row],[Rank Previous]]-View_Table[[#This Row],[Rank]]</f>
        <v>-3</v>
      </c>
      <c r="D101" s="7">
        <f>_xlfn.RANK.EQ(View_Table[[#This Row],[Weighted Win%]], View_Table[Weighted Win%], 0)</f>
        <v>32</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29</v>
      </c>
    </row>
    <row r="102" spans="2:16" hidden="1" x14ac:dyDescent="0.35">
      <c r="B102" s="3" t="s">
        <v>52</v>
      </c>
      <c r="C102" s="6">
        <f>View_Table[[#This Row],[Rank Previous]]-View_Table[[#This Row],[Rank]]</f>
        <v>-3</v>
      </c>
      <c r="D102" s="7">
        <f>_xlfn.RANK.EQ(View_Table[[#This Row],[Weighted Win%]], View_Table[Weighted Win%], 0)</f>
        <v>32</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29</v>
      </c>
    </row>
    <row r="103" spans="2:16" x14ac:dyDescent="0.35">
      <c r="B103" s="3" t="s">
        <v>51</v>
      </c>
      <c r="C103" s="6">
        <f>View_Table[[#This Row],[Rank Previous]]-View_Table[[#This Row],[Rank]]</f>
        <v>-3</v>
      </c>
      <c r="D103" s="7">
        <f>_xlfn.RANK.EQ(View_Table[[#This Row],[Weighted Win%]], View_Table[Weighted Win%], 0)</f>
        <v>31</v>
      </c>
      <c r="E103" s="9">
        <f>_xlfn.LET(_xlpm.g,View_Table[[#This Row],[Games]], _xlpm.w,(View_Table[[#This Row],[Wins]] + View_Table[[#This Row],[Draws]] * 0.25), _xlpm.fake, MAX(0,25-_xlpm.g), IF(_xlpm.g=0,0,(_xlpm.w + _xlpm.fake*0.25)/(_xlpm.g + _xlpm.fake)))</f>
        <v>0.19</v>
      </c>
      <c r="F103" s="8">
        <f>IF(View_Table[[#This Row],[Games]]=0,0,(View_Table[[#This Row],[Wins]] + (View_Table[[#This Row],[Draws]] * 0.25))/View_Table[[#This Row],[Games]])</f>
        <v>0.1</v>
      </c>
      <c r="G103" s="5">
        <f>IFERROR(
    GETPIVOTDATA(
        "Result",
        'Pivot Table'!$A$3,
        "Player",View_Table[[#This Row],[Player]],
        "Result","Win"
    ),
    0
)</f>
        <v>0</v>
      </c>
      <c r="H103" s="5">
        <f>IFERROR(
    GETPIVOTDATA(
        "Result",
        'Pivot Table'!$A$3,
        "Player",View_Table[[#This Row],[Player]],
        "Result","Loss"
    ),
    0
)</f>
        <v>6</v>
      </c>
      <c r="I103" s="5">
        <f>IFERROR(
    GETPIVOTDATA(
        "Result",
        'Pivot Table'!$A$3,
        "Player",View_Table[[#This Row],[Player]],
        "Result","Draw"
    ),
    0
)</f>
        <v>4</v>
      </c>
      <c r="J103" s="5">
        <f>View_Table[[#This Row],[Wins]]+View_Table[[#This Row],[Losses]]+View_Table[[#This Row],[Draws]]</f>
        <v>10</v>
      </c>
      <c r="K103" s="7">
        <f>IFERROR(
    GETPIVOTDATA(
        "Result",
        'Pivot Table Previous'!$A$3,
        "Player",View_Table[[#This Row],[Player]],
        "Result","Win"
    ),
    0
)</f>
        <v>0</v>
      </c>
      <c r="L103" s="5">
        <f>IFERROR(
    GETPIVOTDATA(
        "Result",
        'Pivot Table Previous'!$A$3,
        "Player",View_Table[[#This Row],[Player]],
        "Result","Loss"
    ),
    0
)</f>
        <v>6</v>
      </c>
      <c r="M103" s="5">
        <f>IFERROR(
    GETPIVOTDATA(
        "Result",
        'Pivot Table Previous'!$A$3,
        "Player",View_Table[[#This Row],[Player]],
        "Result","Draw"
    ),
    0
)</f>
        <v>2</v>
      </c>
      <c r="N103" s="5">
        <f>View_Table[[#This Row],[Wins Previous]]+View_Table[[#This Row],[Losses Previous]]+View_Table[[#This Row],[Draws Previous]]</f>
        <v>8</v>
      </c>
      <c r="O103" s="9">
        <f>_xlfn.LET(_xlpm.g,View_Table[[#This Row],[Games Previous]], _xlpm.w,(View_Table[[#This Row],[Wins Previous]] + View_Table[[#This Row],[Draws Previous]] * 0.25), _xlpm.fake, MAX(0,25-_xlpm.g), IF(_xlpm.g=0,0,(_xlpm.w + _xlpm.fake*0.25)/(_xlpm.g + _xlpm.fake)))</f>
        <v>0.19</v>
      </c>
      <c r="P103" s="7">
        <f>_xlfn.RANK.EQ(View_Table[[#This Row],[Weighted Win% Previous]], View_Table[Weighted Win% Previous], 0)</f>
        <v>28</v>
      </c>
    </row>
    <row r="104" spans="2:16" hidden="1" x14ac:dyDescent="0.35">
      <c r="B104" s="3" t="s">
        <v>465</v>
      </c>
      <c r="C104" s="6">
        <f>View_Table[[#This Row],[Rank Previous]]-View_Table[[#This Row],[Rank]]</f>
        <v>-3</v>
      </c>
      <c r="D104" s="7">
        <f>_xlfn.RANK.EQ(View_Table[[#This Row],[Weighted Win%]], View_Table[Weighted Win%], 0)</f>
        <v>32</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29</v>
      </c>
    </row>
  </sheetData>
  <phoneticPr fontId="4" type="noConversion"/>
  <conditionalFormatting sqref="J5:J104">
    <cfRule type="colorScale" priority="1887">
      <colorScale>
        <cfvo type="min"/>
        <cfvo type="percentile" val="50"/>
        <cfvo type="num" val="25"/>
        <color rgb="FFF8696B"/>
        <color rgb="FFFFEB84"/>
        <color rgb="FF63BE7B"/>
      </colorScale>
    </cfRule>
  </conditionalFormatting>
  <conditionalFormatting sqref="D5:D104">
    <cfRule type="top10" dxfId="11" priority="1888" bottom="1" rank="5"/>
    <cfRule type="cellIs" dxfId="10" priority="1889" operator="between">
      <formula>1</formula>
      <formula>16</formula>
    </cfRule>
    <cfRule type="top10" dxfId="9" priority="1890" bottom="1" rank="1"/>
  </conditionalFormatting>
  <conditionalFormatting sqref="G5:G104">
    <cfRule type="colorScale" priority="1891">
      <colorScale>
        <cfvo type="min"/>
        <cfvo type="percentile" val="70"/>
        <cfvo type="max"/>
        <color rgb="FFFF6600"/>
        <color theme="9" tint="0.59999389629810485"/>
        <color theme="9" tint="0.39997558519241921"/>
      </colorScale>
    </cfRule>
  </conditionalFormatting>
  <conditionalFormatting sqref="H5:H104">
    <cfRule type="colorScale" priority="1892">
      <colorScale>
        <cfvo type="min"/>
        <cfvo type="percentile" val="90"/>
        <cfvo type="max"/>
        <color theme="9" tint="0.59999389629810485"/>
        <color theme="9" tint="0.79998168889431442"/>
        <color rgb="FFFF6600"/>
      </colorScale>
    </cfRule>
  </conditionalFormatting>
  <conditionalFormatting sqref="F5:F104">
    <cfRule type="colorScale" priority="1893">
      <colorScale>
        <cfvo type="min"/>
        <cfvo type="num" val="0.25"/>
        <cfvo type="max"/>
        <color rgb="FFF8696B"/>
        <color theme="9" tint="0.59999389629810485"/>
        <color rgb="FF00B050"/>
      </colorScale>
    </cfRule>
  </conditionalFormatting>
  <conditionalFormatting sqref="I5:I104">
    <cfRule type="colorScale" priority="1894">
      <colorScale>
        <cfvo type="min"/>
        <cfvo type="max"/>
        <color theme="9" tint="0.79998168889431442"/>
        <color rgb="FFBF95DF"/>
      </colorScale>
    </cfRule>
  </conditionalFormatting>
  <conditionalFormatting sqref="N5:N104">
    <cfRule type="colorScale" priority="1895">
      <colorScale>
        <cfvo type="min"/>
        <cfvo type="percentile" val="50"/>
        <cfvo type="num" val="25"/>
        <color rgb="FFF8696B"/>
        <color rgb="FFFFEB84"/>
        <color rgb="FF63BE7B"/>
      </colorScale>
    </cfRule>
  </conditionalFormatting>
  <conditionalFormatting sqref="L5:L104">
    <cfRule type="colorScale" priority="1896">
      <colorScale>
        <cfvo type="min"/>
        <cfvo type="percentile" val="90"/>
        <cfvo type="max"/>
        <color theme="9" tint="0.59999389629810485"/>
        <color theme="9" tint="0.79998168889431442"/>
        <color rgb="FFFF6600"/>
      </colorScale>
    </cfRule>
  </conditionalFormatting>
  <conditionalFormatting sqref="M5:M104">
    <cfRule type="colorScale" priority="1897">
      <colorScale>
        <cfvo type="min"/>
        <cfvo type="max"/>
        <color theme="9" tint="0.79998168889431442"/>
        <color rgb="FFBF95DF"/>
      </colorScale>
    </cfRule>
  </conditionalFormatting>
  <conditionalFormatting sqref="K5:K104">
    <cfRule type="colorScale" priority="1898">
      <colorScale>
        <cfvo type="min"/>
        <cfvo type="percentile" val="70"/>
        <cfvo type="max"/>
        <color rgb="FFFF6600"/>
        <color theme="9" tint="0.59999389629810485"/>
        <color theme="9" tint="0.39997558519241921"/>
      </colorScale>
    </cfRule>
  </conditionalFormatting>
  <conditionalFormatting sqref="P5:P104">
    <cfRule type="top10" dxfId="8" priority="1899" bottom="1" rank="5"/>
    <cfRule type="top10" dxfId="7" priority="1900"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107950</xdr:colOff>
                    <xdr:row>0</xdr:row>
                    <xdr:rowOff>317500</xdr:rowOff>
                  </from>
                  <to>
                    <xdr:col>16</xdr:col>
                    <xdr:colOff>565150</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01" id="{00000000-000E-0000-0000-00007B020000}">
            <x14:colorScale>
              <x14:cfvo type="min"/>
              <x14:cfvo type="num">
                <xm:f>'View Seat Breakdown'!$C$3</xm:f>
              </x14:cfvo>
              <x14:cfvo type="max"/>
              <x14:color rgb="FFF8696B"/>
              <x14:color theme="9" tint="0.59999389629810485"/>
              <x14:color rgb="FF00B050"/>
            </x14:colorScale>
          </x14:cfRule>
          <xm:sqref>E5:E104</xm:sqref>
        </x14:conditionalFormatting>
        <x14:conditionalFormatting xmlns:xm="http://schemas.microsoft.com/office/excel/2006/main">
          <x14:cfRule type="iconSet" priority="1902" id="{16A40A27-C7F5-4E84-A0E6-22C4B34B531E}">
            <x14:iconSet iconSet="3Triangles">
              <x14:cfvo type="percent">
                <xm:f>0</xm:f>
              </x14:cfvo>
              <x14:cfvo type="num">
                <xm:f>0</xm:f>
              </x14:cfvo>
              <x14:cfvo type="num" gte="0">
                <xm:f>0</xm:f>
              </x14:cfvo>
            </x14:iconSet>
          </x14:cfRule>
          <xm:sqref>C5:C104</xm:sqref>
        </x14:conditionalFormatting>
        <x14:conditionalFormatting xmlns:xm="http://schemas.microsoft.com/office/excel/2006/main">
          <x14:cfRule type="colorScale" priority="1903" id="{46B5CD88-04B4-4451-8ECD-6B50FDADDCF8}">
            <x14:colorScale>
              <x14:cfvo type="min"/>
              <x14:cfvo type="num">
                <xm:f>'View Seat Breakdown'!$C$3</xm:f>
              </x14:cfvo>
              <x14:cfvo type="max"/>
              <x14:color rgb="FFF8696B"/>
              <x14:color theme="9" tint="0.59999389629810485"/>
              <x14:color rgb="FF00B050"/>
            </x14:colorScale>
          </x14:cfRule>
          <xm:sqref>O5:O104</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5" x14ac:dyDescent="0.35"/>
  <cols>
    <col min="1" max="1" width="14" bestFit="1" customWidth="1"/>
    <col min="2" max="2" width="15.6328125" bestFit="1" customWidth="1"/>
    <col min="3" max="3" width="3.81640625" bestFit="1" customWidth="1"/>
    <col min="4" max="4" width="2.81640625" bestFit="1" customWidth="1"/>
    <col min="5" max="5" width="10.7265625" bestFit="1" customWidth="1"/>
    <col min="6" max="6" width="11.26953125" bestFit="1" customWidth="1"/>
    <col min="7" max="7" width="13.453125" bestFit="1" customWidth="1"/>
    <col min="8" max="8" width="19.7265625" bestFit="1" customWidth="1"/>
    <col min="9" max="9" width="18.453125" bestFit="1" customWidth="1"/>
    <col min="10" max="10" width="14.81640625" bestFit="1" customWidth="1"/>
    <col min="11" max="11" width="19.7265625" bestFit="1" customWidth="1"/>
    <col min="12" max="12" width="18.453125" bestFit="1" customWidth="1"/>
    <col min="13" max="13" width="19.81640625" bestFit="1" customWidth="1"/>
    <col min="14" max="347" width="17.26953125" bestFit="1" customWidth="1"/>
    <col min="348" max="348" width="19" bestFit="1" customWidth="1"/>
    <col min="349" max="349" width="19.1796875" bestFit="1" customWidth="1"/>
    <col min="350" max="689" width="17.26953125" bestFit="1" customWidth="1"/>
    <col min="690" max="690" width="19" bestFit="1" customWidth="1"/>
    <col min="691" max="691" width="19.1796875" bestFit="1" customWidth="1"/>
    <col min="692" max="692" width="19.7265625" bestFit="1" customWidth="1"/>
    <col min="693" max="693" width="18.453125" bestFit="1" customWidth="1"/>
  </cols>
  <sheetData>
    <row r="2" spans="1:5" x14ac:dyDescent="0.35">
      <c r="A2" s="2" t="s">
        <v>1</v>
      </c>
      <c r="B2" t="s">
        <v>8</v>
      </c>
    </row>
    <row r="4" spans="1:5" x14ac:dyDescent="0.35">
      <c r="A4" s="2" t="s">
        <v>25</v>
      </c>
      <c r="B4" s="2" t="s">
        <v>26</v>
      </c>
    </row>
    <row r="5" spans="1:5" x14ac:dyDescent="0.35">
      <c r="A5" s="2" t="s">
        <v>23</v>
      </c>
      <c r="B5">
        <v>3</v>
      </c>
      <c r="C5">
        <v>4</v>
      </c>
      <c r="D5">
        <v>5</v>
      </c>
      <c r="E5" t="s">
        <v>24</v>
      </c>
    </row>
    <row r="6" spans="1:5" x14ac:dyDescent="0.35">
      <c r="A6" s="3">
        <v>1</v>
      </c>
      <c r="B6" s="19">
        <v>60</v>
      </c>
      <c r="C6" s="19">
        <v>86</v>
      </c>
      <c r="D6" s="19">
        <v>5</v>
      </c>
      <c r="E6" s="19">
        <v>151</v>
      </c>
    </row>
    <row r="7" spans="1:5" x14ac:dyDescent="0.35">
      <c r="A7" s="3">
        <v>2</v>
      </c>
      <c r="B7" s="19">
        <v>35</v>
      </c>
      <c r="C7" s="19">
        <v>86</v>
      </c>
      <c r="D7" s="19">
        <v>6</v>
      </c>
      <c r="E7" s="19">
        <v>127</v>
      </c>
    </row>
    <row r="8" spans="1:5" x14ac:dyDescent="0.35">
      <c r="A8" s="3">
        <v>3</v>
      </c>
      <c r="B8" s="19">
        <v>33</v>
      </c>
      <c r="C8" s="19">
        <v>59</v>
      </c>
      <c r="D8" s="19">
        <v>6</v>
      </c>
      <c r="E8" s="19">
        <v>98</v>
      </c>
    </row>
    <row r="9" spans="1:5" x14ac:dyDescent="0.35">
      <c r="A9" s="3">
        <v>4</v>
      </c>
      <c r="B9" s="19"/>
      <c r="C9" s="19">
        <v>54</v>
      </c>
      <c r="D9" s="19">
        <v>6</v>
      </c>
      <c r="E9" s="19">
        <v>60</v>
      </c>
    </row>
    <row r="10" spans="1:5" x14ac:dyDescent="0.35">
      <c r="A10" s="3">
        <v>5</v>
      </c>
      <c r="B10" s="19"/>
      <c r="C10" s="19"/>
      <c r="D10" s="19">
        <v>6</v>
      </c>
      <c r="E10" s="19">
        <v>6</v>
      </c>
    </row>
    <row r="11" spans="1:5" x14ac:dyDescent="0.35">
      <c r="A11" s="3" t="s">
        <v>66</v>
      </c>
      <c r="B11" s="19"/>
      <c r="C11" s="19">
        <v>6</v>
      </c>
      <c r="D11" s="19"/>
      <c r="E11" s="19">
        <v>6</v>
      </c>
    </row>
    <row r="12" spans="1:5" x14ac:dyDescent="0.35">
      <c r="A12" s="3" t="s">
        <v>24</v>
      </c>
      <c r="B12" s="19">
        <v>128</v>
      </c>
      <c r="C12" s="19">
        <v>291</v>
      </c>
      <c r="D12" s="19">
        <v>29</v>
      </c>
      <c r="E12" s="19">
        <v>448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265625" defaultRowHeight="14.5" x14ac:dyDescent="0.35"/>
  <cols>
    <col min="2" max="2" width="12.81640625" customWidth="1"/>
    <col min="3" max="3" width="16" customWidth="1"/>
    <col min="4" max="4" width="13.54296875" customWidth="1"/>
    <col min="5" max="5" width="8.453125" customWidth="1"/>
    <col min="6" max="6" width="10.26953125" customWidth="1"/>
    <col min="7" max="7" width="9.1796875" customWidth="1"/>
  </cols>
  <sheetData>
    <row r="3" spans="2:7" x14ac:dyDescent="0.35">
      <c r="B3" s="12" t="s">
        <v>67</v>
      </c>
      <c r="C3" s="13">
        <f>((C14 * 0.33) + (C16 * 0.2) + (C15 * 0.25))/C13</f>
        <v>0.26792635658914726</v>
      </c>
    </row>
    <row r="4" spans="2:7" x14ac:dyDescent="0.35">
      <c r="B4" t="s">
        <v>2</v>
      </c>
      <c r="C4" t="s">
        <v>75</v>
      </c>
      <c r="D4" t="s">
        <v>70</v>
      </c>
      <c r="F4" t="s">
        <v>77</v>
      </c>
      <c r="G4" t="s">
        <v>34</v>
      </c>
    </row>
    <row r="5" spans="2:7" x14ac:dyDescent="0.35">
      <c r="B5">
        <v>1</v>
      </c>
      <c r="C5">
        <f>GETPIVOTDATA("Result",Seat_Order_Pivot!$A$3,"Seat",Table3[[#This Row],[Seat]],"Result","Win")</f>
        <v>151</v>
      </c>
      <c r="D5" s="4">
        <f>Table3[[#This Row],[Count Result]]/C13</f>
        <v>0.2926356589147287</v>
      </c>
      <c r="F5">
        <v>1</v>
      </c>
      <c r="G5" s="4">
        <f>GETPIVOTDATA("Result",pivot_seat_New!$A$5,"Seat",Table411[[#This Row],[3 pods]],"Pod Size",3)/C14</f>
        <v>0.44444444444444442</v>
      </c>
    </row>
    <row r="6" spans="2:7" x14ac:dyDescent="0.35">
      <c r="B6">
        <v>2</v>
      </c>
      <c r="C6">
        <f>GETPIVOTDATA("Result",Seat_Order_Pivot!$A$3,"Seat",Table3[[#This Row],[Seat]],"Result","Win")</f>
        <v>127</v>
      </c>
      <c r="D6" s="4">
        <f>Table3[[#This Row],[Count Result]]/C13</f>
        <v>0.24612403100775193</v>
      </c>
      <c r="F6">
        <v>2</v>
      </c>
      <c r="G6" s="4">
        <f>GETPIVOTDATA("Result",pivot_seat_New!$A$5,"Seat",Table411[[#This Row],[3 pods]],"Pod Size",3)/C14</f>
        <v>0.25925925925925924</v>
      </c>
    </row>
    <row r="7" spans="2:7" x14ac:dyDescent="0.35">
      <c r="B7">
        <v>3</v>
      </c>
      <c r="C7">
        <f>GETPIVOTDATA("Result",Seat_Order_Pivot!$A$3,"Seat",Table3[[#This Row],[Seat]],"Result","Win")</f>
        <v>98</v>
      </c>
      <c r="D7" s="4">
        <f>Table3[[#This Row],[Count Result]]/C13</f>
        <v>0.18992248062015504</v>
      </c>
      <c r="F7">
        <v>3</v>
      </c>
      <c r="G7" s="4">
        <f>GETPIVOTDATA("Result",pivot_seat_New!$A$5,"Seat",Table411[[#This Row],[3 pods]],"Pod Size",3)/C14</f>
        <v>0.24444444444444444</v>
      </c>
    </row>
    <row r="8" spans="2:7" x14ac:dyDescent="0.35">
      <c r="B8">
        <v>4</v>
      </c>
      <c r="C8">
        <f>GETPIVOTDATA("Result",Seat_Order_Pivot!$A$3,"Seat",Table3[[#This Row],[Seat]],"Result","Win")</f>
        <v>60</v>
      </c>
      <c r="D8" s="4">
        <f>Table3[[#This Row],[Count Result]]/(C15+C16)</f>
        <v>0.15748031496062992</v>
      </c>
      <c r="F8" t="s">
        <v>63</v>
      </c>
      <c r="G8" s="4">
        <f>1-G5-G6-G7</f>
        <v>5.1851851851851899E-2</v>
      </c>
    </row>
    <row r="9" spans="2:7" x14ac:dyDescent="0.35">
      <c r="B9">
        <v>5</v>
      </c>
      <c r="C9">
        <f>GETPIVOTDATA("Result",Seat_Order_Pivot!$A$3,"Seat",Table3[[#This Row],[Seat]],"Result","Win")</f>
        <v>6</v>
      </c>
      <c r="D9" s="4">
        <f>Table3[[#This Row],[Count Result]]/C16</f>
        <v>0.19354838709677419</v>
      </c>
      <c r="F9" t="s">
        <v>78</v>
      </c>
      <c r="G9" t="s">
        <v>34</v>
      </c>
    </row>
    <row r="10" spans="2:7" x14ac:dyDescent="0.35">
      <c r="B10" s="10" t="s">
        <v>82</v>
      </c>
      <c r="C10">
        <f>GETPIVOTDATA("Result",Seat_Order_Pivot!$A$3,"Seat",1,"Result","Draw")</f>
        <v>74</v>
      </c>
      <c r="D10" s="4">
        <f>Table3[[#This Row],[Count Result]]/C13</f>
        <v>0.1434108527131783</v>
      </c>
      <c r="F10">
        <v>1</v>
      </c>
      <c r="G10" s="4">
        <f>GETPIVOTDATA("Result",pivot_seat_New!$A$5,"Seat",Table41112[[#This Row],[4 pods]],"Pod Size",4)/C15</f>
        <v>0.24571428571428572</v>
      </c>
    </row>
    <row r="11" spans="2:7" x14ac:dyDescent="0.35">
      <c r="F11">
        <v>2</v>
      </c>
      <c r="G11" s="4">
        <f>GETPIVOTDATA("Result",pivot_seat_New!$A$5,"Seat",Table41112[[#This Row],[4 pods]],"Pod Size",4)/C15</f>
        <v>0.24571428571428572</v>
      </c>
    </row>
    <row r="12" spans="2:7" x14ac:dyDescent="0.35">
      <c r="B12" t="s">
        <v>71</v>
      </c>
      <c r="C12" t="s">
        <v>69</v>
      </c>
      <c r="F12">
        <v>3</v>
      </c>
      <c r="G12" s="4">
        <f>GETPIVOTDATA("Result",pivot_seat_New!$A$5,"Seat",Table41112[[#This Row],[4 pods]],"Pod Size",4)/C15</f>
        <v>0.16857142857142857</v>
      </c>
    </row>
    <row r="13" spans="2:7" x14ac:dyDescent="0.35">
      <c r="B13" t="s">
        <v>68</v>
      </c>
      <c r="C13">
        <f>SUM(Table3[Count Result])</f>
        <v>516</v>
      </c>
      <c r="F13">
        <v>4</v>
      </c>
      <c r="G13" s="4">
        <f>GETPIVOTDATA("Result",pivot_seat_New!$A$5,"Seat",Table41112[[#This Row],[4 pods]],"Pod Size",4)/C15</f>
        <v>0.15428571428571428</v>
      </c>
    </row>
    <row r="14" spans="2:7" x14ac:dyDescent="0.35">
      <c r="B14" t="s">
        <v>72</v>
      </c>
      <c r="C14">
        <f>(C13)-((GETPIVOTDATA("Result",Seat_Order_Pivot!$A$3,"Seat",4,"Result","Win")) + (GETPIVOTDATA("Result",Seat_Order_Pivot!$A$3,"Seat",4,"Result","Loss")) + (GETPIVOTDATA("Result",Seat_Order_Pivot!$A$3,"Seat",4,"Result","Draw")))</f>
        <v>135</v>
      </c>
      <c r="F14" t="s">
        <v>63</v>
      </c>
      <c r="G14" s="4">
        <f>1-G11-G12-G13-G10</f>
        <v>0.18571428571428567</v>
      </c>
    </row>
    <row r="15" spans="2:7" x14ac:dyDescent="0.35">
      <c r="B15" t="s">
        <v>73</v>
      </c>
      <c r="C15">
        <f>C13-C14-C16</f>
        <v>350</v>
      </c>
      <c r="F15" t="s">
        <v>79</v>
      </c>
      <c r="G15" t="s">
        <v>34</v>
      </c>
    </row>
    <row r="16" spans="2:7" x14ac:dyDescent="0.3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35">
      <c r="F17">
        <v>2</v>
      </c>
      <c r="G17" s="4">
        <f>GETPIVOTDATA("Result",pivot_seat_New!$A$5,"Seat",Table41115[[#This Row],[5 pods]],"Pod Size",5)/C16</f>
        <v>0.19354838709677419</v>
      </c>
    </row>
    <row r="18" spans="6:7" x14ac:dyDescent="0.35">
      <c r="F18">
        <v>3</v>
      </c>
      <c r="G18" s="4">
        <f>GETPIVOTDATA("Result",pivot_seat_New!$A$5,"Seat",Table41115[[#This Row],[5 pods]],"Pod Size",5)/C16</f>
        <v>0.19354838709677419</v>
      </c>
    </row>
    <row r="19" spans="6:7" x14ac:dyDescent="0.35">
      <c r="F19">
        <v>4</v>
      </c>
      <c r="G19" s="4">
        <f>GETPIVOTDATA("Result",pivot_seat_New!$A$5,"Seat",Table41115[[#This Row],[5 pods]],"Pod Size",5)/C16</f>
        <v>0.19354838709677419</v>
      </c>
    </row>
    <row r="20" spans="6:7" x14ac:dyDescent="0.35">
      <c r="F20">
        <v>5</v>
      </c>
      <c r="G20" s="4">
        <f>GETPIVOTDATA("Result",pivot_seat_New!$A$5,"Seat",Table41115[[#This Row],[5 pods]],"Pod Size",5)/C16</f>
        <v>0.19354838709677419</v>
      </c>
    </row>
    <row r="21" spans="6:7" x14ac:dyDescent="0.3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5" x14ac:dyDescent="0.35"/>
  <cols>
    <col min="1" max="1" width="14" bestFit="1" customWidth="1"/>
    <col min="2" max="2" width="15.6328125" bestFit="1" customWidth="1"/>
    <col min="3" max="3" width="4.81640625" bestFit="1" customWidth="1"/>
    <col min="4" max="4" width="4.453125" bestFit="1" customWidth="1"/>
    <col min="5" max="5" width="10.7265625" bestFit="1" customWidth="1"/>
    <col min="6" max="6" width="11.26953125" bestFit="1" customWidth="1"/>
  </cols>
  <sheetData>
    <row r="1" spans="1:5" x14ac:dyDescent="0.35">
      <c r="A1" s="2" t="s">
        <v>25</v>
      </c>
      <c r="B1" s="2" t="s">
        <v>26</v>
      </c>
    </row>
    <row r="2" spans="1:5" x14ac:dyDescent="0.35">
      <c r="A2" s="2" t="s">
        <v>23</v>
      </c>
      <c r="B2" t="s">
        <v>63</v>
      </c>
      <c r="C2" t="s">
        <v>6</v>
      </c>
      <c r="D2" t="s">
        <v>8</v>
      </c>
      <c r="E2" t="s">
        <v>24</v>
      </c>
    </row>
    <row r="3" spans="1:5" x14ac:dyDescent="0.35">
      <c r="A3" s="3">
        <v>1</v>
      </c>
      <c r="B3" s="19">
        <v>74</v>
      </c>
      <c r="C3" s="19">
        <v>291</v>
      </c>
      <c r="D3" s="19">
        <v>151</v>
      </c>
      <c r="E3" s="19">
        <v>516</v>
      </c>
    </row>
    <row r="4" spans="1:5" x14ac:dyDescent="0.35">
      <c r="A4" s="3">
        <v>2</v>
      </c>
      <c r="B4" s="19">
        <v>73</v>
      </c>
      <c r="C4" s="19">
        <v>315</v>
      </c>
      <c r="D4" s="19">
        <v>127</v>
      </c>
      <c r="E4" s="19">
        <v>515</v>
      </c>
    </row>
    <row r="5" spans="1:5" x14ac:dyDescent="0.35">
      <c r="A5" s="3">
        <v>3</v>
      </c>
      <c r="B5" s="19">
        <v>74</v>
      </c>
      <c r="C5" s="19">
        <v>344</v>
      </c>
      <c r="D5" s="19">
        <v>98</v>
      </c>
      <c r="E5" s="19">
        <v>516</v>
      </c>
    </row>
    <row r="6" spans="1:5" x14ac:dyDescent="0.35">
      <c r="A6" s="3">
        <v>4</v>
      </c>
      <c r="B6" s="19">
        <v>67</v>
      </c>
      <c r="C6" s="19">
        <v>254</v>
      </c>
      <c r="D6" s="19">
        <v>60</v>
      </c>
      <c r="E6" s="19">
        <v>381</v>
      </c>
    </row>
    <row r="7" spans="1:5" x14ac:dyDescent="0.35">
      <c r="A7" s="3">
        <v>5</v>
      </c>
      <c r="B7" s="19">
        <v>2</v>
      </c>
      <c r="C7" s="19">
        <v>23</v>
      </c>
      <c r="D7" s="19">
        <v>6</v>
      </c>
      <c r="E7" s="19">
        <v>31</v>
      </c>
    </row>
    <row r="8" spans="1:5" x14ac:dyDescent="0.35">
      <c r="A8" s="3" t="s">
        <v>66</v>
      </c>
      <c r="B8" s="19"/>
      <c r="C8" s="19">
        <v>18</v>
      </c>
      <c r="D8" s="19">
        <v>6</v>
      </c>
      <c r="E8" s="19">
        <v>24</v>
      </c>
    </row>
    <row r="9" spans="1:5" x14ac:dyDescent="0.35">
      <c r="A9" s="3" t="s">
        <v>24</v>
      </c>
      <c r="B9" s="19">
        <v>290</v>
      </c>
      <c r="C9" s="19">
        <v>1245</v>
      </c>
      <c r="D9" s="19">
        <v>448</v>
      </c>
      <c r="E9" s="19">
        <v>1983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35"/>
  <sheetViews>
    <sheetView workbookViewId="0">
      <selection activeCell="Q29" sqref="Q29"/>
    </sheetView>
  </sheetViews>
  <sheetFormatPr defaultColWidth="11.26953125" defaultRowHeight="14.5" x14ac:dyDescent="0.35"/>
  <cols>
    <col min="1" max="1" width="14" bestFit="1" customWidth="1"/>
    <col min="2" max="2" width="15.6328125" bestFit="1" customWidth="1"/>
    <col min="3" max="3" width="4.453125" bestFit="1" customWidth="1"/>
    <col min="4" max="4" width="5.26953125" bestFit="1" customWidth="1"/>
    <col min="5" max="5" width="4.7265625" bestFit="1" customWidth="1"/>
    <col min="6" max="6" width="9.7265625" bestFit="1" customWidth="1"/>
    <col min="7" max="7" width="9.54296875" bestFit="1" customWidth="1"/>
  </cols>
  <sheetData>
    <row r="2" spans="1:4" x14ac:dyDescent="0.35">
      <c r="A2" s="2" t="s">
        <v>83</v>
      </c>
      <c r="B2" s="3">
        <v>2026</v>
      </c>
    </row>
    <row r="3" spans="1:4" x14ac:dyDescent="0.35">
      <c r="A3" s="2" t="s">
        <v>86</v>
      </c>
      <c r="B3" t="s">
        <v>87</v>
      </c>
    </row>
    <row r="5" spans="1:4" x14ac:dyDescent="0.35">
      <c r="A5" s="2" t="s">
        <v>25</v>
      </c>
      <c r="B5" s="2" t="s">
        <v>26</v>
      </c>
    </row>
    <row r="6" spans="1:4" x14ac:dyDescent="0.35">
      <c r="A6" s="2" t="s">
        <v>23</v>
      </c>
      <c r="B6" t="s">
        <v>6</v>
      </c>
      <c r="C6" t="s">
        <v>8</v>
      </c>
      <c r="D6" t="s">
        <v>63</v>
      </c>
    </row>
    <row r="7" spans="1:4" x14ac:dyDescent="0.35">
      <c r="A7" s="3" t="s">
        <v>14</v>
      </c>
      <c r="B7" s="19">
        <v>8</v>
      </c>
      <c r="C7" s="19">
        <v>1</v>
      </c>
      <c r="D7" s="19">
        <v>1</v>
      </c>
    </row>
    <row r="8" spans="1:4" x14ac:dyDescent="0.35">
      <c r="A8" s="3" t="s">
        <v>19</v>
      </c>
      <c r="B8" s="19">
        <v>3</v>
      </c>
      <c r="C8" s="19">
        <v>3</v>
      </c>
      <c r="D8" s="19">
        <v>2</v>
      </c>
    </row>
    <row r="9" spans="1:4" x14ac:dyDescent="0.35">
      <c r="A9" s="3" t="s">
        <v>13</v>
      </c>
      <c r="B9" s="19">
        <v>4</v>
      </c>
      <c r="C9" s="19">
        <v>2</v>
      </c>
      <c r="D9" s="19">
        <v>4</v>
      </c>
    </row>
    <row r="10" spans="1:4" x14ac:dyDescent="0.35">
      <c r="A10" s="3" t="s">
        <v>10</v>
      </c>
      <c r="B10" s="19">
        <v>5</v>
      </c>
      <c r="C10" s="19"/>
      <c r="D10" s="19">
        <v>1</v>
      </c>
    </row>
    <row r="11" spans="1:4" x14ac:dyDescent="0.35">
      <c r="A11" s="3" t="s">
        <v>7</v>
      </c>
      <c r="B11" s="19">
        <v>7</v>
      </c>
      <c r="C11" s="19">
        <v>3</v>
      </c>
      <c r="D11" s="19"/>
    </row>
    <row r="12" spans="1:4" x14ac:dyDescent="0.35">
      <c r="A12" s="3" t="s">
        <v>20</v>
      </c>
      <c r="B12" s="19">
        <v>3</v>
      </c>
      <c r="C12" s="19">
        <v>1</v>
      </c>
      <c r="D12" s="19"/>
    </row>
    <row r="13" spans="1:4" x14ac:dyDescent="0.35">
      <c r="A13" s="3" t="s">
        <v>15</v>
      </c>
      <c r="B13" s="19">
        <v>3</v>
      </c>
      <c r="C13" s="19">
        <v>4</v>
      </c>
      <c r="D13" s="19">
        <v>1</v>
      </c>
    </row>
    <row r="14" spans="1:4" x14ac:dyDescent="0.35">
      <c r="A14" s="3" t="s">
        <v>11</v>
      </c>
      <c r="B14" s="19">
        <v>1</v>
      </c>
      <c r="C14" s="19">
        <v>1</v>
      </c>
      <c r="D14" s="19"/>
    </row>
    <row r="15" spans="1:4" x14ac:dyDescent="0.35">
      <c r="A15" s="3" t="s">
        <v>9</v>
      </c>
      <c r="B15" s="19">
        <v>3</v>
      </c>
      <c r="C15" s="19">
        <v>2</v>
      </c>
      <c r="D15" s="19">
        <v>3</v>
      </c>
    </row>
    <row r="16" spans="1:4" x14ac:dyDescent="0.35">
      <c r="A16" s="3" t="s">
        <v>17</v>
      </c>
      <c r="B16" s="19">
        <v>4</v>
      </c>
      <c r="C16" s="19">
        <v>2</v>
      </c>
      <c r="D16" s="19">
        <v>4</v>
      </c>
    </row>
    <row r="17" spans="1:4" x14ac:dyDescent="0.35">
      <c r="A17" s="3" t="s">
        <v>28</v>
      </c>
      <c r="B17" s="19"/>
      <c r="C17" s="19">
        <v>6</v>
      </c>
      <c r="D17" s="19">
        <v>2</v>
      </c>
    </row>
    <row r="18" spans="1:4" x14ac:dyDescent="0.35">
      <c r="A18" s="3" t="s">
        <v>27</v>
      </c>
      <c r="B18" s="19">
        <v>6</v>
      </c>
      <c r="C18" s="19">
        <v>1</v>
      </c>
      <c r="D18" s="19">
        <v>1</v>
      </c>
    </row>
    <row r="19" spans="1:4" x14ac:dyDescent="0.35">
      <c r="A19" s="3" t="s">
        <v>41</v>
      </c>
      <c r="B19" s="19">
        <v>5</v>
      </c>
      <c r="C19" s="19">
        <v>1</v>
      </c>
      <c r="D19" s="19"/>
    </row>
    <row r="20" spans="1:4" x14ac:dyDescent="0.35">
      <c r="A20" s="3" t="s">
        <v>51</v>
      </c>
      <c r="B20" s="19">
        <v>6</v>
      </c>
      <c r="C20" s="19"/>
      <c r="D20" s="19">
        <v>2</v>
      </c>
    </row>
    <row r="21" spans="1:4" x14ac:dyDescent="0.35">
      <c r="A21" s="3" t="s">
        <v>352</v>
      </c>
      <c r="B21" s="19">
        <v>3</v>
      </c>
      <c r="C21" s="19">
        <v>3</v>
      </c>
      <c r="D21" s="19">
        <v>2</v>
      </c>
    </row>
    <row r="22" spans="1:4" x14ac:dyDescent="0.35">
      <c r="A22" s="3" t="s">
        <v>325</v>
      </c>
      <c r="B22" s="19">
        <v>8</v>
      </c>
      <c r="C22" s="19">
        <v>2</v>
      </c>
      <c r="D22" s="19"/>
    </row>
    <row r="23" spans="1:4" x14ac:dyDescent="0.35">
      <c r="A23" s="3" t="s">
        <v>326</v>
      </c>
      <c r="B23" s="19">
        <v>2</v>
      </c>
      <c r="C23" s="19">
        <v>1</v>
      </c>
      <c r="D23" s="19">
        <v>1</v>
      </c>
    </row>
    <row r="24" spans="1:4" x14ac:dyDescent="0.35">
      <c r="A24" s="3" t="s">
        <v>351</v>
      </c>
      <c r="B24" s="19">
        <v>4</v>
      </c>
      <c r="C24" s="19">
        <v>1</v>
      </c>
      <c r="D24" s="19">
        <v>1</v>
      </c>
    </row>
    <row r="25" spans="1:4" x14ac:dyDescent="0.35">
      <c r="A25" s="3" t="s">
        <v>405</v>
      </c>
      <c r="B25" s="19">
        <v>2</v>
      </c>
      <c r="C25" s="19">
        <v>2</v>
      </c>
      <c r="D25" s="19">
        <v>2</v>
      </c>
    </row>
    <row r="26" spans="1:4" x14ac:dyDescent="0.35">
      <c r="A26" s="3" t="s">
        <v>435</v>
      </c>
      <c r="B26" s="19">
        <v>2</v>
      </c>
      <c r="C26" s="19"/>
      <c r="D26" s="19"/>
    </row>
    <row r="27" spans="1:4" x14ac:dyDescent="0.35">
      <c r="A27" s="3" t="s">
        <v>433</v>
      </c>
      <c r="B27" s="19">
        <v>4</v>
      </c>
      <c r="C27" s="19"/>
      <c r="D27" s="19"/>
    </row>
    <row r="28" spans="1:4" x14ac:dyDescent="0.35">
      <c r="A28" s="3" t="s">
        <v>519</v>
      </c>
      <c r="B28" s="19">
        <v>6</v>
      </c>
      <c r="C28" s="19">
        <v>1</v>
      </c>
      <c r="D28" s="19">
        <v>1</v>
      </c>
    </row>
    <row r="29" spans="1:4" x14ac:dyDescent="0.35">
      <c r="A29" s="3" t="s">
        <v>540</v>
      </c>
      <c r="B29" s="19">
        <v>3</v>
      </c>
      <c r="C29" s="19"/>
      <c r="D29" s="19">
        <v>1</v>
      </c>
    </row>
    <row r="30" spans="1:4" x14ac:dyDescent="0.35">
      <c r="A30" s="3" t="s">
        <v>567</v>
      </c>
      <c r="B30" s="19">
        <v>2</v>
      </c>
      <c r="C30" s="19"/>
      <c r="D30" s="19"/>
    </row>
    <row r="31" spans="1:4" x14ac:dyDescent="0.35">
      <c r="A31" s="3" t="s">
        <v>578</v>
      </c>
      <c r="B31" s="19">
        <v>6</v>
      </c>
      <c r="C31" s="19">
        <v>1</v>
      </c>
      <c r="D31" s="19">
        <v>1</v>
      </c>
    </row>
    <row r="32" spans="1:4" x14ac:dyDescent="0.35">
      <c r="A32" s="3" t="s">
        <v>605</v>
      </c>
      <c r="B32" s="19">
        <v>2</v>
      </c>
      <c r="C32" s="19"/>
      <c r="D32" s="19"/>
    </row>
    <row r="33" spans="1:4" x14ac:dyDescent="0.35">
      <c r="A33" s="3" t="s">
        <v>609</v>
      </c>
      <c r="B33" s="19">
        <v>2</v>
      </c>
      <c r="C33" s="19"/>
      <c r="D33" s="19">
        <v>2</v>
      </c>
    </row>
    <row r="34" spans="1:4" x14ac:dyDescent="0.35">
      <c r="A34" s="3" t="s">
        <v>622</v>
      </c>
      <c r="B34" s="19">
        <v>4</v>
      </c>
      <c r="C34" s="19">
        <v>2</v>
      </c>
      <c r="D34" s="19"/>
    </row>
    <row r="35" spans="1:4" x14ac:dyDescent="0.35">
      <c r="A35" s="3" t="s">
        <v>24</v>
      </c>
      <c r="B35" s="19">
        <v>108</v>
      </c>
      <c r="C35" s="19">
        <v>40</v>
      </c>
      <c r="D35" s="19">
        <v>32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2"/>
  <sheetViews>
    <sheetView workbookViewId="0">
      <selection activeCell="J54" sqref="J54"/>
    </sheetView>
  </sheetViews>
  <sheetFormatPr defaultRowHeight="14.5" x14ac:dyDescent="0.35"/>
  <cols>
    <col min="1" max="1" width="12.6328125" bestFit="1" customWidth="1"/>
    <col min="2" max="2" width="7.90625" bestFit="1" customWidth="1"/>
    <col min="3" max="3" width="5.26953125" bestFit="1" customWidth="1"/>
    <col min="4" max="4" width="14.453125" style="4" bestFit="1" customWidth="1"/>
    <col min="5" max="5" width="18.81640625" customWidth="1"/>
    <col min="6" max="6" width="17.81640625" customWidth="1"/>
    <col min="7" max="7" width="18.1796875" customWidth="1"/>
    <col min="8" max="8" width="17.1796875" customWidth="1"/>
    <col min="9" max="9" width="15.54296875" customWidth="1"/>
    <col min="10" max="10" width="20.26953125" customWidth="1"/>
    <col min="11" max="11" width="7.1796875" bestFit="1" customWidth="1"/>
    <col min="12" max="12" width="5.453125" bestFit="1" customWidth="1"/>
    <col min="13" max="13" width="6.1796875" bestFit="1" customWidth="1"/>
    <col min="14" max="14" width="6.453125" bestFit="1" customWidth="1"/>
    <col min="15" max="15" width="3.1796875" bestFit="1" customWidth="1"/>
    <col min="16" max="16" width="8.26953125" bestFit="1" customWidth="1"/>
    <col min="17" max="17" width="6.54296875" bestFit="1" customWidth="1"/>
    <col min="18" max="18" width="7.54296875" bestFit="1" customWidth="1"/>
    <col min="19" max="19" width="4.453125" bestFit="1" customWidth="1"/>
    <col min="20" max="20" width="4.54296875" bestFit="1" customWidth="1"/>
    <col min="21" max="21" width="4.81640625" bestFit="1" customWidth="1"/>
    <col min="22" max="22" width="6.26953125" bestFit="1" customWidth="1"/>
    <col min="23" max="23" width="6.453125" bestFit="1" customWidth="1"/>
    <col min="25" max="26" width="8" bestFit="1" customWidth="1"/>
    <col min="27" max="27" width="4" bestFit="1" customWidth="1"/>
    <col min="28" max="28" width="6.453125" bestFit="1" customWidth="1"/>
    <col min="30" max="30" width="4.81640625" bestFit="1" customWidth="1"/>
    <col min="31" max="31" width="6.1796875" bestFit="1" customWidth="1"/>
    <col min="32" max="32" width="11.7265625" bestFit="1" customWidth="1"/>
    <col min="33" max="33" width="6.1796875" bestFit="1" customWidth="1"/>
    <col min="34" max="34" width="7.1796875" bestFit="1" customWidth="1"/>
    <col min="35" max="35" width="5.54296875" bestFit="1" customWidth="1"/>
    <col min="36" max="36" width="7" bestFit="1" customWidth="1"/>
    <col min="37" max="37" width="6.1796875" bestFit="1" customWidth="1"/>
    <col min="38" max="38" width="8.54296875" bestFit="1" customWidth="1"/>
    <col min="39" max="39" width="4.81640625" bestFit="1" customWidth="1"/>
    <col min="40" max="40" width="6.54296875" bestFit="1" customWidth="1"/>
    <col min="41" max="41" width="6.26953125" bestFit="1" customWidth="1"/>
    <col min="42" max="42" width="5.81640625" bestFit="1" customWidth="1"/>
    <col min="43" max="43" width="7.7265625" bestFit="1" customWidth="1"/>
    <col min="44" max="44" width="5.26953125" bestFit="1" customWidth="1"/>
    <col min="45" max="45" width="4.7265625" bestFit="1" customWidth="1"/>
    <col min="46" max="46" width="6" bestFit="1" customWidth="1"/>
    <col min="47" max="47" width="7.54296875" bestFit="1" customWidth="1"/>
    <col min="48" max="48" width="7.1796875" bestFit="1" customWidth="1"/>
    <col min="49" max="49" width="6.7265625" bestFit="1" customWidth="1"/>
    <col min="50" max="50" width="5.453125" bestFit="1" customWidth="1"/>
    <col min="51" max="51" width="9.54296875" bestFit="1" customWidth="1"/>
    <col min="52" max="52" width="6.453125" bestFit="1" customWidth="1"/>
    <col min="53" max="53" width="6.54296875" bestFit="1" customWidth="1"/>
    <col min="54" max="54" width="6.7265625" bestFit="1" customWidth="1"/>
    <col min="55" max="55" width="11.26953125" bestFit="1" customWidth="1"/>
  </cols>
  <sheetData>
    <row r="1" spans="1:8" x14ac:dyDescent="0.35">
      <c r="A1" s="2" t="s">
        <v>0</v>
      </c>
      <c r="B1" t="s">
        <v>7</v>
      </c>
    </row>
    <row r="3" spans="1:8" x14ac:dyDescent="0.35">
      <c r="A3" s="2" t="s">
        <v>23</v>
      </c>
      <c r="B3" t="s">
        <v>33</v>
      </c>
      <c r="C3" t="s">
        <v>31</v>
      </c>
      <c r="D3" t="s">
        <v>290</v>
      </c>
      <c r="E3" s="4" t="s">
        <v>291</v>
      </c>
      <c r="F3" s="4" t="s">
        <v>292</v>
      </c>
      <c r="G3" s="4" t="s">
        <v>294</v>
      </c>
      <c r="H3" s="4" t="s">
        <v>293</v>
      </c>
    </row>
    <row r="4" spans="1:8" x14ac:dyDescent="0.35">
      <c r="A4" s="3" t="s">
        <v>9</v>
      </c>
      <c r="B4" s="19">
        <v>20</v>
      </c>
      <c r="C4" s="19">
        <v>9</v>
      </c>
      <c r="D4" s="19">
        <v>2</v>
      </c>
      <c r="E4" s="4">
        <f t="shared" ref="E4:E41" si="0">IFERROR(C4/B4, "")</f>
        <v>0.45</v>
      </c>
      <c r="F4" s="4">
        <f t="shared" ref="F4:F41" si="1">IFERROR(D4/B4, "")</f>
        <v>0.1</v>
      </c>
      <c r="G4" s="4">
        <f>IFERROR(1-Table5[[#This Row],[Loss % Against]]-Table5[[#This Row],[Win% Against]],"")</f>
        <v>0.45</v>
      </c>
      <c r="H4" s="16">
        <f>IFERROR(IF(B4=0,"",
 IF(Table5[[#This Row],[Win% Against]] &gt; Table5[[#This Row],[Loss % Against]], 1,
 IF(Table5[[#This Row],[Win% Against]] &lt; Table5[[#This Row],[Loss % Against]], -1, 0))), "")</f>
        <v>1</v>
      </c>
    </row>
    <row r="5" spans="1:8" x14ac:dyDescent="0.35">
      <c r="A5" s="3" t="s">
        <v>352</v>
      </c>
      <c r="B5" s="19">
        <v>17</v>
      </c>
      <c r="C5" s="19">
        <v>5</v>
      </c>
      <c r="D5" s="19">
        <v>7</v>
      </c>
      <c r="E5" s="4">
        <f t="shared" si="0"/>
        <v>0.29411764705882354</v>
      </c>
      <c r="F5" s="4">
        <f t="shared" si="1"/>
        <v>0.41176470588235292</v>
      </c>
      <c r="G5" s="4">
        <f>IFERROR(1-Table5[[#This Row],[Loss % Against]]-Table5[[#This Row],[Win% Against]],"")</f>
        <v>0.29411764705882354</v>
      </c>
      <c r="H5" s="16">
        <f>IFERROR(IF(B5=0,"",
 IF(Table5[[#This Row],[Win% Against]] &gt; Table5[[#This Row],[Loss % Against]], 1,
 IF(Table5[[#This Row],[Win% Against]] &lt; Table5[[#This Row],[Loss % Against]], -1, 0))), "")</f>
        <v>-1</v>
      </c>
    </row>
    <row r="6" spans="1:8" x14ac:dyDescent="0.35">
      <c r="A6" s="3" t="s">
        <v>14</v>
      </c>
      <c r="B6" s="19">
        <v>16</v>
      </c>
      <c r="C6" s="19">
        <v>7</v>
      </c>
      <c r="D6" s="19">
        <v>3</v>
      </c>
      <c r="E6" s="4">
        <f t="shared" si="0"/>
        <v>0.4375</v>
      </c>
      <c r="F6" s="4">
        <f t="shared" si="1"/>
        <v>0.1875</v>
      </c>
      <c r="G6" s="4">
        <f>IFERROR(1-Table5[[#This Row],[Loss % Against]]-Table5[[#This Row],[Win% Against]],"")</f>
        <v>0.375</v>
      </c>
      <c r="H6" s="16">
        <f>IFERROR(IF(B6=0,"",
 IF(Table5[[#This Row],[Win% Against]] &gt; Table5[[#This Row],[Loss % Against]], 1,
 IF(Table5[[#This Row],[Win% Against]] &lt; Table5[[#This Row],[Loss % Against]], -1, 0))), "")</f>
        <v>1</v>
      </c>
    </row>
    <row r="7" spans="1:8" x14ac:dyDescent="0.35">
      <c r="A7" s="3" t="s">
        <v>28</v>
      </c>
      <c r="B7" s="19">
        <v>16</v>
      </c>
      <c r="C7" s="19">
        <v>6</v>
      </c>
      <c r="D7" s="19">
        <v>4</v>
      </c>
      <c r="E7" s="4">
        <f t="shared" si="0"/>
        <v>0.375</v>
      </c>
      <c r="F7" s="4">
        <f t="shared" si="1"/>
        <v>0.25</v>
      </c>
      <c r="G7" s="4">
        <f>IFERROR(1-Table5[[#This Row],[Loss % Against]]-Table5[[#This Row],[Win% Against]],"")</f>
        <v>0.375</v>
      </c>
      <c r="H7" s="16">
        <f>IFERROR(IF(B7=0,"",
 IF(Table5[[#This Row],[Win% Against]] &gt; Table5[[#This Row],[Loss % Against]], 1,
 IF(Table5[[#This Row],[Win% Against]] &lt; Table5[[#This Row],[Loss % Against]], -1, 0))), "")</f>
        <v>1</v>
      </c>
    </row>
    <row r="8" spans="1:8" x14ac:dyDescent="0.35">
      <c r="A8" s="3" t="s">
        <v>10</v>
      </c>
      <c r="B8" s="19">
        <v>13</v>
      </c>
      <c r="C8" s="19">
        <v>5</v>
      </c>
      <c r="D8" s="19">
        <v>3</v>
      </c>
      <c r="E8" s="4">
        <f t="shared" si="0"/>
        <v>0.38461538461538464</v>
      </c>
      <c r="F8" s="4">
        <f t="shared" si="1"/>
        <v>0.23076923076923078</v>
      </c>
      <c r="G8" s="4">
        <f>IFERROR(1-Table5[[#This Row],[Loss % Against]]-Table5[[#This Row],[Win% Against]],"")</f>
        <v>0.38461538461538453</v>
      </c>
      <c r="H8" s="16">
        <f>IFERROR(IF(B8=0,"",
 IF(Table5[[#This Row],[Win% Against]] &gt; Table5[[#This Row],[Loss % Against]], 1,
 IF(Table5[[#This Row],[Win% Against]] &lt; Table5[[#This Row],[Loss % Against]], -1, 0))), "")</f>
        <v>1</v>
      </c>
    </row>
    <row r="9" spans="1:8" x14ac:dyDescent="0.35">
      <c r="A9" s="3" t="s">
        <v>13</v>
      </c>
      <c r="B9" s="19">
        <v>13</v>
      </c>
      <c r="C9" s="19">
        <v>3</v>
      </c>
      <c r="D9" s="19">
        <v>1</v>
      </c>
      <c r="E9" s="4">
        <f t="shared" si="0"/>
        <v>0.23076923076923078</v>
      </c>
      <c r="F9" s="4">
        <f t="shared" si="1"/>
        <v>7.6923076923076927E-2</v>
      </c>
      <c r="G9" s="4">
        <f>IFERROR(1-Table5[[#This Row],[Loss % Against]]-Table5[[#This Row],[Win% Against]],"")</f>
        <v>0.69230769230769229</v>
      </c>
      <c r="H9" s="16">
        <f>IFERROR(IF(B9=0,"",
 IF(Table5[[#This Row],[Win% Against]] &gt; Table5[[#This Row],[Loss % Against]], 1,
 IF(Table5[[#This Row],[Win% Against]] &lt; Table5[[#This Row],[Loss % Against]], -1, 0))), "")</f>
        <v>1</v>
      </c>
    </row>
    <row r="10" spans="1:8" x14ac:dyDescent="0.35">
      <c r="A10" s="3" t="s">
        <v>15</v>
      </c>
      <c r="B10" s="19">
        <v>13</v>
      </c>
      <c r="C10" s="19">
        <v>6</v>
      </c>
      <c r="D10" s="19">
        <v>2</v>
      </c>
      <c r="E10" s="4">
        <f t="shared" si="0"/>
        <v>0.46153846153846156</v>
      </c>
      <c r="F10" s="4">
        <f t="shared" si="1"/>
        <v>0.15384615384615385</v>
      </c>
      <c r="G10" s="4">
        <f>IFERROR(1-Table5[[#This Row],[Loss % Against]]-Table5[[#This Row],[Win% Against]],"")</f>
        <v>0.38461538461538458</v>
      </c>
      <c r="H10" s="16">
        <f>IFERROR(IF(B10=0,"",
 IF(Table5[[#This Row],[Win% Against]] &gt; Table5[[#This Row],[Loss % Against]], 1,
 IF(Table5[[#This Row],[Win% Against]] &lt; Table5[[#This Row],[Loss % Against]], -1, 0))), "")</f>
        <v>1</v>
      </c>
    </row>
    <row r="11" spans="1:8" x14ac:dyDescent="0.35">
      <c r="A11" s="3" t="s">
        <v>20</v>
      </c>
      <c r="B11" s="19">
        <v>12</v>
      </c>
      <c r="C11" s="19">
        <v>5</v>
      </c>
      <c r="D11" s="19">
        <v>0</v>
      </c>
      <c r="E11" s="4">
        <f t="shared" si="0"/>
        <v>0.41666666666666669</v>
      </c>
      <c r="F11" s="4">
        <f t="shared" si="1"/>
        <v>0</v>
      </c>
      <c r="G11" s="4">
        <f>IFERROR(1-Table5[[#This Row],[Loss % Against]]-Table5[[#This Row],[Win% Against]],"")</f>
        <v>0.58333333333333326</v>
      </c>
      <c r="H11" s="16">
        <f>IFERROR(IF(B11=0,"",
 IF(Table5[[#This Row],[Win% Against]] &gt; Table5[[#This Row],[Loss % Against]], 1,
 IF(Table5[[#This Row],[Win% Against]] &lt; Table5[[#This Row],[Loss % Against]], -1, 0))), "")</f>
        <v>1</v>
      </c>
    </row>
    <row r="12" spans="1:8" x14ac:dyDescent="0.35">
      <c r="A12" s="3" t="s">
        <v>17</v>
      </c>
      <c r="B12" s="19">
        <v>12</v>
      </c>
      <c r="C12" s="19">
        <v>5</v>
      </c>
      <c r="D12" s="19">
        <v>2</v>
      </c>
      <c r="E12" s="4">
        <f t="shared" si="0"/>
        <v>0.41666666666666669</v>
      </c>
      <c r="F12" s="4">
        <f t="shared" si="1"/>
        <v>0.16666666666666666</v>
      </c>
      <c r="G12" s="4">
        <f>IFERROR(1-Table5[[#This Row],[Loss % Against]]-Table5[[#This Row],[Win% Against]],"")</f>
        <v>0.41666666666666669</v>
      </c>
      <c r="H12" s="16">
        <f>IFERROR(IF(B12=0,"",
 IF(Table5[[#This Row],[Win% Against]] &gt; Table5[[#This Row],[Loss % Against]], 1,
 IF(Table5[[#This Row],[Win% Against]] &lt; Table5[[#This Row],[Loss % Against]], -1, 0))), "")</f>
        <v>1</v>
      </c>
    </row>
    <row r="13" spans="1:8" x14ac:dyDescent="0.35">
      <c r="A13" s="3" t="s">
        <v>19</v>
      </c>
      <c r="B13" s="19">
        <v>12</v>
      </c>
      <c r="C13" s="19">
        <v>4</v>
      </c>
      <c r="D13" s="19">
        <v>3</v>
      </c>
      <c r="E13" s="4">
        <f t="shared" si="0"/>
        <v>0.33333333333333331</v>
      </c>
      <c r="F13" s="4">
        <f t="shared" si="1"/>
        <v>0.25</v>
      </c>
      <c r="G13" s="4">
        <f>IFERROR(1-Table5[[#This Row],[Loss % Against]]-Table5[[#This Row],[Win% Against]],"")</f>
        <v>0.41666666666666669</v>
      </c>
      <c r="H13" s="16">
        <f>IFERROR(IF(B13=0,"",
 IF(Table5[[#This Row],[Win% Against]] &gt; Table5[[#This Row],[Loss % Against]], 1,
 IF(Table5[[#This Row],[Win% Against]] &lt; Table5[[#This Row],[Loss % Against]], -1, 0))), "")</f>
        <v>1</v>
      </c>
    </row>
    <row r="14" spans="1:8" x14ac:dyDescent="0.35">
      <c r="A14" s="3" t="s">
        <v>41</v>
      </c>
      <c r="B14" s="19">
        <v>12</v>
      </c>
      <c r="C14" s="19">
        <v>8</v>
      </c>
      <c r="D14" s="19">
        <v>3</v>
      </c>
      <c r="E14" s="4">
        <f t="shared" si="0"/>
        <v>0.66666666666666663</v>
      </c>
      <c r="F14" s="4">
        <f t="shared" si="1"/>
        <v>0.25</v>
      </c>
      <c r="G14" s="4">
        <f>IFERROR(1-Table5[[#This Row],[Loss % Against]]-Table5[[#This Row],[Win% Against]],"")</f>
        <v>8.333333333333337E-2</v>
      </c>
      <c r="H14" s="16">
        <f>IFERROR(IF(B14=0,"",
 IF(Table5[[#This Row],[Win% Against]] &gt; Table5[[#This Row],[Loss % Against]], 1,
 IF(Table5[[#This Row],[Win% Against]] &lt; Table5[[#This Row],[Loss % Against]], -1, 0))), "")</f>
        <v>1</v>
      </c>
    </row>
    <row r="15" spans="1:8" x14ac:dyDescent="0.35">
      <c r="A15" s="3" t="s">
        <v>52</v>
      </c>
      <c r="B15" s="19">
        <v>10</v>
      </c>
      <c r="C15" s="19">
        <v>5</v>
      </c>
      <c r="D15" s="19">
        <v>1</v>
      </c>
      <c r="E15" s="4">
        <f t="shared" si="0"/>
        <v>0.5</v>
      </c>
      <c r="F15" s="4">
        <f t="shared" si="1"/>
        <v>0.1</v>
      </c>
      <c r="G15" s="4">
        <f>IFERROR(1-Table5[[#This Row],[Loss % Against]]-Table5[[#This Row],[Win% Against]],"")</f>
        <v>0.4</v>
      </c>
      <c r="H15" s="16">
        <f>IFERROR(IF(B15=0,"",
 IF(Table5[[#This Row],[Win% Against]] &gt; Table5[[#This Row],[Loss % Against]], 1,
 IF(Table5[[#This Row],[Win% Against]] &lt; Table5[[#This Row],[Loss % Against]], -1, 0))), "")</f>
        <v>1</v>
      </c>
    </row>
    <row r="16" spans="1:8" x14ac:dyDescent="0.35">
      <c r="A16" s="3" t="s">
        <v>351</v>
      </c>
      <c r="B16" s="19">
        <v>9</v>
      </c>
      <c r="C16" s="19">
        <v>4</v>
      </c>
      <c r="D16" s="19">
        <v>1</v>
      </c>
      <c r="E16" s="4">
        <f t="shared" si="0"/>
        <v>0.44444444444444442</v>
      </c>
      <c r="F16" s="4">
        <f t="shared" si="1"/>
        <v>0.1111111111111111</v>
      </c>
      <c r="G16" s="4">
        <f>IFERROR(1-Table5[[#This Row],[Loss % Against]]-Table5[[#This Row],[Win% Against]],"")</f>
        <v>0.44444444444444442</v>
      </c>
      <c r="H16" s="16">
        <f>IFERROR(IF(B16=0,"",
 IF(Table5[[#This Row],[Win% Against]] &gt; Table5[[#This Row],[Loss % Against]], 1,
 IF(Table5[[#This Row],[Win% Against]] &lt; Table5[[#This Row],[Loss % Against]], -1, 0))), "")</f>
        <v>1</v>
      </c>
    </row>
    <row r="17" spans="1:8" x14ac:dyDescent="0.3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3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35">
      <c r="A19" s="3" t="s">
        <v>321</v>
      </c>
      <c r="B19" s="19">
        <v>7</v>
      </c>
      <c r="C19" s="19">
        <v>2</v>
      </c>
      <c r="D19" s="19">
        <v>0</v>
      </c>
      <c r="E19" s="4">
        <f t="shared" si="0"/>
        <v>0.2857142857142857</v>
      </c>
      <c r="F19" s="4">
        <f t="shared" si="1"/>
        <v>0</v>
      </c>
      <c r="G19" s="4">
        <f>IFERROR(1-Table5[[#This Row],[Loss % Against]]-Table5[[#This Row],[Win% Against]],"")</f>
        <v>0.7142857142857143</v>
      </c>
      <c r="H19" s="16">
        <f>IFERROR(IF(B19=0,"",
 IF(Table5[[#This Row],[Win% Against]] &gt; Table5[[#This Row],[Loss % Against]], 1,
 IF(Table5[[#This Row],[Win% Against]] &lt; Table5[[#This Row],[Loss % Against]], -1, 0))), "")</f>
        <v>1</v>
      </c>
    </row>
    <row r="20" spans="1:8" x14ac:dyDescent="0.35">
      <c r="A20" s="3" t="s">
        <v>51</v>
      </c>
      <c r="B20" s="19">
        <v>7</v>
      </c>
      <c r="C20" s="19">
        <v>4</v>
      </c>
      <c r="D20" s="19">
        <v>0</v>
      </c>
      <c r="E20" s="4">
        <f t="shared" si="0"/>
        <v>0.5714285714285714</v>
      </c>
      <c r="F20" s="4">
        <f t="shared" si="1"/>
        <v>0</v>
      </c>
      <c r="G20" s="4">
        <f>IFERROR(1-Table5[[#This Row],[Loss % Against]]-Table5[[#This Row],[Win% Against]],"")</f>
        <v>0.4285714285714286</v>
      </c>
      <c r="H20" s="16">
        <f>IFERROR(IF(B20=0,"",
 IF(Table5[[#This Row],[Win% Against]] &gt; Table5[[#This Row],[Loss % Against]], 1,
 IF(Table5[[#This Row],[Win% Against]] &lt; Table5[[#This Row],[Loss % Against]], -1, 0))), "")</f>
        <v>1</v>
      </c>
    </row>
    <row r="21" spans="1:8" x14ac:dyDescent="0.35">
      <c r="A21" s="3" t="s">
        <v>11</v>
      </c>
      <c r="B21" s="19">
        <v>7</v>
      </c>
      <c r="C21" s="19">
        <v>3</v>
      </c>
      <c r="D21" s="19">
        <v>3</v>
      </c>
      <c r="E21" s="4">
        <f t="shared" si="0"/>
        <v>0.42857142857142855</v>
      </c>
      <c r="F21" s="4">
        <f t="shared" si="1"/>
        <v>0.42857142857142855</v>
      </c>
      <c r="G21" s="4">
        <f>IFERROR(1-Table5[[#This Row],[Loss % Against]]-Table5[[#This Row],[Win% Against]],"")</f>
        <v>0.14285714285714285</v>
      </c>
      <c r="H21" s="16">
        <f>IFERROR(IF(B21=0,"",
 IF(Table5[[#This Row],[Win% Against]] &gt; Table5[[#This Row],[Loss % Against]], 1,
 IF(Table5[[#This Row],[Win% Against]] &lt; Table5[[#This Row],[Loss % Against]], -1, 0))), "")</f>
        <v>0</v>
      </c>
    </row>
    <row r="22" spans="1:8" x14ac:dyDescent="0.3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3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35">
      <c r="A24" s="3" t="s">
        <v>44</v>
      </c>
      <c r="B24" s="19">
        <v>4</v>
      </c>
      <c r="C24" s="19">
        <v>3</v>
      </c>
      <c r="D24" s="19">
        <v>0</v>
      </c>
      <c r="E24" s="4">
        <f t="shared" si="0"/>
        <v>0.75</v>
      </c>
      <c r="F24" s="4">
        <f t="shared" si="1"/>
        <v>0</v>
      </c>
      <c r="G24" s="4">
        <f>IFERROR(1-Table5[[#This Row],[Loss % Against]]-Table5[[#This Row],[Win% Against]],"")</f>
        <v>0.25</v>
      </c>
      <c r="H24" s="16">
        <f>IFERROR(IF(B24=0,"",
 IF(Table5[[#This Row],[Win% Against]] &gt; Table5[[#This Row],[Loss % Against]], 1,
 IF(Table5[[#This Row],[Win% Against]] &lt; Table5[[#This Row],[Loss % Against]], -1, 0))), "")</f>
        <v>1</v>
      </c>
    </row>
    <row r="25" spans="1:8" x14ac:dyDescent="0.35">
      <c r="A25" s="3" t="s">
        <v>76</v>
      </c>
      <c r="B25" s="19">
        <v>4</v>
      </c>
      <c r="C25" s="19">
        <v>2</v>
      </c>
      <c r="D25" s="19">
        <v>0</v>
      </c>
      <c r="E25" s="4">
        <f t="shared" si="0"/>
        <v>0.5</v>
      </c>
      <c r="F25" s="4">
        <f t="shared" si="1"/>
        <v>0</v>
      </c>
      <c r="G25" s="4">
        <f>IFERROR(1-Table5[[#This Row],[Loss % Against]]-Table5[[#This Row],[Win% Against]],"")</f>
        <v>0.5</v>
      </c>
      <c r="H25" s="16">
        <f>IFERROR(IF(B25=0,"",
 IF(Table5[[#This Row],[Win% Against]] &gt; Table5[[#This Row],[Loss % Against]], 1,
 IF(Table5[[#This Row],[Win% Against]] &lt; Table5[[#This Row],[Loss % Against]], -1, 0))), "")</f>
        <v>1</v>
      </c>
    </row>
    <row r="26" spans="1:8" x14ac:dyDescent="0.3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35">
      <c r="A27" s="3" t="s">
        <v>325</v>
      </c>
      <c r="B27" s="19">
        <v>4</v>
      </c>
      <c r="C27" s="19">
        <v>0</v>
      </c>
      <c r="D27" s="19">
        <v>1</v>
      </c>
      <c r="E27" s="4">
        <f t="shared" si="0"/>
        <v>0</v>
      </c>
      <c r="F27" s="4">
        <f t="shared" si="1"/>
        <v>0.25</v>
      </c>
      <c r="G27" s="4">
        <f>IFERROR(1-Table5[[#This Row],[Loss % Against]]-Table5[[#This Row],[Win% Against]],"")</f>
        <v>0.75</v>
      </c>
      <c r="H27" s="16">
        <f>IFERROR(IF(B27=0,"",
 IF(Table5[[#This Row],[Win% Against]] &gt; Table5[[#This Row],[Loss % Against]], 1,
 IF(Table5[[#This Row],[Win% Against]] &lt; Table5[[#This Row],[Loss % Against]], -1, 0))), "")</f>
        <v>-1</v>
      </c>
    </row>
    <row r="28" spans="1:8" x14ac:dyDescent="0.35">
      <c r="A28" s="3" t="s">
        <v>326</v>
      </c>
      <c r="B28" s="19">
        <v>4</v>
      </c>
      <c r="C28" s="19">
        <v>2</v>
      </c>
      <c r="D28" s="19">
        <v>1</v>
      </c>
      <c r="E28" s="4">
        <f t="shared" si="0"/>
        <v>0.5</v>
      </c>
      <c r="F28" s="4">
        <f t="shared" si="1"/>
        <v>0.25</v>
      </c>
      <c r="G28" s="4">
        <f>IFERROR(1-Table5[[#This Row],[Loss % Against]]-Table5[[#This Row],[Win% Against]],"")</f>
        <v>0.25</v>
      </c>
      <c r="H28" s="16">
        <f>IFERROR(IF(B28=0,"",
 IF(Table5[[#This Row],[Win% Against]] &gt; Table5[[#This Row],[Loss % Against]], 1,
 IF(Table5[[#This Row],[Win% Against]] &lt; Table5[[#This Row],[Loss % Against]], -1, 0))), "")</f>
        <v>1</v>
      </c>
    </row>
    <row r="29" spans="1:8" x14ac:dyDescent="0.35">
      <c r="A29" s="3" t="s">
        <v>22</v>
      </c>
      <c r="B29" s="19">
        <v>4</v>
      </c>
      <c r="C29" s="19">
        <v>1</v>
      </c>
      <c r="D29" s="19">
        <v>1</v>
      </c>
      <c r="E29" s="4">
        <f t="shared" si="0"/>
        <v>0.25</v>
      </c>
      <c r="F29" s="4">
        <f t="shared" si="1"/>
        <v>0.25</v>
      </c>
      <c r="G29" s="4">
        <f>IFERROR(1-Table5[[#This Row],[Loss % Against]]-Table5[[#This Row],[Win% Against]],"")</f>
        <v>0.5</v>
      </c>
      <c r="H29" s="16">
        <f>IFERROR(IF(B29=0,"",
 IF(Table5[[#This Row],[Win% Against]] &gt; Table5[[#This Row],[Loss % Against]], 1,
 IF(Table5[[#This Row],[Win% Against]] &lt; Table5[[#This Row],[Loss % Against]], -1, 0))), "")</f>
        <v>0</v>
      </c>
    </row>
    <row r="30" spans="1:8" x14ac:dyDescent="0.35">
      <c r="A30" s="3" t="s">
        <v>519</v>
      </c>
      <c r="B30" s="19">
        <v>3</v>
      </c>
      <c r="C30" s="19">
        <v>2</v>
      </c>
      <c r="D30" s="19">
        <v>0</v>
      </c>
      <c r="E30" s="4">
        <f t="shared" si="0"/>
        <v>0.66666666666666663</v>
      </c>
      <c r="F30" s="4">
        <f t="shared" si="1"/>
        <v>0</v>
      </c>
      <c r="G30" s="4">
        <f>IFERROR(1-Table5[[#This Row],[Loss % Against]]-Table5[[#This Row],[Win% Against]],"")</f>
        <v>0.33333333333333337</v>
      </c>
      <c r="H30" s="16">
        <f>IFERROR(IF(B30=0,"",
 IF(Table5[[#This Row],[Win% Against]] &gt; Table5[[#This Row],[Loss % Against]], 1,
 IF(Table5[[#This Row],[Win% Against]] &lt; Table5[[#This Row],[Loss % Against]], -1, 0))), "")</f>
        <v>1</v>
      </c>
    </row>
    <row r="31" spans="1:8" x14ac:dyDescent="0.35">
      <c r="A31" s="3" t="s">
        <v>433</v>
      </c>
      <c r="B31" s="19">
        <v>3</v>
      </c>
      <c r="C31" s="19">
        <v>3</v>
      </c>
      <c r="D31" s="19">
        <v>0</v>
      </c>
      <c r="E31" s="4">
        <f t="shared" si="0"/>
        <v>1</v>
      </c>
      <c r="F31" s="4">
        <f t="shared" si="1"/>
        <v>0</v>
      </c>
      <c r="G31" s="4">
        <f>IFERROR(1-Table5[[#This Row],[Loss % Against]]-Table5[[#This Row],[Win% Against]],"")</f>
        <v>0</v>
      </c>
      <c r="H31" s="16">
        <f>IFERROR(IF(B31=0,"",
 IF(Table5[[#This Row],[Win% Against]] &gt; Table5[[#This Row],[Loss % Against]], 1,
 IF(Table5[[#This Row],[Win% Against]] &lt; Table5[[#This Row],[Loss % Against]], -1, 0))), "")</f>
        <v>1</v>
      </c>
    </row>
    <row r="32" spans="1:8" x14ac:dyDescent="0.35">
      <c r="A32" s="3" t="s">
        <v>30</v>
      </c>
      <c r="B32" s="19">
        <v>3</v>
      </c>
      <c r="C32" s="19">
        <v>1</v>
      </c>
      <c r="D32" s="19">
        <v>1</v>
      </c>
      <c r="E32" s="4">
        <f t="shared" si="0"/>
        <v>0.33333333333333331</v>
      </c>
      <c r="F32" s="4">
        <f t="shared" si="1"/>
        <v>0.33333333333333331</v>
      </c>
      <c r="G32" s="4">
        <f>IFERROR(1-Table5[[#This Row],[Loss % Against]]-Table5[[#This Row],[Win% Against]],"")</f>
        <v>0.33333333333333343</v>
      </c>
      <c r="H32" s="16">
        <f>IFERROR(IF(B32=0,"",
 IF(Table5[[#This Row],[Win% Against]] &gt; Table5[[#This Row],[Loss % Against]], 1,
 IF(Table5[[#This Row],[Win% Against]] &lt; Table5[[#This Row],[Loss % Against]], -1, 0))), "")</f>
        <v>0</v>
      </c>
    </row>
    <row r="33" spans="1:8" x14ac:dyDescent="0.35">
      <c r="A33" s="3" t="s">
        <v>364</v>
      </c>
      <c r="B33" s="19">
        <v>3</v>
      </c>
      <c r="C33" s="19">
        <v>0</v>
      </c>
      <c r="D33" s="19">
        <v>0</v>
      </c>
      <c r="E33" s="4">
        <f t="shared" si="0"/>
        <v>0</v>
      </c>
      <c r="F33" s="4">
        <f t="shared" si="1"/>
        <v>0</v>
      </c>
      <c r="G33" s="4">
        <f>IFERROR(1-Table5[[#This Row],[Loss % Against]]-Table5[[#This Row],[Win% Against]],"")</f>
        <v>1</v>
      </c>
      <c r="H33" s="16">
        <f>IFERROR(IF(B33=0,"",
 IF(Table5[[#This Row],[Win% Against]] &gt; Table5[[#This Row],[Loss % Against]], 1,
 IF(Table5[[#This Row],[Win% Against]] &lt; Table5[[#This Row],[Loss % Against]], -1, 0))), "")</f>
        <v>0</v>
      </c>
    </row>
    <row r="34" spans="1:8" x14ac:dyDescent="0.35">
      <c r="A34" s="3" t="s">
        <v>57</v>
      </c>
      <c r="B34" s="19">
        <v>2</v>
      </c>
      <c r="C34" s="19">
        <v>0</v>
      </c>
      <c r="D34" s="19">
        <v>1</v>
      </c>
      <c r="E34" s="4">
        <f t="shared" si="0"/>
        <v>0</v>
      </c>
      <c r="F34" s="4">
        <f t="shared" si="1"/>
        <v>0.5</v>
      </c>
      <c r="G34" s="4">
        <f>IFERROR(1-Table5[[#This Row],[Loss % Against]]-Table5[[#This Row],[Win% Against]],"")</f>
        <v>0.5</v>
      </c>
      <c r="H34" s="16">
        <f>IFERROR(IF(B34=0,"",
 IF(Table5[[#This Row],[Win% Against]] &gt; Table5[[#This Row],[Loss % Against]], 1,
 IF(Table5[[#This Row],[Win% Against]] &lt; Table5[[#This Row],[Loss % Against]], -1, 0))), "")</f>
        <v>-1</v>
      </c>
    </row>
    <row r="35" spans="1:8" x14ac:dyDescent="0.35">
      <c r="A35" s="3" t="s">
        <v>21</v>
      </c>
      <c r="B35" s="19">
        <v>2</v>
      </c>
      <c r="C35" s="19">
        <v>0</v>
      </c>
      <c r="D35" s="19">
        <v>1</v>
      </c>
      <c r="E35" s="4">
        <f t="shared" si="0"/>
        <v>0</v>
      </c>
      <c r="F35" s="4">
        <f t="shared" si="1"/>
        <v>0.5</v>
      </c>
      <c r="G35" s="4">
        <f>IFERROR(1-Table5[[#This Row],[Loss % Against]]-Table5[[#This Row],[Win% Against]],"")</f>
        <v>0.5</v>
      </c>
      <c r="H35" s="16">
        <f>IFERROR(IF(B35=0,"",
 IF(Table5[[#This Row],[Win% Against]] &gt; Table5[[#This Row],[Loss % Against]], 1,
 IF(Table5[[#This Row],[Win% Against]] &lt; Table5[[#This Row],[Loss % Against]], -1, 0))), "")</f>
        <v>-1</v>
      </c>
    </row>
    <row r="36" spans="1:8" x14ac:dyDescent="0.35">
      <c r="A36" s="3" t="s">
        <v>16</v>
      </c>
      <c r="B36" s="19">
        <v>2</v>
      </c>
      <c r="C36" s="19">
        <v>1</v>
      </c>
      <c r="D36" s="19">
        <v>0</v>
      </c>
      <c r="E36" s="4">
        <f t="shared" si="0"/>
        <v>0.5</v>
      </c>
      <c r="F36" s="4">
        <f t="shared" si="1"/>
        <v>0</v>
      </c>
      <c r="G36" s="4">
        <f>IFERROR(1-Table5[[#This Row],[Loss % Against]]-Table5[[#This Row],[Win% Against]],"")</f>
        <v>0.5</v>
      </c>
      <c r="H36" s="16">
        <f>IFERROR(IF(B36=0,"",
 IF(Table5[[#This Row],[Win% Against]] &gt; Table5[[#This Row],[Loss % Against]], 1,
 IF(Table5[[#This Row],[Win% Against]] &lt; Table5[[#This Row],[Loss % Against]], -1, 0))), "")</f>
        <v>1</v>
      </c>
    </row>
    <row r="37" spans="1:8" x14ac:dyDescent="0.35">
      <c r="A37" s="3" t="s">
        <v>56</v>
      </c>
      <c r="B37" s="19">
        <v>2</v>
      </c>
      <c r="C37" s="19">
        <v>2</v>
      </c>
      <c r="D37" s="19">
        <v>0</v>
      </c>
      <c r="E37" s="4">
        <f t="shared" si="0"/>
        <v>1</v>
      </c>
      <c r="F37" s="4">
        <f t="shared" si="1"/>
        <v>0</v>
      </c>
      <c r="G37" s="4">
        <f>IFERROR(1-Table5[[#This Row],[Loss % Against]]-Table5[[#This Row],[Win% Against]],"")</f>
        <v>0</v>
      </c>
      <c r="H37" s="16">
        <f>IFERROR(IF(B37=0,"",
 IF(Table5[[#This Row],[Win% Against]] &gt; Table5[[#This Row],[Loss % Against]], 1,
 IF(Table5[[#This Row],[Win% Against]] &lt; Table5[[#This Row],[Loss % Against]], -1, 0))), "")</f>
        <v>1</v>
      </c>
    </row>
    <row r="38" spans="1:8" x14ac:dyDescent="0.35">
      <c r="A38" s="3" t="s">
        <v>578</v>
      </c>
      <c r="B38" s="19">
        <v>2</v>
      </c>
      <c r="C38" s="19">
        <v>0</v>
      </c>
      <c r="D38" s="19">
        <v>1</v>
      </c>
      <c r="E38" s="4">
        <f t="shared" si="0"/>
        <v>0</v>
      </c>
      <c r="F38" s="4">
        <f t="shared" si="1"/>
        <v>0.5</v>
      </c>
      <c r="G38" s="4">
        <f>IFERROR(1-Table5[[#This Row],[Loss % Against]]-Table5[[#This Row],[Win% Against]],"")</f>
        <v>0.5</v>
      </c>
      <c r="H38" s="16">
        <f>IFERROR(IF(B38=0,"",
 IF(Table5[[#This Row],[Win% Against]] &gt; Table5[[#This Row],[Loss % Against]], 1,
 IF(Table5[[#This Row],[Win% Against]] &lt; Table5[[#This Row],[Loss % Against]], -1, 0))), "")</f>
        <v>-1</v>
      </c>
    </row>
    <row r="39" spans="1:8" x14ac:dyDescent="0.35">
      <c r="A39" s="3" t="s">
        <v>18</v>
      </c>
      <c r="B39" s="19">
        <v>2</v>
      </c>
      <c r="C39" s="19">
        <v>0</v>
      </c>
      <c r="D39" s="19">
        <v>0</v>
      </c>
      <c r="E39" s="4">
        <f t="shared" si="0"/>
        <v>0</v>
      </c>
      <c r="F39" s="4">
        <f t="shared" si="1"/>
        <v>0</v>
      </c>
      <c r="G39" s="4">
        <f>IFERROR(1-Table5[[#This Row],[Loss % Against]]-Table5[[#This Row],[Win% Against]],"")</f>
        <v>1</v>
      </c>
      <c r="H39" s="16">
        <f>IFERROR(IF(B39=0,"",
 IF(Table5[[#This Row],[Win% Against]] &gt; Table5[[#This Row],[Loss % Against]], 1,
 IF(Table5[[#This Row],[Win% Against]] &lt; Table5[[#This Row],[Loss % Against]], -1, 0))), "")</f>
        <v>0</v>
      </c>
    </row>
    <row r="40" spans="1:8" x14ac:dyDescent="0.3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35">
      <c r="A41" s="3" t="s">
        <v>567</v>
      </c>
      <c r="B41" s="19">
        <v>2</v>
      </c>
      <c r="C41" s="19">
        <v>1</v>
      </c>
      <c r="D41" s="19">
        <v>1</v>
      </c>
      <c r="E41" s="4">
        <f t="shared" si="0"/>
        <v>0.5</v>
      </c>
      <c r="F41" s="4">
        <f t="shared" si="1"/>
        <v>0.5</v>
      </c>
      <c r="G41" s="4">
        <f>IFERROR(1-Table5[[#This Row],[Loss % Against]]-Table5[[#This Row],[Win% Against]],"")</f>
        <v>0</v>
      </c>
      <c r="H41" s="16">
        <f>IFERROR(IF(B41=0,"",
 IF(Table5[[#This Row],[Win% Against]] &gt; Table5[[#This Row],[Loss % Against]], 1,
 IF(Table5[[#This Row],[Win% Against]] &lt; Table5[[#This Row],[Loss % Against]], -1, 0))), "")</f>
        <v>0</v>
      </c>
    </row>
    <row r="42" spans="1:8" x14ac:dyDescent="0.35">
      <c r="A42" s="3" t="s">
        <v>421</v>
      </c>
      <c r="B42" s="19">
        <v>1</v>
      </c>
      <c r="C42" s="19">
        <v>1</v>
      </c>
      <c r="D42" s="19">
        <v>0</v>
      </c>
      <c r="E42" s="4">
        <f t="shared" ref="E42:E53" si="2">IFERROR(C42/B42, "")</f>
        <v>1</v>
      </c>
      <c r="F42" s="4">
        <f t="shared" ref="F42:F53" si="3">IFERROR(D42/B42, "")</f>
        <v>0</v>
      </c>
      <c r="G42" s="4">
        <f>IFERROR(1-Table5[[#This Row],[Loss % Against]]-Table5[[#This Row],[Win% Against]],"")</f>
        <v>0</v>
      </c>
      <c r="H42" s="16">
        <f>IFERROR(IF(B42=0,"",
 IF(Table5[[#This Row],[Win% Against]] &gt; Table5[[#This Row],[Loss % Against]], 1,
 IF(Table5[[#This Row],[Win% Against]] &lt; Table5[[#This Row],[Loss % Against]], -1, 0))), "")</f>
        <v>1</v>
      </c>
    </row>
    <row r="43" spans="1:8" x14ac:dyDescent="0.35">
      <c r="A43" s="3" t="s">
        <v>478</v>
      </c>
      <c r="B43" s="19">
        <v>1</v>
      </c>
      <c r="C43" s="19">
        <v>0</v>
      </c>
      <c r="D43" s="19">
        <v>0</v>
      </c>
      <c r="E43" s="4">
        <f t="shared" si="2"/>
        <v>0</v>
      </c>
      <c r="F43" s="4">
        <f t="shared" si="3"/>
        <v>0</v>
      </c>
      <c r="G43" s="4">
        <f>IFERROR(1-Table5[[#This Row],[Loss % Against]]-Table5[[#This Row],[Win% Against]],"")</f>
        <v>1</v>
      </c>
      <c r="H43" s="16">
        <f>IFERROR(IF(B43=0,"",
 IF(Table5[[#This Row],[Win% Against]] &gt; Table5[[#This Row],[Loss % Against]], 1,
 IF(Table5[[#This Row],[Win% Against]] &lt; Table5[[#This Row],[Loss % Against]], -1, 0))), "")</f>
        <v>0</v>
      </c>
    </row>
    <row r="44" spans="1:8" x14ac:dyDescent="0.35">
      <c r="A44" s="3" t="s">
        <v>434</v>
      </c>
      <c r="B44" s="19">
        <v>1</v>
      </c>
      <c r="C44" s="19">
        <v>0</v>
      </c>
      <c r="D44" s="19">
        <v>1</v>
      </c>
      <c r="E44" s="4">
        <f t="shared" si="2"/>
        <v>0</v>
      </c>
      <c r="F44" s="4">
        <f t="shared" si="3"/>
        <v>1</v>
      </c>
      <c r="G44" s="4">
        <f>IFERROR(1-Table5[[#This Row],[Loss % Against]]-Table5[[#This Row],[Win% Against]],"")</f>
        <v>0</v>
      </c>
      <c r="H44" s="16">
        <f>IFERROR(IF(B44=0,"",
 IF(Table5[[#This Row],[Win% Against]] &gt; Table5[[#This Row],[Loss % Against]], 1,
 IF(Table5[[#This Row],[Win% Against]] &lt; Table5[[#This Row],[Loss % Against]], -1, 0))), "")</f>
        <v>-1</v>
      </c>
    </row>
    <row r="45" spans="1:8" x14ac:dyDescent="0.35">
      <c r="A45" s="3" t="s">
        <v>322</v>
      </c>
      <c r="B45" s="19">
        <v>1</v>
      </c>
      <c r="C45" s="19">
        <v>0</v>
      </c>
      <c r="D45" s="19">
        <v>1</v>
      </c>
      <c r="E45" s="4">
        <f t="shared" si="2"/>
        <v>0</v>
      </c>
      <c r="F45" s="4">
        <f t="shared" si="3"/>
        <v>1</v>
      </c>
      <c r="G45" s="4">
        <f>IFERROR(1-Table5[[#This Row],[Loss % Against]]-Table5[[#This Row],[Win% Against]],"")</f>
        <v>0</v>
      </c>
      <c r="H45" s="16">
        <f>IFERROR(IF(B45=0,"",
 IF(Table5[[#This Row],[Win% Against]] &gt; Table5[[#This Row],[Loss % Against]], 1,
 IF(Table5[[#This Row],[Win% Against]] &lt; Table5[[#This Row],[Loss % Against]], -1, 0))), "")</f>
        <v>-1</v>
      </c>
    </row>
    <row r="46" spans="1:8" x14ac:dyDescent="0.35">
      <c r="A46" s="3" t="s">
        <v>59</v>
      </c>
      <c r="B46" s="19">
        <v>1</v>
      </c>
      <c r="C46" s="19">
        <v>0</v>
      </c>
      <c r="D46" s="19">
        <v>0</v>
      </c>
      <c r="E46" s="4">
        <f t="shared" si="2"/>
        <v>0</v>
      </c>
      <c r="F46" s="4">
        <f t="shared" si="3"/>
        <v>0</v>
      </c>
      <c r="G46" s="4">
        <f>IFERROR(1-Table5[[#This Row],[Loss % Against]]-Table5[[#This Row],[Win% Against]],"")</f>
        <v>1</v>
      </c>
      <c r="H46" s="16">
        <f>IFERROR(IF(B46=0,"",
 IF(Table5[[#This Row],[Win% Against]] &gt; Table5[[#This Row],[Loss % Against]], 1,
 IF(Table5[[#This Row],[Win% Against]] &lt; Table5[[#This Row],[Loss % Against]], -1, 0))), "")</f>
        <v>0</v>
      </c>
    </row>
    <row r="47" spans="1:8" x14ac:dyDescent="0.35">
      <c r="A47" s="3" t="s">
        <v>540</v>
      </c>
      <c r="B47" s="19">
        <v>1</v>
      </c>
      <c r="C47" s="19">
        <v>0</v>
      </c>
      <c r="D47" s="19">
        <v>0</v>
      </c>
      <c r="E47" s="4">
        <f t="shared" si="2"/>
        <v>0</v>
      </c>
      <c r="F47" s="4">
        <f t="shared" si="3"/>
        <v>0</v>
      </c>
      <c r="G47" s="4">
        <f>IFERROR(1-Table5[[#This Row],[Loss % Against]]-Table5[[#This Row],[Win% Against]],"")</f>
        <v>1</v>
      </c>
      <c r="H47" s="16">
        <f>IFERROR(IF(B47=0,"",
 IF(Table5[[#This Row],[Win% Against]] &gt; Table5[[#This Row],[Loss % Against]], 1,
 IF(Table5[[#This Row],[Win% Against]] &lt; Table5[[#This Row],[Loss % Against]], -1, 0))), "")</f>
        <v>0</v>
      </c>
    </row>
    <row r="48" spans="1:8" x14ac:dyDescent="0.35">
      <c r="A48" s="3" t="s">
        <v>29</v>
      </c>
      <c r="B48" s="19">
        <v>1</v>
      </c>
      <c r="C48" s="19">
        <v>1</v>
      </c>
      <c r="D48" s="19">
        <v>0</v>
      </c>
      <c r="E48" s="4">
        <f t="shared" si="2"/>
        <v>1</v>
      </c>
      <c r="F48" s="4">
        <f t="shared" si="3"/>
        <v>0</v>
      </c>
      <c r="G48" s="4">
        <f>IFERROR(1-Table5[[#This Row],[Loss % Against]]-Table5[[#This Row],[Win% Against]],"")</f>
        <v>0</v>
      </c>
      <c r="H48" s="16">
        <f>IFERROR(IF(B48=0,"",
 IF(Table5[[#This Row],[Win% Against]] &gt; Table5[[#This Row],[Loss % Against]], 1,
 IF(Table5[[#This Row],[Win% Against]] &lt; Table5[[#This Row],[Loss % Against]], -1, 0))), "")</f>
        <v>1</v>
      </c>
    </row>
    <row r="49" spans="1:8" x14ac:dyDescent="0.35">
      <c r="A49" s="3" t="s">
        <v>40</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35">
      <c r="A50" s="3" t="s">
        <v>437</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35">
      <c r="A51" s="3" t="s">
        <v>590</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35">
      <c r="A52" s="3" t="s">
        <v>47</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35">
      <c r="A53" s="3" t="s">
        <v>404</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35">
      <c r="A54" s="3" t="s">
        <v>55</v>
      </c>
      <c r="B54" s="19">
        <v>1</v>
      </c>
      <c r="C54" s="19">
        <v>1</v>
      </c>
      <c r="D54" s="19">
        <v>0</v>
      </c>
      <c r="E54" s="4">
        <f t="shared" ref="E54:E56" si="4">IFERROR(C54/B54, "")</f>
        <v>1</v>
      </c>
      <c r="F54" s="4">
        <f t="shared" ref="F54:F56" si="5">IFERROR(D54/B54, "")</f>
        <v>0</v>
      </c>
      <c r="G54" s="4">
        <f>IFERROR(1-Table5[[#This Row],[Loss % Against]]-Table5[[#This Row],[Win% Against]],"")</f>
        <v>0</v>
      </c>
      <c r="H54" s="16">
        <f>IFERROR(IF(B54=0,"",
 IF(Table5[[#This Row],[Win% Against]] &gt; Table5[[#This Row],[Loss % Against]], 1,
 IF(Table5[[#This Row],[Win% Against]] &lt; Table5[[#This Row],[Loss % Against]], -1, 0))), "")</f>
        <v>1</v>
      </c>
    </row>
    <row r="55" spans="1:8" x14ac:dyDescent="0.35">
      <c r="A55" s="3" t="s">
        <v>609</v>
      </c>
      <c r="B55" s="19">
        <v>1</v>
      </c>
      <c r="C55" s="19">
        <v>0</v>
      </c>
      <c r="D55" s="19">
        <v>0</v>
      </c>
      <c r="E55" s="4">
        <f t="shared" si="4"/>
        <v>0</v>
      </c>
      <c r="F55" s="4">
        <f t="shared" si="5"/>
        <v>0</v>
      </c>
      <c r="G55" s="4">
        <f>IFERROR(1-Table5[[#This Row],[Loss % Against]]-Table5[[#This Row],[Win% Against]],"")</f>
        <v>1</v>
      </c>
      <c r="H55" s="16">
        <f>IFERROR(IF(B55=0,"",
 IF(Table5[[#This Row],[Win% Against]] &gt; Table5[[#This Row],[Loss % Against]], 1,
 IF(Table5[[#This Row],[Win% Against]] &lt; Table5[[#This Row],[Loss % Against]], -1, 0))), "")</f>
        <v>0</v>
      </c>
    </row>
    <row r="56" spans="1:8" x14ac:dyDescent="0.35">
      <c r="A56" s="3" t="s">
        <v>579</v>
      </c>
      <c r="B56" s="19">
        <v>1</v>
      </c>
      <c r="C56" s="19">
        <v>0</v>
      </c>
      <c r="D56" s="19">
        <v>0</v>
      </c>
      <c r="E56" s="4">
        <f t="shared" si="4"/>
        <v>0</v>
      </c>
      <c r="F56" s="4">
        <f t="shared" si="5"/>
        <v>0</v>
      </c>
      <c r="G56" s="4">
        <f>IFERROR(1-Table5[[#This Row],[Loss % Against]]-Table5[[#This Row],[Win% Against]],"")</f>
        <v>1</v>
      </c>
      <c r="H56" s="16">
        <f>IFERROR(IF(B56=0,"",
 IF(Table5[[#This Row],[Win% Against]] &gt; Table5[[#This Row],[Loss % Against]], 1,
 IF(Table5[[#This Row],[Win% Against]] &lt; Table5[[#This Row],[Loss % Against]], -1, 0))), "")</f>
        <v>0</v>
      </c>
    </row>
    <row r="57" spans="1:8" x14ac:dyDescent="0.35">
      <c r="A57" s="3" t="s">
        <v>622</v>
      </c>
      <c r="B57" s="19">
        <v>1</v>
      </c>
      <c r="C57" s="19">
        <v>1</v>
      </c>
      <c r="D57" s="19">
        <v>0</v>
      </c>
    </row>
    <row r="58" spans="1:8" x14ac:dyDescent="0.35">
      <c r="A58" s="3" t="s">
        <v>53</v>
      </c>
      <c r="B58" s="19">
        <v>1</v>
      </c>
      <c r="C58" s="19">
        <v>1</v>
      </c>
      <c r="D58" s="19">
        <v>0</v>
      </c>
    </row>
    <row r="59" spans="1:8" x14ac:dyDescent="0.35">
      <c r="A59" s="3" t="s">
        <v>365</v>
      </c>
      <c r="B59" s="19">
        <v>1</v>
      </c>
      <c r="C59" s="19">
        <v>0</v>
      </c>
      <c r="D59" s="19">
        <v>0</v>
      </c>
    </row>
    <row r="60" spans="1:8" x14ac:dyDescent="0.35">
      <c r="A60" s="3" t="s">
        <v>46</v>
      </c>
      <c r="B60" s="19">
        <v>1</v>
      </c>
      <c r="C60" s="19">
        <v>1</v>
      </c>
      <c r="D60" s="19">
        <v>0</v>
      </c>
    </row>
    <row r="61" spans="1:8" x14ac:dyDescent="0.35">
      <c r="A61" s="3" t="s">
        <v>61</v>
      </c>
      <c r="B61" s="19">
        <v>1</v>
      </c>
      <c r="C61" s="19">
        <v>1</v>
      </c>
      <c r="D61" s="19">
        <v>0</v>
      </c>
    </row>
    <row r="62" spans="1:8" x14ac:dyDescent="0.35">
      <c r="D62"/>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37"/>
  <sheetViews>
    <sheetView workbookViewId="0">
      <selection activeCell="T25" sqref="T25"/>
    </sheetView>
  </sheetViews>
  <sheetFormatPr defaultColWidth="11.26953125" defaultRowHeight="14.5" x14ac:dyDescent="0.35"/>
  <cols>
    <col min="1" max="1" width="14" bestFit="1" customWidth="1"/>
    <col min="2" max="2" width="15.6328125" bestFit="1" customWidth="1"/>
    <col min="3" max="3" width="4.453125" bestFit="1" customWidth="1"/>
    <col min="4" max="4" width="5.26953125" bestFit="1" customWidth="1"/>
    <col min="5" max="5" width="4.7265625" bestFit="1" customWidth="1"/>
    <col min="6" max="6" width="9.7265625" bestFit="1" customWidth="1"/>
    <col min="7" max="7" width="9.54296875" bestFit="1" customWidth="1"/>
  </cols>
  <sheetData>
    <row r="2" spans="1:4" x14ac:dyDescent="0.35">
      <c r="A2" s="2" t="s">
        <v>83</v>
      </c>
      <c r="B2" s="3">
        <v>2026</v>
      </c>
    </row>
    <row r="4" spans="1:4" x14ac:dyDescent="0.35">
      <c r="A4" s="2" t="s">
        <v>25</v>
      </c>
      <c r="B4" s="2" t="s">
        <v>26</v>
      </c>
    </row>
    <row r="5" spans="1:4" x14ac:dyDescent="0.35">
      <c r="A5" s="2" t="s">
        <v>23</v>
      </c>
      <c r="B5" t="s">
        <v>6</v>
      </c>
      <c r="C5" t="s">
        <v>8</v>
      </c>
      <c r="D5" t="s">
        <v>63</v>
      </c>
    </row>
    <row r="6" spans="1:4" x14ac:dyDescent="0.35">
      <c r="A6" s="3" t="s">
        <v>14</v>
      </c>
      <c r="B6" s="19">
        <v>8</v>
      </c>
      <c r="C6" s="19">
        <v>1</v>
      </c>
      <c r="D6" s="19">
        <v>3</v>
      </c>
    </row>
    <row r="7" spans="1:4" x14ac:dyDescent="0.35">
      <c r="A7" s="3" t="s">
        <v>19</v>
      </c>
      <c r="B7" s="19">
        <v>3</v>
      </c>
      <c r="C7" s="19">
        <v>3</v>
      </c>
      <c r="D7" s="19">
        <v>4</v>
      </c>
    </row>
    <row r="8" spans="1:4" x14ac:dyDescent="0.35">
      <c r="A8" s="3" t="s">
        <v>13</v>
      </c>
      <c r="B8" s="19">
        <v>6</v>
      </c>
      <c r="C8" s="19">
        <v>2</v>
      </c>
      <c r="D8" s="19">
        <v>4</v>
      </c>
    </row>
    <row r="9" spans="1:4" x14ac:dyDescent="0.35">
      <c r="A9" s="3" t="s">
        <v>10</v>
      </c>
      <c r="B9" s="19">
        <v>5</v>
      </c>
      <c r="C9" s="19"/>
      <c r="D9" s="19">
        <v>1</v>
      </c>
    </row>
    <row r="10" spans="1:4" x14ac:dyDescent="0.35">
      <c r="A10" s="3" t="s">
        <v>7</v>
      </c>
      <c r="B10" s="19">
        <v>7</v>
      </c>
      <c r="C10" s="19">
        <v>4</v>
      </c>
      <c r="D10" s="19">
        <v>1</v>
      </c>
    </row>
    <row r="11" spans="1:4" x14ac:dyDescent="0.35">
      <c r="A11" s="3" t="s">
        <v>20</v>
      </c>
      <c r="B11" s="19">
        <v>3</v>
      </c>
      <c r="C11" s="19">
        <v>1</v>
      </c>
      <c r="D11" s="19">
        <v>2</v>
      </c>
    </row>
    <row r="12" spans="1:4" x14ac:dyDescent="0.35">
      <c r="A12" s="3" t="s">
        <v>15</v>
      </c>
      <c r="B12" s="19">
        <v>3</v>
      </c>
      <c r="C12" s="19">
        <v>5</v>
      </c>
      <c r="D12" s="19">
        <v>2</v>
      </c>
    </row>
    <row r="13" spans="1:4" x14ac:dyDescent="0.35">
      <c r="A13" s="3" t="s">
        <v>11</v>
      </c>
      <c r="B13" s="19">
        <v>1</v>
      </c>
      <c r="C13" s="19">
        <v>2</v>
      </c>
      <c r="D13" s="19">
        <v>1</v>
      </c>
    </row>
    <row r="14" spans="1:4" x14ac:dyDescent="0.35">
      <c r="A14" s="3" t="s">
        <v>9</v>
      </c>
      <c r="B14" s="19">
        <v>3</v>
      </c>
      <c r="C14" s="19">
        <v>2</v>
      </c>
      <c r="D14" s="19">
        <v>5</v>
      </c>
    </row>
    <row r="15" spans="1:4" x14ac:dyDescent="0.35">
      <c r="A15" s="3" t="s">
        <v>17</v>
      </c>
      <c r="B15" s="19">
        <v>6</v>
      </c>
      <c r="C15" s="19">
        <v>2</v>
      </c>
      <c r="D15" s="19">
        <v>4</v>
      </c>
    </row>
    <row r="16" spans="1:4" x14ac:dyDescent="0.35">
      <c r="A16" s="3" t="s">
        <v>28</v>
      </c>
      <c r="B16" s="19"/>
      <c r="C16" s="19">
        <v>6</v>
      </c>
      <c r="D16" s="19">
        <v>4</v>
      </c>
    </row>
    <row r="17" spans="1:4" x14ac:dyDescent="0.35">
      <c r="A17" s="3" t="s">
        <v>27</v>
      </c>
      <c r="B17" s="19">
        <v>6</v>
      </c>
      <c r="C17" s="19">
        <v>1</v>
      </c>
      <c r="D17" s="19">
        <v>1</v>
      </c>
    </row>
    <row r="18" spans="1:4" x14ac:dyDescent="0.35">
      <c r="A18" s="3" t="s">
        <v>41</v>
      </c>
      <c r="B18" s="19">
        <v>7</v>
      </c>
      <c r="C18" s="19">
        <v>1</v>
      </c>
      <c r="D18" s="19"/>
    </row>
    <row r="19" spans="1:4" x14ac:dyDescent="0.35">
      <c r="A19" s="3" t="s">
        <v>51</v>
      </c>
      <c r="B19" s="19">
        <v>6</v>
      </c>
      <c r="C19" s="19"/>
      <c r="D19" s="19">
        <v>4</v>
      </c>
    </row>
    <row r="20" spans="1:4" x14ac:dyDescent="0.35">
      <c r="A20" s="3" t="s">
        <v>352</v>
      </c>
      <c r="B20" s="19">
        <v>3</v>
      </c>
      <c r="C20" s="19">
        <v>3</v>
      </c>
      <c r="D20" s="19">
        <v>2</v>
      </c>
    </row>
    <row r="21" spans="1:4" x14ac:dyDescent="0.35">
      <c r="A21" s="3" t="s">
        <v>325</v>
      </c>
      <c r="B21" s="19">
        <v>9</v>
      </c>
      <c r="C21" s="19">
        <v>3</v>
      </c>
      <c r="D21" s="19"/>
    </row>
    <row r="22" spans="1:4" x14ac:dyDescent="0.35">
      <c r="A22" s="3" t="s">
        <v>326</v>
      </c>
      <c r="B22" s="19">
        <v>2</v>
      </c>
      <c r="C22" s="19">
        <v>1</v>
      </c>
      <c r="D22" s="19">
        <v>1</v>
      </c>
    </row>
    <row r="23" spans="1:4" x14ac:dyDescent="0.35">
      <c r="A23" s="3" t="s">
        <v>351</v>
      </c>
      <c r="B23" s="19">
        <v>4</v>
      </c>
      <c r="C23" s="19">
        <v>1</v>
      </c>
      <c r="D23" s="19">
        <v>3</v>
      </c>
    </row>
    <row r="24" spans="1:4" x14ac:dyDescent="0.35">
      <c r="A24" s="3" t="s">
        <v>364</v>
      </c>
      <c r="B24" s="19"/>
      <c r="C24" s="19"/>
      <c r="D24" s="19">
        <v>2</v>
      </c>
    </row>
    <row r="25" spans="1:4" x14ac:dyDescent="0.35">
      <c r="A25" s="3" t="s">
        <v>405</v>
      </c>
      <c r="B25" s="19">
        <v>3</v>
      </c>
      <c r="C25" s="19">
        <v>2</v>
      </c>
      <c r="D25" s="19">
        <v>3</v>
      </c>
    </row>
    <row r="26" spans="1:4" x14ac:dyDescent="0.35">
      <c r="A26" s="3" t="s">
        <v>435</v>
      </c>
      <c r="B26" s="19">
        <v>2</v>
      </c>
      <c r="C26" s="19"/>
      <c r="D26" s="19"/>
    </row>
    <row r="27" spans="1:4" x14ac:dyDescent="0.35">
      <c r="A27" s="3" t="s">
        <v>433</v>
      </c>
      <c r="B27" s="19">
        <v>5</v>
      </c>
      <c r="C27" s="19"/>
      <c r="D27" s="19">
        <v>1</v>
      </c>
    </row>
    <row r="28" spans="1:4" x14ac:dyDescent="0.35">
      <c r="A28" s="3" t="s">
        <v>438</v>
      </c>
      <c r="B28" s="19"/>
      <c r="C28" s="19">
        <v>1</v>
      </c>
      <c r="D28" s="19">
        <v>1</v>
      </c>
    </row>
    <row r="29" spans="1:4" x14ac:dyDescent="0.35">
      <c r="A29" s="3" t="s">
        <v>464</v>
      </c>
      <c r="B29" s="19"/>
      <c r="C29" s="19"/>
      <c r="D29" s="19">
        <v>2</v>
      </c>
    </row>
    <row r="30" spans="1:4" x14ac:dyDescent="0.35">
      <c r="A30" s="3" t="s">
        <v>519</v>
      </c>
      <c r="B30" s="19">
        <v>6</v>
      </c>
      <c r="C30" s="19">
        <v>1</v>
      </c>
      <c r="D30" s="19">
        <v>1</v>
      </c>
    </row>
    <row r="31" spans="1:4" x14ac:dyDescent="0.35">
      <c r="A31" s="3" t="s">
        <v>540</v>
      </c>
      <c r="B31" s="19">
        <v>3</v>
      </c>
      <c r="C31" s="19"/>
      <c r="D31" s="19">
        <v>1</v>
      </c>
    </row>
    <row r="32" spans="1:4" x14ac:dyDescent="0.35">
      <c r="A32" s="3" t="s">
        <v>567</v>
      </c>
      <c r="B32" s="19">
        <v>3</v>
      </c>
      <c r="C32" s="19"/>
      <c r="D32" s="19">
        <v>1</v>
      </c>
    </row>
    <row r="33" spans="1:4" x14ac:dyDescent="0.35">
      <c r="A33" s="3" t="s">
        <v>578</v>
      </c>
      <c r="B33" s="19">
        <v>6</v>
      </c>
      <c r="C33" s="19">
        <v>1</v>
      </c>
      <c r="D33" s="19">
        <v>3</v>
      </c>
    </row>
    <row r="34" spans="1:4" x14ac:dyDescent="0.35">
      <c r="A34" s="3" t="s">
        <v>605</v>
      </c>
      <c r="B34" s="19">
        <v>2</v>
      </c>
      <c r="C34" s="19"/>
      <c r="D34" s="19"/>
    </row>
    <row r="35" spans="1:4" x14ac:dyDescent="0.35">
      <c r="A35" s="3" t="s">
        <v>609</v>
      </c>
      <c r="B35" s="19">
        <v>4</v>
      </c>
      <c r="C35" s="19"/>
      <c r="D35" s="19">
        <v>2</v>
      </c>
    </row>
    <row r="36" spans="1:4" x14ac:dyDescent="0.35">
      <c r="A36" s="3" t="s">
        <v>622</v>
      </c>
      <c r="B36" s="19">
        <v>4</v>
      </c>
      <c r="C36" s="19">
        <v>2</v>
      </c>
      <c r="D36" s="19"/>
    </row>
    <row r="37" spans="1:4" x14ac:dyDescent="0.35">
      <c r="A37" s="3" t="s">
        <v>24</v>
      </c>
      <c r="B37" s="19">
        <v>120</v>
      </c>
      <c r="C37" s="19">
        <v>45</v>
      </c>
      <c r="D37" s="19">
        <v>59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1984"/>
  <sheetViews>
    <sheetView workbookViewId="0">
      <selection activeCell="A1945" sqref="A1945"/>
    </sheetView>
  </sheetViews>
  <sheetFormatPr defaultColWidth="20.1796875" defaultRowHeight="14.5" x14ac:dyDescent="0.35"/>
  <cols>
    <col min="7" max="7" width="20.1796875" style="11"/>
  </cols>
  <sheetData>
    <row r="1" spans="1:11" x14ac:dyDescent="0.35">
      <c r="A1" t="s">
        <v>0</v>
      </c>
      <c r="B1" t="s">
        <v>1</v>
      </c>
      <c r="C1" t="s">
        <v>2</v>
      </c>
      <c r="D1" t="s">
        <v>3</v>
      </c>
      <c r="E1" t="s">
        <v>4</v>
      </c>
      <c r="F1" t="s">
        <v>5</v>
      </c>
      <c r="G1" s="11" t="s">
        <v>80</v>
      </c>
      <c r="H1" t="s">
        <v>81</v>
      </c>
      <c r="I1" t="s">
        <v>83</v>
      </c>
      <c r="J1" t="s">
        <v>84</v>
      </c>
      <c r="K1" t="s">
        <v>86</v>
      </c>
    </row>
    <row r="2" spans="1:11" hidden="1" x14ac:dyDescent="0.3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3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3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3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3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3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3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3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3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3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3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3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3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3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3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3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3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3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3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3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3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3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3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3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3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3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3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3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3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3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3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3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3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3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3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3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3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3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3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3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3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3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3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3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3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3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3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3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3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3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3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3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3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3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3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3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3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3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3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3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3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3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3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3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3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3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3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3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3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3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3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3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3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3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3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3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3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3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3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3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3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3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3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3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3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3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3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3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3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3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3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3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3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3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3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3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3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3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3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3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3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3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3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3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3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3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3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3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3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3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3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3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3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3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3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3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3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3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3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3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3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3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3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3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3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3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3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3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3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3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3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3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3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3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3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3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3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3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3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3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3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3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3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3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3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3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3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3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3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3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3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3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3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3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3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3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3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3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3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3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3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3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3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3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3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3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3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3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3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3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3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3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3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3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3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3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3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3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3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3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3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3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3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3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3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3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3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3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3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3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3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3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3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3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3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3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3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3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3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3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3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3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3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3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3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3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3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3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3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3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3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3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3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3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3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3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3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3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3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3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3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3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3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3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3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3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3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3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3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3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3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3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3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3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3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3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3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3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3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3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3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3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3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3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3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3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3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3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3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3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3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3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3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3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3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3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3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3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3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3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3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3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3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3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3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3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3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3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3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3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3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3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3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3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3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3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3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3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3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3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3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3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3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3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3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3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3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3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3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3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3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3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3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3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3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3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3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3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3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3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3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3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3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3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3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3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3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3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3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3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3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3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3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3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3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3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3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3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3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3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3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3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3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3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3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3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3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3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3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3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3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3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3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3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3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3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3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3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3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3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3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3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3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3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3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3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3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3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3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3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3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3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3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3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3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3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3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3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3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3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3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3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3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3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3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3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3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3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3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3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3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3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3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3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3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3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3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3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3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3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3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3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3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3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3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3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3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3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3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3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3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3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3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3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3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3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3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3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3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3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3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3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3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3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3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3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3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3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3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3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3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3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3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3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3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3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3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3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3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3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3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3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3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3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3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3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3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3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3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3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3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3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3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3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3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3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3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3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3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3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3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3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3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3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3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3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3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3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3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3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3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3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3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3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3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3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3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3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3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3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3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3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3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3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3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3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3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3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3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3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3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3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3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3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3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3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3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3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3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3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3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3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3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3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3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3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3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3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3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3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3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3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3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3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3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3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3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3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3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3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3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3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3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3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3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3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3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3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3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3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3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3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3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3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3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3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3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3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3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3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3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3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3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3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3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3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3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3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3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3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3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3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3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3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3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3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3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3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3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3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3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3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3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3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3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3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3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3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3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3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3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3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3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3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3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3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3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3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3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3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3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3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3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3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3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3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3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3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3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3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3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3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3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3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3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3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3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3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3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3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3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3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3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3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3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3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3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3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3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3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3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3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3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3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3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3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3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3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3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3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3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3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3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3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3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3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3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3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3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3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3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3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3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3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3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3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3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3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3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3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3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3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3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3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3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3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3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3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3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3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3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3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3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3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3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3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3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3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3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3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3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3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3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3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3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3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3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3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3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3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3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3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3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3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3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3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3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3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3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3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3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3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3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3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3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3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3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3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3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3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3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3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3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3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3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3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3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3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3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3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3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3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3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3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3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3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3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3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3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3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3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3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3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3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3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3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3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3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3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3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3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3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3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3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3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3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3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3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3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3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3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3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3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3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3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3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3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3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3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3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3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3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3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3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3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3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3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3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3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3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3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3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3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3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3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3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3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3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3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3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3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3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3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3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3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3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3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3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3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3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3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3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3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3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3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3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3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3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3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3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3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3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3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3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3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3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3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3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3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3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3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3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3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3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3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3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3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3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3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3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3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3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3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3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3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3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3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3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3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3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3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3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3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3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3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3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3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3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3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3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3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3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3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3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3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3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3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3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3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3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3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3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3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3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3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3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3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3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3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3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3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3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3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3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3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3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3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3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3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3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3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3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3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3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3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3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3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3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3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3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3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3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3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3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3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3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3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3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3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3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3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3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3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3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3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3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3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3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3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3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3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3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3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3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3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3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3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3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3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3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3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3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3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3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3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3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3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3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3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3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3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3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3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3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3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3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3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3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3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3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3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3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3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3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3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3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3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3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3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3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3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3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3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3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3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3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3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3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3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3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3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3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3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3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3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3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3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3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3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3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3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3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3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3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3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3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3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3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3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3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3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3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3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3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3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3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3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3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3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3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3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3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3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3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3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3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3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3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3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3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3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3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3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3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3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3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3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3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3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3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3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3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3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3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3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3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3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3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3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3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3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3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3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3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3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3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3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3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3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3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3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3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3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3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3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3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3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3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3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3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3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3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3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3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3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3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3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3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3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3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3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3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3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3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3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3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3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3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3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3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3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3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3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3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3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3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3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3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3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3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3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3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3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3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3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3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3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3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3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3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3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3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3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3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3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3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3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3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3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3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3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3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3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3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3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3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3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3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3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3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3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3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3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3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3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3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3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3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3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3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3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3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3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3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3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3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3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3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3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3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3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3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3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3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3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3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3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3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3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3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3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3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3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3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3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3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3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3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3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3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3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3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3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3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3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3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3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3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3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3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3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3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3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3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3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3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3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3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3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3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3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3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3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3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3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3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3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3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3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3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3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3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3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3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3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3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3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3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3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3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3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3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3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3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3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3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3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3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3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3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3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3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3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3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3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3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3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3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3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3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3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3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3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3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3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3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3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3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3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3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3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3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3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3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3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3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3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3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3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3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3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3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3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3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3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3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3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3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3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3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3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3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3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3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3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3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3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3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3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3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3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3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3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3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3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3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3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3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3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3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3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3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3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3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3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3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3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3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3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3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3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3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3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3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3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3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3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3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3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3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3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3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3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3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3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3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3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3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3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3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3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3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3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3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3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3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3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3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3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3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3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3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3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3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3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3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3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3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3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3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3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3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3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3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3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3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3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3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3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3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3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3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3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3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3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3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3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3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3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3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3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3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3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3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3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3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3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3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3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3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3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3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3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3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3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3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3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3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3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3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3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3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3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3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3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3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3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3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3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3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3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3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3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3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3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3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3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3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3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3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3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3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3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3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3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3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3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3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3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3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3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3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3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3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3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3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3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3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3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3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3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3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3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3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3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3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3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3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3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3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3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3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3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3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3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3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3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3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3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3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3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3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3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3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3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3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3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3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3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3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3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3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3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3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3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3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3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3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3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3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3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3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3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3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3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3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3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3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3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3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3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3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3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3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3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3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3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3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3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3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3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3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3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3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3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3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3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3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3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3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3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3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3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3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3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3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3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3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3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3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3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3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3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3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3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3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3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3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3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3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3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3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3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3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3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3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3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3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3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3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3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3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3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3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3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3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3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3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3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3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3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3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3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3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3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3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3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3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3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3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3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3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3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3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3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3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3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3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3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3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3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3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3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3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3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3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3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3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3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3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3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3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3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3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3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3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3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3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3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3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3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3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3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3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3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3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3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3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3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3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3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3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3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3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3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3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3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3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3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3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3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3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3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3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3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3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3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3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3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3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3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3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3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3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3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3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3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3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3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3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3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3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3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3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3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3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3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3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3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3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3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3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3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3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3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3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3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3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3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3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3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3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3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3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3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3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3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3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3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3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3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3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3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3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3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3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3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3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3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3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3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3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3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3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3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3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3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3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3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3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3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3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3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3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3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3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3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3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3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3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3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3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3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3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3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3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3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3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3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3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3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3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3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3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3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3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3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3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3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3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3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3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3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3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3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3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3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3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3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3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3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3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3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3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3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3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3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3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3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3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3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3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3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3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3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3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3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3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3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3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3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3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3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3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3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3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3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3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3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3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3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3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3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3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3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3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3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3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3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3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3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3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3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3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3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3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3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3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3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3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3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3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3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3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3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3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3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3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3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3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3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3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3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3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3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3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3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3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3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3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3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3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3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3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3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3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3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3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3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3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3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3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3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3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3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3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3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3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3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3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3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3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3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3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3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3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3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3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3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3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3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3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3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3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3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3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3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3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3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3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3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3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3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3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3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3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3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3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3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3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3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3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3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3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3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3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3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3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3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3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3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3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3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3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3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3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3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3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3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3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3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3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3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3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3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3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3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3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3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3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3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3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3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3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3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3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3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3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3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3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3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3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3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3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3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3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3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3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3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3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3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3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3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3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3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3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3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3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3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3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3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3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3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3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3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3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3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3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3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3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3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3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3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3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3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3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3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3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3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3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3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3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3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3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3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3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3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3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3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3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3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3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3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3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3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3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3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3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3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3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3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3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3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3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3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3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3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3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3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3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3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3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3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3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3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3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3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3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3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3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3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3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3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3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3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3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3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3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3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3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3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3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3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3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3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3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3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3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3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3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3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3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3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3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3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3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3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3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3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3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3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3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3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3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3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3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3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3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3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3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3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3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3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3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3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3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3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3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3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3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3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3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3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3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3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3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3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3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3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3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3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3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3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3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3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3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3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3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3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3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3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3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3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3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3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3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3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3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3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3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3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3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3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3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3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3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3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3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3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35">
      <c r="A1941" t="s">
        <v>438</v>
      </c>
      <c r="B1941" t="s">
        <v>63</v>
      </c>
      <c r="C1941">
        <v>1</v>
      </c>
      <c r="D1941">
        <v>1</v>
      </c>
      <c r="E1941">
        <v>1</v>
      </c>
      <c r="F1941" s="1">
        <v>46245</v>
      </c>
      <c r="G1941" s="11" t="str">
        <f>_xlfn.TEXTJOIN("|",TRUE,D1941,TEXT(INT(E1941),"yyyymmdd"),F1941)</f>
        <v>1|19000101|46245</v>
      </c>
      <c r="H1941" s="19">
        <f>COUNTIF(GameLog[Pod ID],GameLog[[#This Row],[Pod ID]])</f>
        <v>4</v>
      </c>
      <c r="I1941" s="19">
        <f>YEAR(GameLog[[#This Row],[Date]])</f>
        <v>2026</v>
      </c>
      <c r="J1941" s="19">
        <f>MONTH(GameLog[[#This Row],[Date]])</f>
        <v>8</v>
      </c>
      <c r="K1941" s="19" t="str">
        <f>IF(GameLog[[#This Row],[Date]]=MAX(GameLog[Date]),"Current","Previous")</f>
        <v>Current</v>
      </c>
    </row>
    <row r="1942" spans="1:11" x14ac:dyDescent="0.35">
      <c r="A1942" t="s">
        <v>7</v>
      </c>
      <c r="B1942" t="s">
        <v>63</v>
      </c>
      <c r="C1942">
        <v>2</v>
      </c>
      <c r="D1942">
        <v>1</v>
      </c>
      <c r="E1942">
        <v>1</v>
      </c>
      <c r="F1942" s="1">
        <v>46245</v>
      </c>
      <c r="G1942" s="11" t="str">
        <f>_xlfn.TEXTJOIN("|",TRUE,D1942,TEXT(INT(E1942),"yyyymmdd"),F1942)</f>
        <v>1|19000101|46245</v>
      </c>
      <c r="H1942" s="19">
        <f>COUNTIF(GameLog[Pod ID],GameLog[[#This Row],[Pod ID]])</f>
        <v>4</v>
      </c>
      <c r="I1942" s="19">
        <f>YEAR(GameLog[[#This Row],[Date]])</f>
        <v>2026</v>
      </c>
      <c r="J1942" s="19">
        <f>MONTH(GameLog[[#This Row],[Date]])</f>
        <v>8</v>
      </c>
      <c r="K1942" s="19" t="str">
        <f>IF(GameLog[[#This Row],[Date]]=MAX(GameLog[Date]),"Current","Previous")</f>
        <v>Current</v>
      </c>
    </row>
    <row r="1943" spans="1:11" x14ac:dyDescent="0.35">
      <c r="A1943" t="s">
        <v>9</v>
      </c>
      <c r="B1943" t="s">
        <v>63</v>
      </c>
      <c r="C1943">
        <v>3</v>
      </c>
      <c r="D1943">
        <v>1</v>
      </c>
      <c r="E1943">
        <v>1</v>
      </c>
      <c r="F1943" s="1">
        <v>46245</v>
      </c>
      <c r="G1943" s="11" t="str">
        <f>_xlfn.TEXTJOIN("|",TRUE,D1943,TEXT(INT(E1943),"yyyymmdd"),F1943)</f>
        <v>1|19000101|46245</v>
      </c>
      <c r="H1943" s="19">
        <f>COUNTIF(GameLog[Pod ID],GameLog[[#This Row],[Pod ID]])</f>
        <v>4</v>
      </c>
      <c r="I1943" s="19">
        <f>YEAR(GameLog[[#This Row],[Date]])</f>
        <v>2026</v>
      </c>
      <c r="J1943" s="19">
        <f>MONTH(GameLog[[#This Row],[Date]])</f>
        <v>8</v>
      </c>
      <c r="K1943" s="19" t="str">
        <f>IF(GameLog[[#This Row],[Date]]=MAX(GameLog[Date]),"Current","Previous")</f>
        <v>Current</v>
      </c>
    </row>
    <row r="1944" spans="1:11" x14ac:dyDescent="0.35">
      <c r="A1944" t="s">
        <v>351</v>
      </c>
      <c r="B1944" t="s">
        <v>63</v>
      </c>
      <c r="C1944">
        <v>4</v>
      </c>
      <c r="D1944">
        <v>1</v>
      </c>
      <c r="E1944">
        <v>1</v>
      </c>
      <c r="F1944" s="1">
        <v>46245</v>
      </c>
      <c r="G1944" s="11" t="str">
        <f>_xlfn.TEXTJOIN("|",TRUE,D1944,TEXT(INT(E1944),"yyyymmdd"),F1944)</f>
        <v>1|19000101|46245</v>
      </c>
      <c r="H1944" s="19">
        <f>COUNTIF(GameLog[Pod ID],GameLog[[#This Row],[Pod ID]])</f>
        <v>4</v>
      </c>
      <c r="I1944" s="19">
        <f>YEAR(GameLog[[#This Row],[Date]])</f>
        <v>2026</v>
      </c>
      <c r="J1944" s="19">
        <f>MONTH(GameLog[[#This Row],[Date]])</f>
        <v>8</v>
      </c>
      <c r="K1944" s="19" t="str">
        <f>IF(GameLog[[#This Row],[Date]]=MAX(GameLog[Date]),"Current","Previous")</f>
        <v>Current</v>
      </c>
    </row>
    <row r="1945" spans="1:11" x14ac:dyDescent="0.35">
      <c r="A1945" t="s">
        <v>364</v>
      </c>
      <c r="B1945" t="s">
        <v>63</v>
      </c>
      <c r="C1945">
        <v>1</v>
      </c>
      <c r="D1945">
        <v>2</v>
      </c>
      <c r="E1945">
        <v>1</v>
      </c>
      <c r="F1945" s="1">
        <v>46245</v>
      </c>
      <c r="G1945" s="11" t="str">
        <f>_xlfn.TEXTJOIN("|",TRUE,D1945,TEXT(INT(E1945),"yyyymmdd"),F1945)</f>
        <v>2|19000101|46245</v>
      </c>
      <c r="H1945" s="19">
        <f>COUNTIF(GameLog[Pod ID],GameLog[[#This Row],[Pod ID]])</f>
        <v>4</v>
      </c>
      <c r="I1945" s="19">
        <f>YEAR(GameLog[[#This Row],[Date]])</f>
        <v>2026</v>
      </c>
      <c r="J1945" s="19">
        <f>MONTH(GameLog[[#This Row],[Date]])</f>
        <v>8</v>
      </c>
      <c r="K1945" s="19" t="str">
        <f>IF(GameLog[[#This Row],[Date]]=MAX(GameLog[Date]),"Current","Previous")</f>
        <v>Current</v>
      </c>
    </row>
    <row r="1946" spans="1:11" x14ac:dyDescent="0.35">
      <c r="A1946" t="s">
        <v>578</v>
      </c>
      <c r="B1946" t="s">
        <v>63</v>
      </c>
      <c r="C1946">
        <v>2</v>
      </c>
      <c r="D1946">
        <v>2</v>
      </c>
      <c r="E1946">
        <v>1</v>
      </c>
      <c r="F1946" s="1">
        <v>46245</v>
      </c>
      <c r="G1946" s="11" t="str">
        <f>_xlfn.TEXTJOIN("|",TRUE,D1946,TEXT(INT(E1946),"yyyymmdd"),F1946)</f>
        <v>2|19000101|46245</v>
      </c>
      <c r="H1946" s="19">
        <f>COUNTIF(GameLog[Pod ID],GameLog[[#This Row],[Pod ID]])</f>
        <v>4</v>
      </c>
      <c r="I1946" s="19">
        <f>YEAR(GameLog[[#This Row],[Date]])</f>
        <v>2026</v>
      </c>
      <c r="J1946" s="19">
        <f>MONTH(GameLog[[#This Row],[Date]])</f>
        <v>8</v>
      </c>
      <c r="K1946" s="19" t="str">
        <f>IF(GameLog[[#This Row],[Date]]=MAX(GameLog[Date]),"Current","Previous")</f>
        <v>Current</v>
      </c>
    </row>
    <row r="1947" spans="1:11" x14ac:dyDescent="0.35">
      <c r="A1947" t="s">
        <v>11</v>
      </c>
      <c r="B1947" t="s">
        <v>63</v>
      </c>
      <c r="C1947">
        <v>3</v>
      </c>
      <c r="D1947">
        <v>2</v>
      </c>
      <c r="E1947">
        <v>1</v>
      </c>
      <c r="F1947" s="1">
        <v>46245</v>
      </c>
      <c r="G1947" s="11" t="str">
        <f>_xlfn.TEXTJOIN("|",TRUE,D1947,TEXT(INT(E1947),"yyyymmdd"),F1947)</f>
        <v>2|19000101|46245</v>
      </c>
      <c r="H1947" s="19">
        <f>COUNTIF(GameLog[Pod ID],GameLog[[#This Row],[Pod ID]])</f>
        <v>4</v>
      </c>
      <c r="I1947" s="19">
        <f>YEAR(GameLog[[#This Row],[Date]])</f>
        <v>2026</v>
      </c>
      <c r="J1947" s="19">
        <f>MONTH(GameLog[[#This Row],[Date]])</f>
        <v>8</v>
      </c>
      <c r="K1947" s="19" t="str">
        <f>IF(GameLog[[#This Row],[Date]]=MAX(GameLog[Date]),"Current","Previous")</f>
        <v>Current</v>
      </c>
    </row>
    <row r="1948" spans="1:11" x14ac:dyDescent="0.35">
      <c r="A1948" t="s">
        <v>14</v>
      </c>
      <c r="B1948" t="s">
        <v>63</v>
      </c>
      <c r="C1948">
        <v>4</v>
      </c>
      <c r="D1948">
        <v>2</v>
      </c>
      <c r="E1948">
        <v>1</v>
      </c>
      <c r="F1948" s="1">
        <v>46245</v>
      </c>
      <c r="G1948" s="11" t="str">
        <f>_xlfn.TEXTJOIN("|",TRUE,D1948,TEXT(INT(E1948),"yyyymmdd"),F1948)</f>
        <v>2|19000101|46245</v>
      </c>
      <c r="H1948" s="19">
        <f>COUNTIF(GameLog[Pod ID],GameLog[[#This Row],[Pod ID]])</f>
        <v>4</v>
      </c>
      <c r="I1948" s="19">
        <f>YEAR(GameLog[[#This Row],[Date]])</f>
        <v>2026</v>
      </c>
      <c r="J1948" s="19">
        <f>MONTH(GameLog[[#This Row],[Date]])</f>
        <v>8</v>
      </c>
      <c r="K1948" s="19" t="str">
        <f>IF(GameLog[[#This Row],[Date]]=MAX(GameLog[Date]),"Current","Previous")</f>
        <v>Current</v>
      </c>
    </row>
    <row r="1949" spans="1:11" x14ac:dyDescent="0.35">
      <c r="A1949" t="s">
        <v>13</v>
      </c>
      <c r="B1949" t="s">
        <v>6</v>
      </c>
      <c r="C1949">
        <v>1</v>
      </c>
      <c r="D1949">
        <v>3</v>
      </c>
      <c r="E1949">
        <v>1</v>
      </c>
      <c r="F1949" s="1">
        <v>46245</v>
      </c>
      <c r="G1949" s="11" t="str">
        <f>_xlfn.TEXTJOIN("|",TRUE,D1949,TEXT(INT(E1949),"yyyymmdd"),F1949)</f>
        <v>3|19000101|46245</v>
      </c>
      <c r="H1949" s="19">
        <f>COUNTIF(GameLog[Pod ID],GameLog[[#This Row],[Pod ID]])</f>
        <v>4</v>
      </c>
      <c r="I1949" s="19">
        <f>YEAR(GameLog[[#This Row],[Date]])</f>
        <v>2026</v>
      </c>
      <c r="J1949" s="19">
        <f>MONTH(GameLog[[#This Row],[Date]])</f>
        <v>8</v>
      </c>
      <c r="K1949" s="19" t="str">
        <f>IF(GameLog[[#This Row],[Date]]=MAX(GameLog[Date]),"Current","Previous")</f>
        <v>Current</v>
      </c>
    </row>
    <row r="1950" spans="1:11" x14ac:dyDescent="0.35">
      <c r="A1950" t="s">
        <v>15</v>
      </c>
      <c r="B1950" t="s">
        <v>8</v>
      </c>
      <c r="C1950">
        <v>2</v>
      </c>
      <c r="D1950">
        <v>3</v>
      </c>
      <c r="E1950">
        <v>1</v>
      </c>
      <c r="F1950" s="1">
        <v>46245</v>
      </c>
      <c r="G1950" s="11" t="str">
        <f>_xlfn.TEXTJOIN("|",TRUE,D1950,TEXT(INT(E1950),"yyyymmdd"),F1950)</f>
        <v>3|19000101|46245</v>
      </c>
      <c r="H1950" s="19">
        <f>COUNTIF(GameLog[Pod ID],GameLog[[#This Row],[Pod ID]])</f>
        <v>4</v>
      </c>
      <c r="I1950" s="19">
        <f>YEAR(GameLog[[#This Row],[Date]])</f>
        <v>2026</v>
      </c>
      <c r="J1950" s="19">
        <f>MONTH(GameLog[[#This Row],[Date]])</f>
        <v>8</v>
      </c>
      <c r="K1950" s="19" t="str">
        <f>IF(GameLog[[#This Row],[Date]]=MAX(GameLog[Date]),"Current","Previous")</f>
        <v>Current</v>
      </c>
    </row>
    <row r="1951" spans="1:11" x14ac:dyDescent="0.35">
      <c r="A1951" t="s">
        <v>17</v>
      </c>
      <c r="B1951" t="s">
        <v>6</v>
      </c>
      <c r="C1951">
        <v>3</v>
      </c>
      <c r="D1951">
        <v>3</v>
      </c>
      <c r="E1951">
        <v>1</v>
      </c>
      <c r="F1951" s="1">
        <v>46245</v>
      </c>
      <c r="G1951" s="11" t="str">
        <f>_xlfn.TEXTJOIN("|",TRUE,D1951,TEXT(INT(E1951),"yyyymmdd"),F1951)</f>
        <v>3|19000101|46245</v>
      </c>
      <c r="H1951" s="19">
        <f>COUNTIF(GameLog[Pod ID],GameLog[[#This Row],[Pod ID]])</f>
        <v>4</v>
      </c>
      <c r="I1951" s="19">
        <f>YEAR(GameLog[[#This Row],[Date]])</f>
        <v>2026</v>
      </c>
      <c r="J1951" s="19">
        <f>MONTH(GameLog[[#This Row],[Date]])</f>
        <v>8</v>
      </c>
      <c r="K1951" s="19" t="str">
        <f>IF(GameLog[[#This Row],[Date]]=MAX(GameLog[Date]),"Current","Previous")</f>
        <v>Current</v>
      </c>
    </row>
    <row r="1952" spans="1:11" x14ac:dyDescent="0.35">
      <c r="A1952" t="s">
        <v>41</v>
      </c>
      <c r="B1952" t="s">
        <v>6</v>
      </c>
      <c r="C1952">
        <v>4</v>
      </c>
      <c r="D1952">
        <v>3</v>
      </c>
      <c r="E1952">
        <v>1</v>
      </c>
      <c r="F1952" s="1">
        <v>46245</v>
      </c>
      <c r="G1952" s="11" t="str">
        <f>_xlfn.TEXTJOIN("|",TRUE,D1952,TEXT(INT(E1952),"yyyymmdd"),F1952)</f>
        <v>3|19000101|46245</v>
      </c>
      <c r="H1952" s="19">
        <f>COUNTIF(GameLog[Pod ID],GameLog[[#This Row],[Pod ID]])</f>
        <v>4</v>
      </c>
      <c r="I1952" s="19">
        <f>YEAR(GameLog[[#This Row],[Date]])</f>
        <v>2026</v>
      </c>
      <c r="J1952" s="19">
        <f>MONTH(GameLog[[#This Row],[Date]])</f>
        <v>8</v>
      </c>
      <c r="K1952" s="19" t="str">
        <f>IF(GameLog[[#This Row],[Date]]=MAX(GameLog[Date]),"Current","Previous")</f>
        <v>Current</v>
      </c>
    </row>
    <row r="1953" spans="1:11" x14ac:dyDescent="0.35">
      <c r="A1953" t="s">
        <v>567</v>
      </c>
      <c r="B1953" t="s">
        <v>63</v>
      </c>
      <c r="C1953">
        <v>1</v>
      </c>
      <c r="D1953">
        <v>4</v>
      </c>
      <c r="E1953">
        <v>1</v>
      </c>
      <c r="F1953" s="1">
        <v>46245</v>
      </c>
      <c r="G1953" s="11" t="str">
        <f>_xlfn.TEXTJOIN("|",TRUE,D1953,TEXT(INT(E1953),"yyyymmdd"),F1953)</f>
        <v>4|19000101|46245</v>
      </c>
      <c r="H1953" s="19">
        <f>COUNTIF(GameLog[Pod ID],GameLog[[#This Row],[Pod ID]])</f>
        <v>4</v>
      </c>
      <c r="I1953" s="19">
        <f>YEAR(GameLog[[#This Row],[Date]])</f>
        <v>2026</v>
      </c>
      <c r="J1953" s="19">
        <f>MONTH(GameLog[[#This Row],[Date]])</f>
        <v>8</v>
      </c>
      <c r="K1953" s="19" t="str">
        <f>IF(GameLog[[#This Row],[Date]]=MAX(GameLog[Date]),"Current","Previous")</f>
        <v>Current</v>
      </c>
    </row>
    <row r="1954" spans="1:11" x14ac:dyDescent="0.35">
      <c r="A1954" t="s">
        <v>464</v>
      </c>
      <c r="B1954" t="s">
        <v>63</v>
      </c>
      <c r="C1954">
        <v>2</v>
      </c>
      <c r="D1954">
        <v>4</v>
      </c>
      <c r="E1954">
        <v>1</v>
      </c>
      <c r="F1954" s="1">
        <v>46245</v>
      </c>
      <c r="G1954" s="11" t="str">
        <f>_xlfn.TEXTJOIN("|",TRUE,D1954,TEXT(INT(E1954),"yyyymmdd"),F1954)</f>
        <v>4|19000101|46245</v>
      </c>
      <c r="H1954" s="19">
        <f>COUNTIF(GameLog[Pod ID],GameLog[[#This Row],[Pod ID]])</f>
        <v>4</v>
      </c>
      <c r="I1954" s="19">
        <f>YEAR(GameLog[[#This Row],[Date]])</f>
        <v>2026</v>
      </c>
      <c r="J1954" s="19">
        <f>MONTH(GameLog[[#This Row],[Date]])</f>
        <v>8</v>
      </c>
      <c r="K1954" s="19" t="str">
        <f>IF(GameLog[[#This Row],[Date]]=MAX(GameLog[Date]),"Current","Previous")</f>
        <v>Current</v>
      </c>
    </row>
    <row r="1955" spans="1:11" x14ac:dyDescent="0.35">
      <c r="A1955" t="s">
        <v>20</v>
      </c>
      <c r="B1955" t="s">
        <v>63</v>
      </c>
      <c r="C1955">
        <v>3</v>
      </c>
      <c r="D1955">
        <v>4</v>
      </c>
      <c r="E1955">
        <v>1</v>
      </c>
      <c r="F1955" s="1">
        <v>46245</v>
      </c>
      <c r="G1955" s="11" t="str">
        <f>_xlfn.TEXTJOIN("|",TRUE,D1955,TEXT(INT(E1955),"yyyymmdd"),F1955)</f>
        <v>4|19000101|46245</v>
      </c>
      <c r="H1955" s="19">
        <f>COUNTIF(GameLog[Pod ID],GameLog[[#This Row],[Pod ID]])</f>
        <v>4</v>
      </c>
      <c r="I1955" s="19">
        <f>YEAR(GameLog[[#This Row],[Date]])</f>
        <v>2026</v>
      </c>
      <c r="J1955" s="19">
        <f>MONTH(GameLog[[#This Row],[Date]])</f>
        <v>8</v>
      </c>
      <c r="K1955" s="19" t="str">
        <f>IF(GameLog[[#This Row],[Date]]=MAX(GameLog[Date]),"Current","Previous")</f>
        <v>Current</v>
      </c>
    </row>
    <row r="1956" spans="1:11" x14ac:dyDescent="0.35">
      <c r="A1956" t="s">
        <v>51</v>
      </c>
      <c r="B1956" t="s">
        <v>63</v>
      </c>
      <c r="C1956">
        <v>4</v>
      </c>
      <c r="D1956">
        <v>4</v>
      </c>
      <c r="E1956">
        <v>1</v>
      </c>
      <c r="F1956" s="1">
        <v>46245</v>
      </c>
      <c r="G1956" s="11" t="str">
        <f>_xlfn.TEXTJOIN("|",TRUE,D1956,TEXT(INT(E1956),"yyyymmdd"),F1956)</f>
        <v>4|19000101|46245</v>
      </c>
      <c r="H1956" s="19">
        <f>COUNTIF(GameLog[Pod ID],GameLog[[#This Row],[Pod ID]])</f>
        <v>4</v>
      </c>
      <c r="I1956" s="19">
        <f>YEAR(GameLog[[#This Row],[Date]])</f>
        <v>2026</v>
      </c>
      <c r="J1956" s="19">
        <f>MONTH(GameLog[[#This Row],[Date]])</f>
        <v>8</v>
      </c>
      <c r="K1956" s="19" t="str">
        <f>IF(GameLog[[#This Row],[Date]]=MAX(GameLog[Date]),"Current","Previous")</f>
        <v>Current</v>
      </c>
    </row>
    <row r="1957" spans="1:11" x14ac:dyDescent="0.35">
      <c r="A1957" t="s">
        <v>19</v>
      </c>
      <c r="B1957" t="s">
        <v>63</v>
      </c>
      <c r="C1957">
        <v>1</v>
      </c>
      <c r="D1957">
        <v>5</v>
      </c>
      <c r="E1957">
        <v>1</v>
      </c>
      <c r="F1957" s="1">
        <v>46245</v>
      </c>
      <c r="G1957" s="11" t="str">
        <f>_xlfn.TEXTJOIN("|",TRUE,D1957,TEXT(INT(E1957),"yyyymmdd"),F1957)</f>
        <v>5|19000101|46245</v>
      </c>
      <c r="H1957" s="19">
        <f>COUNTIF(GameLog[Pod ID],GameLog[[#This Row],[Pod ID]])</f>
        <v>3</v>
      </c>
      <c r="I1957" s="19">
        <f>YEAR(GameLog[[#This Row],[Date]])</f>
        <v>2026</v>
      </c>
      <c r="J1957" s="19">
        <f>MONTH(GameLog[[#This Row],[Date]])</f>
        <v>8</v>
      </c>
      <c r="K1957" s="19" t="str">
        <f>IF(GameLog[[#This Row],[Date]]=MAX(GameLog[Date]),"Current","Previous")</f>
        <v>Current</v>
      </c>
    </row>
    <row r="1958" spans="1:11" x14ac:dyDescent="0.35">
      <c r="A1958" t="s">
        <v>28</v>
      </c>
      <c r="B1958" t="s">
        <v>63</v>
      </c>
      <c r="C1958">
        <v>2</v>
      </c>
      <c r="D1958">
        <v>5</v>
      </c>
      <c r="E1958">
        <v>1</v>
      </c>
      <c r="F1958" s="1">
        <v>46245</v>
      </c>
      <c r="G1958" s="11" t="str">
        <f>_xlfn.TEXTJOIN("|",TRUE,D1958,TEXT(INT(E1958),"yyyymmdd"),F1958)</f>
        <v>5|19000101|46245</v>
      </c>
      <c r="H1958" s="19">
        <f>COUNTIF(GameLog[Pod ID],GameLog[[#This Row],[Pod ID]])</f>
        <v>3</v>
      </c>
      <c r="I1958" s="19">
        <f>YEAR(GameLog[[#This Row],[Date]])</f>
        <v>2026</v>
      </c>
      <c r="J1958" s="19">
        <f>MONTH(GameLog[[#This Row],[Date]])</f>
        <v>8</v>
      </c>
      <c r="K1958" s="19" t="str">
        <f>IF(GameLog[[#This Row],[Date]]=MAX(GameLog[Date]),"Current","Previous")</f>
        <v>Current</v>
      </c>
    </row>
    <row r="1959" spans="1:11" x14ac:dyDescent="0.35">
      <c r="A1959" t="s">
        <v>405</v>
      </c>
      <c r="B1959" t="s">
        <v>63</v>
      </c>
      <c r="C1959">
        <v>3</v>
      </c>
      <c r="D1959">
        <v>5</v>
      </c>
      <c r="E1959">
        <v>1</v>
      </c>
      <c r="F1959" s="1">
        <v>46245</v>
      </c>
      <c r="G1959" s="11" t="str">
        <f>_xlfn.TEXTJOIN("|",TRUE,D1959,TEXT(INT(E1959),"yyyymmdd"),F1959)</f>
        <v>5|19000101|46245</v>
      </c>
      <c r="H1959" s="19">
        <f>COUNTIF(GameLog[Pod ID],GameLog[[#This Row],[Pod ID]])</f>
        <v>3</v>
      </c>
      <c r="I1959" s="19">
        <f>YEAR(GameLog[[#This Row],[Date]])</f>
        <v>2026</v>
      </c>
      <c r="J1959" s="19">
        <f>MONTH(GameLog[[#This Row],[Date]])</f>
        <v>8</v>
      </c>
      <c r="K1959" s="19" t="str">
        <f>IF(GameLog[[#This Row],[Date]]=MAX(GameLog[Date]),"Current","Previous")</f>
        <v>Current</v>
      </c>
    </row>
    <row r="1960" spans="1:11" x14ac:dyDescent="0.35">
      <c r="A1960" t="s">
        <v>325</v>
      </c>
      <c r="B1960" t="s">
        <v>8</v>
      </c>
      <c r="C1960">
        <v>1</v>
      </c>
      <c r="D1960">
        <v>6</v>
      </c>
      <c r="E1960">
        <v>1</v>
      </c>
      <c r="F1960" s="1">
        <v>46245</v>
      </c>
      <c r="G1960" s="11" t="str">
        <f>_xlfn.TEXTJOIN("|",TRUE,D1960,TEXT(INT(E1960),"yyyymmdd"),F1960)</f>
        <v>6|19000101|46245</v>
      </c>
      <c r="H1960" s="19">
        <f>COUNTIF(GameLog[Pod ID],GameLog[[#This Row],[Pod ID]])</f>
        <v>3</v>
      </c>
      <c r="I1960" s="19">
        <f>YEAR(GameLog[[#This Row],[Date]])</f>
        <v>2026</v>
      </c>
      <c r="J1960" s="19">
        <f>MONTH(GameLog[[#This Row],[Date]])</f>
        <v>8</v>
      </c>
      <c r="K1960" s="19" t="str">
        <f>IF(GameLog[[#This Row],[Date]]=MAX(GameLog[Date]),"Current","Previous")</f>
        <v>Current</v>
      </c>
    </row>
    <row r="1961" spans="1:11" x14ac:dyDescent="0.35">
      <c r="A1961" t="s">
        <v>609</v>
      </c>
      <c r="B1961" t="s">
        <v>6</v>
      </c>
      <c r="C1961">
        <v>2</v>
      </c>
      <c r="D1961">
        <v>6</v>
      </c>
      <c r="E1961">
        <v>1</v>
      </c>
      <c r="F1961" s="1">
        <v>46245</v>
      </c>
      <c r="G1961" s="11" t="str">
        <f>_xlfn.TEXTJOIN("|",TRUE,D1961,TEXT(INT(E1961),"yyyymmdd"),F1961)</f>
        <v>6|19000101|46245</v>
      </c>
      <c r="H1961" s="19">
        <f>COUNTIF(GameLog[Pod ID],GameLog[[#This Row],[Pod ID]])</f>
        <v>3</v>
      </c>
      <c r="I1961" s="19">
        <f>YEAR(GameLog[[#This Row],[Date]])</f>
        <v>2026</v>
      </c>
      <c r="J1961" s="19">
        <f>MONTH(GameLog[[#This Row],[Date]])</f>
        <v>8</v>
      </c>
      <c r="K1961" s="19" t="str">
        <f>IF(GameLog[[#This Row],[Date]]=MAX(GameLog[Date]),"Current","Previous")</f>
        <v>Current</v>
      </c>
    </row>
    <row r="1962" spans="1:11" x14ac:dyDescent="0.35">
      <c r="A1962" t="s">
        <v>433</v>
      </c>
      <c r="B1962" t="s">
        <v>6</v>
      </c>
      <c r="C1962">
        <v>3</v>
      </c>
      <c r="D1962">
        <v>6</v>
      </c>
      <c r="E1962">
        <v>1</v>
      </c>
      <c r="F1962" s="1">
        <v>46245</v>
      </c>
      <c r="G1962" s="11" t="str">
        <f>_xlfn.TEXTJOIN("|",TRUE,D1962,TEXT(INT(E1962),"yyyymmdd"),F1962)</f>
        <v>6|19000101|46245</v>
      </c>
      <c r="H1962" s="19">
        <f>COUNTIF(GameLog[Pod ID],GameLog[[#This Row],[Pod ID]])</f>
        <v>3</v>
      </c>
      <c r="I1962" s="19">
        <f>YEAR(GameLog[[#This Row],[Date]])</f>
        <v>2026</v>
      </c>
      <c r="J1962" s="19">
        <f>MONTH(GameLog[[#This Row],[Date]])</f>
        <v>8</v>
      </c>
      <c r="K1962" s="19" t="str">
        <f>IF(GameLog[[#This Row],[Date]]=MAX(GameLog[Date]),"Current","Previous")</f>
        <v>Current</v>
      </c>
    </row>
    <row r="1963" spans="1:11" x14ac:dyDescent="0.35">
      <c r="A1963" t="s">
        <v>325</v>
      </c>
      <c r="B1963" t="s">
        <v>6</v>
      </c>
      <c r="C1963">
        <v>1</v>
      </c>
      <c r="D1963">
        <v>1</v>
      </c>
      <c r="E1963">
        <v>2</v>
      </c>
      <c r="F1963" s="1">
        <v>46245</v>
      </c>
      <c r="G1963" s="11" t="str">
        <f>_xlfn.TEXTJOIN("|",TRUE,D1963,TEXT(INT(E1963),"yyyymmdd"),F1963)</f>
        <v>1|19000102|46245</v>
      </c>
      <c r="H1963" s="19">
        <f>COUNTIF(GameLog[Pod ID],GameLog[[#This Row],[Pod ID]])</f>
        <v>4</v>
      </c>
      <c r="I1963" s="19">
        <f>YEAR(GameLog[[#This Row],[Date]])</f>
        <v>2026</v>
      </c>
      <c r="J1963" s="19">
        <f>MONTH(GameLog[[#This Row],[Date]])</f>
        <v>8</v>
      </c>
      <c r="K1963" s="19" t="str">
        <f>IF(GameLog[[#This Row],[Date]]=MAX(GameLog[Date]),"Current","Previous")</f>
        <v>Current</v>
      </c>
    </row>
    <row r="1964" spans="1:11" x14ac:dyDescent="0.35">
      <c r="A1964" t="s">
        <v>405</v>
      </c>
      <c r="B1964" t="s">
        <v>6</v>
      </c>
      <c r="C1964">
        <v>2</v>
      </c>
      <c r="D1964">
        <v>1</v>
      </c>
      <c r="E1964">
        <v>2</v>
      </c>
      <c r="F1964" s="1">
        <v>46245</v>
      </c>
      <c r="G1964" s="11" t="str">
        <f>_xlfn.TEXTJOIN("|",TRUE,D1964,TEXT(INT(E1964),"yyyymmdd"),F1964)</f>
        <v>1|19000102|46245</v>
      </c>
      <c r="H1964" s="19">
        <f>COUNTIF(GameLog[Pod ID],GameLog[[#This Row],[Pod ID]])</f>
        <v>4</v>
      </c>
      <c r="I1964" s="19">
        <f>YEAR(GameLog[[#This Row],[Date]])</f>
        <v>2026</v>
      </c>
      <c r="J1964" s="19">
        <f>MONTH(GameLog[[#This Row],[Date]])</f>
        <v>8</v>
      </c>
      <c r="K1964" s="19" t="str">
        <f>IF(GameLog[[#This Row],[Date]]=MAX(GameLog[Date]),"Current","Previous")</f>
        <v>Current</v>
      </c>
    </row>
    <row r="1965" spans="1:11" x14ac:dyDescent="0.35">
      <c r="A1965" t="s">
        <v>567</v>
      </c>
      <c r="B1965" t="s">
        <v>6</v>
      </c>
      <c r="C1965">
        <v>3</v>
      </c>
      <c r="D1965">
        <v>1</v>
      </c>
      <c r="E1965">
        <v>2</v>
      </c>
      <c r="F1965" s="1">
        <v>46245</v>
      </c>
      <c r="G1965" s="11" t="str">
        <f>_xlfn.TEXTJOIN("|",TRUE,D1965,TEXT(INT(E1965),"yyyymmdd"),F1965)</f>
        <v>1|19000102|46245</v>
      </c>
      <c r="H1965" s="19">
        <f>COUNTIF(GameLog[Pod ID],GameLog[[#This Row],[Pod ID]])</f>
        <v>4</v>
      </c>
      <c r="I1965" s="19">
        <f>YEAR(GameLog[[#This Row],[Date]])</f>
        <v>2026</v>
      </c>
      <c r="J1965" s="19">
        <f>MONTH(GameLog[[#This Row],[Date]])</f>
        <v>8</v>
      </c>
      <c r="K1965" s="19" t="str">
        <f>IF(GameLog[[#This Row],[Date]]=MAX(GameLog[Date]),"Current","Previous")</f>
        <v>Current</v>
      </c>
    </row>
    <row r="1966" spans="1:11" x14ac:dyDescent="0.35">
      <c r="A1966" t="s">
        <v>11</v>
      </c>
      <c r="B1966" t="s">
        <v>8</v>
      </c>
      <c r="C1966">
        <v>4</v>
      </c>
      <c r="D1966">
        <v>1</v>
      </c>
      <c r="E1966">
        <v>2</v>
      </c>
      <c r="F1966" s="1">
        <v>46245</v>
      </c>
      <c r="G1966" s="11" t="str">
        <f>_xlfn.TEXTJOIN("|",TRUE,D1966,TEXT(INT(E1966),"yyyymmdd"),F1966)</f>
        <v>1|19000102|46245</v>
      </c>
      <c r="H1966" s="19">
        <f>COUNTIF(GameLog[Pod ID],GameLog[[#This Row],[Pod ID]])</f>
        <v>4</v>
      </c>
      <c r="I1966" s="19">
        <f>YEAR(GameLog[[#This Row],[Date]])</f>
        <v>2026</v>
      </c>
      <c r="J1966" s="19">
        <f>MONTH(GameLog[[#This Row],[Date]])</f>
        <v>8</v>
      </c>
      <c r="K1966" s="19" t="str">
        <f>IF(GameLog[[#This Row],[Date]]=MAX(GameLog[Date]),"Current","Previous")</f>
        <v>Current</v>
      </c>
    </row>
    <row r="1967" spans="1:11" x14ac:dyDescent="0.35">
      <c r="A1967" t="s">
        <v>19</v>
      </c>
      <c r="B1967" t="s">
        <v>63</v>
      </c>
      <c r="C1967">
        <v>1</v>
      </c>
      <c r="D1967">
        <v>2</v>
      </c>
      <c r="E1967">
        <v>2</v>
      </c>
      <c r="F1967" s="1">
        <v>46245</v>
      </c>
      <c r="G1967" s="11" t="str">
        <f>_xlfn.TEXTJOIN("|",TRUE,D1967,TEXT(INT(E1967),"yyyymmdd"),F1967)</f>
        <v>2|19000102|46245</v>
      </c>
      <c r="H1967" s="19">
        <f>COUNTIF(GameLog[Pod ID],GameLog[[#This Row],[Pod ID]])</f>
        <v>4</v>
      </c>
      <c r="I1967" s="19">
        <f>YEAR(GameLog[[#This Row],[Date]])</f>
        <v>2026</v>
      </c>
      <c r="J1967" s="19">
        <f>MONTH(GameLog[[#This Row],[Date]])</f>
        <v>8</v>
      </c>
      <c r="K1967" s="19" t="str">
        <f>IF(GameLog[[#This Row],[Date]]=MAX(GameLog[Date]),"Current","Previous")</f>
        <v>Current</v>
      </c>
    </row>
    <row r="1968" spans="1:11" x14ac:dyDescent="0.35">
      <c r="A1968" t="s">
        <v>578</v>
      </c>
      <c r="B1968" t="s">
        <v>63</v>
      </c>
      <c r="C1968">
        <v>2</v>
      </c>
      <c r="D1968">
        <v>2</v>
      </c>
      <c r="E1968">
        <v>2</v>
      </c>
      <c r="F1968" s="1">
        <v>46245</v>
      </c>
      <c r="G1968" s="11" t="str">
        <f>_xlfn.TEXTJOIN("|",TRUE,D1968,TEXT(INT(E1968),"yyyymmdd"),F1968)</f>
        <v>2|19000102|46245</v>
      </c>
      <c r="H1968" s="19">
        <f>COUNTIF(GameLog[Pod ID],GameLog[[#This Row],[Pod ID]])</f>
        <v>4</v>
      </c>
      <c r="I1968" s="19">
        <f>YEAR(GameLog[[#This Row],[Date]])</f>
        <v>2026</v>
      </c>
      <c r="J1968" s="19">
        <f>MONTH(GameLog[[#This Row],[Date]])</f>
        <v>8</v>
      </c>
      <c r="K1968" s="19" t="str">
        <f>IF(GameLog[[#This Row],[Date]]=MAX(GameLog[Date]),"Current","Previous")</f>
        <v>Current</v>
      </c>
    </row>
    <row r="1969" spans="1:11" x14ac:dyDescent="0.35">
      <c r="A1969" t="s">
        <v>51</v>
      </c>
      <c r="B1969" t="s">
        <v>63</v>
      </c>
      <c r="C1969">
        <v>3</v>
      </c>
      <c r="D1969">
        <v>2</v>
      </c>
      <c r="E1969">
        <v>2</v>
      </c>
      <c r="F1969" s="1">
        <v>46245</v>
      </c>
      <c r="G1969" s="11" t="str">
        <f>_xlfn.TEXTJOIN("|",TRUE,D1969,TEXT(INT(E1969),"yyyymmdd"),F1969)</f>
        <v>2|19000102|46245</v>
      </c>
      <c r="H1969" s="19">
        <f>COUNTIF(GameLog[Pod ID],GameLog[[#This Row],[Pod ID]])</f>
        <v>4</v>
      </c>
      <c r="I1969" s="19">
        <f>YEAR(GameLog[[#This Row],[Date]])</f>
        <v>2026</v>
      </c>
      <c r="J1969" s="19">
        <f>MONTH(GameLog[[#This Row],[Date]])</f>
        <v>8</v>
      </c>
      <c r="K1969" s="19" t="str">
        <f>IF(GameLog[[#This Row],[Date]]=MAX(GameLog[Date]),"Current","Previous")</f>
        <v>Current</v>
      </c>
    </row>
    <row r="1970" spans="1:11" x14ac:dyDescent="0.35">
      <c r="A1970" t="s">
        <v>15</v>
      </c>
      <c r="B1970" t="s">
        <v>63</v>
      </c>
      <c r="C1970">
        <v>4</v>
      </c>
      <c r="D1970">
        <v>2</v>
      </c>
      <c r="E1970">
        <v>2</v>
      </c>
      <c r="F1970" s="1">
        <v>46245</v>
      </c>
      <c r="G1970" s="11" t="str">
        <f>_xlfn.TEXTJOIN("|",TRUE,D1970,TEXT(INT(E1970),"yyyymmdd"),F1970)</f>
        <v>2|19000102|46245</v>
      </c>
      <c r="H1970" s="19">
        <f>COUNTIF(GameLog[Pod ID],GameLog[[#This Row],[Pod ID]])</f>
        <v>4</v>
      </c>
      <c r="I1970" s="19">
        <f>YEAR(GameLog[[#This Row],[Date]])</f>
        <v>2026</v>
      </c>
      <c r="J1970" s="19">
        <f>MONTH(GameLog[[#This Row],[Date]])</f>
        <v>8</v>
      </c>
      <c r="K1970" s="19" t="str">
        <f>IF(GameLog[[#This Row],[Date]]=MAX(GameLog[Date]),"Current","Previous")</f>
        <v>Current</v>
      </c>
    </row>
    <row r="1971" spans="1:11" x14ac:dyDescent="0.35">
      <c r="A1971" t="s">
        <v>351</v>
      </c>
      <c r="B1971" t="s">
        <v>63</v>
      </c>
      <c r="C1971">
        <v>1</v>
      </c>
      <c r="D1971">
        <v>3</v>
      </c>
      <c r="E1971">
        <v>2</v>
      </c>
      <c r="F1971" s="1">
        <v>46245</v>
      </c>
      <c r="G1971" s="11" t="str">
        <f>_xlfn.TEXTJOIN("|",TRUE,D1971,TEXT(INT(E1971),"yyyymmdd"),F1971)</f>
        <v>3|19000102|46245</v>
      </c>
      <c r="H1971" s="19">
        <f>COUNTIF(GameLog[Pod ID],GameLog[[#This Row],[Pod ID]])</f>
        <v>4</v>
      </c>
      <c r="I1971" s="19">
        <f>YEAR(GameLog[[#This Row],[Date]])</f>
        <v>2026</v>
      </c>
      <c r="J1971" s="19">
        <f>MONTH(GameLog[[#This Row],[Date]])</f>
        <v>8</v>
      </c>
      <c r="K1971" s="19" t="str">
        <f>IF(GameLog[[#This Row],[Date]]=MAX(GameLog[Date]),"Current","Previous")</f>
        <v>Current</v>
      </c>
    </row>
    <row r="1972" spans="1:11" x14ac:dyDescent="0.35">
      <c r="A1972" t="s">
        <v>28</v>
      </c>
      <c r="B1972" t="s">
        <v>63</v>
      </c>
      <c r="C1972">
        <v>2</v>
      </c>
      <c r="D1972">
        <v>3</v>
      </c>
      <c r="E1972">
        <v>2</v>
      </c>
      <c r="F1972" s="1">
        <v>46245</v>
      </c>
      <c r="G1972" s="11" t="str">
        <f>_xlfn.TEXTJOIN("|",TRUE,D1972,TEXT(INT(E1972),"yyyymmdd"),F1972)</f>
        <v>3|19000102|46245</v>
      </c>
      <c r="H1972" s="19">
        <f>COUNTIF(GameLog[Pod ID],GameLog[[#This Row],[Pod ID]])</f>
        <v>4</v>
      </c>
      <c r="I1972" s="19">
        <f>YEAR(GameLog[[#This Row],[Date]])</f>
        <v>2026</v>
      </c>
      <c r="J1972" s="19">
        <f>MONTH(GameLog[[#This Row],[Date]])</f>
        <v>8</v>
      </c>
      <c r="K1972" s="19" t="str">
        <f>IF(GameLog[[#This Row],[Date]]=MAX(GameLog[Date]),"Current","Previous")</f>
        <v>Current</v>
      </c>
    </row>
    <row r="1973" spans="1:11" x14ac:dyDescent="0.35">
      <c r="A1973" t="s">
        <v>20</v>
      </c>
      <c r="B1973" t="s">
        <v>63</v>
      </c>
      <c r="C1973">
        <v>3</v>
      </c>
      <c r="D1973">
        <v>3</v>
      </c>
      <c r="E1973">
        <v>2</v>
      </c>
      <c r="F1973" s="1">
        <v>46245</v>
      </c>
      <c r="G1973" s="11" t="str">
        <f>_xlfn.TEXTJOIN("|",TRUE,D1973,TEXT(INT(E1973),"yyyymmdd"),F1973)</f>
        <v>3|19000102|46245</v>
      </c>
      <c r="H1973" s="19">
        <f>COUNTIF(GameLog[Pod ID],GameLog[[#This Row],[Pod ID]])</f>
        <v>4</v>
      </c>
      <c r="I1973" s="19">
        <f>YEAR(GameLog[[#This Row],[Date]])</f>
        <v>2026</v>
      </c>
      <c r="J1973" s="19">
        <f>MONTH(GameLog[[#This Row],[Date]])</f>
        <v>8</v>
      </c>
      <c r="K1973" s="19" t="str">
        <f>IF(GameLog[[#This Row],[Date]]=MAX(GameLog[Date]),"Current","Previous")</f>
        <v>Current</v>
      </c>
    </row>
    <row r="1974" spans="1:11" x14ac:dyDescent="0.35">
      <c r="A1974" t="s">
        <v>364</v>
      </c>
      <c r="B1974" t="s">
        <v>63</v>
      </c>
      <c r="C1974">
        <v>4</v>
      </c>
      <c r="D1974">
        <v>3</v>
      </c>
      <c r="E1974">
        <v>2</v>
      </c>
      <c r="F1974" s="1">
        <v>46245</v>
      </c>
      <c r="G1974" s="11" t="str">
        <f>_xlfn.TEXTJOIN("|",TRUE,D1974,TEXT(INT(E1974),"yyyymmdd"),F1974)</f>
        <v>3|19000102|46245</v>
      </c>
      <c r="H1974" s="19">
        <f>COUNTIF(GameLog[Pod ID],GameLog[[#This Row],[Pod ID]])</f>
        <v>4</v>
      </c>
      <c r="I1974" s="19">
        <f>YEAR(GameLog[[#This Row],[Date]])</f>
        <v>2026</v>
      </c>
      <c r="J1974" s="19">
        <f>MONTH(GameLog[[#This Row],[Date]])</f>
        <v>8</v>
      </c>
      <c r="K1974" s="19" t="str">
        <f>IF(GameLog[[#This Row],[Date]]=MAX(GameLog[Date]),"Current","Previous")</f>
        <v>Current</v>
      </c>
    </row>
    <row r="1975" spans="1:11" x14ac:dyDescent="0.35">
      <c r="A1975" t="s">
        <v>14</v>
      </c>
      <c r="B1975" t="s">
        <v>63</v>
      </c>
      <c r="C1975">
        <v>1</v>
      </c>
      <c r="D1975">
        <v>4</v>
      </c>
      <c r="E1975">
        <v>2</v>
      </c>
      <c r="F1975" s="1">
        <v>46245</v>
      </c>
      <c r="G1975" s="11" t="str">
        <f>_xlfn.TEXTJOIN("|",TRUE,D1975,TEXT(INT(E1975),"yyyymmdd"),F1975)</f>
        <v>4|19000102|46245</v>
      </c>
      <c r="H1975" s="19">
        <f>COUNTIF(GameLog[Pod ID],GameLog[[#This Row],[Pod ID]])</f>
        <v>4</v>
      </c>
      <c r="I1975" s="19">
        <f>YEAR(GameLog[[#This Row],[Date]])</f>
        <v>2026</v>
      </c>
      <c r="J1975" s="19">
        <f>MONTH(GameLog[[#This Row],[Date]])</f>
        <v>8</v>
      </c>
      <c r="K1975" s="19" t="str">
        <f>IF(GameLog[[#This Row],[Date]]=MAX(GameLog[Date]),"Current","Previous")</f>
        <v>Current</v>
      </c>
    </row>
    <row r="1976" spans="1:11" x14ac:dyDescent="0.35">
      <c r="A1976" t="s">
        <v>433</v>
      </c>
      <c r="B1976" t="s">
        <v>63</v>
      </c>
      <c r="C1976">
        <v>2</v>
      </c>
      <c r="D1976">
        <v>4</v>
      </c>
      <c r="E1976">
        <v>2</v>
      </c>
      <c r="F1976" s="1">
        <v>46245</v>
      </c>
      <c r="G1976" s="11" t="str">
        <f>_xlfn.TEXTJOIN("|",TRUE,D1976,TEXT(INT(E1976),"yyyymmdd"),F1976)</f>
        <v>4|19000102|46245</v>
      </c>
      <c r="H1976" s="19">
        <f>COUNTIF(GameLog[Pod ID],GameLog[[#This Row],[Pod ID]])</f>
        <v>4</v>
      </c>
      <c r="I1976" s="19">
        <f>YEAR(GameLog[[#This Row],[Date]])</f>
        <v>2026</v>
      </c>
      <c r="J1976" s="19">
        <f>MONTH(GameLog[[#This Row],[Date]])</f>
        <v>8</v>
      </c>
      <c r="K1976" s="19" t="str">
        <f>IF(GameLog[[#This Row],[Date]]=MAX(GameLog[Date]),"Current","Previous")</f>
        <v>Current</v>
      </c>
    </row>
    <row r="1977" spans="1:11" x14ac:dyDescent="0.35">
      <c r="A1977" t="s">
        <v>9</v>
      </c>
      <c r="B1977" t="s">
        <v>63</v>
      </c>
      <c r="C1977">
        <v>3</v>
      </c>
      <c r="D1977">
        <v>4</v>
      </c>
      <c r="E1977">
        <v>2</v>
      </c>
      <c r="F1977" s="1">
        <v>46245</v>
      </c>
      <c r="G1977" s="11" t="str">
        <f>_xlfn.TEXTJOIN("|",TRUE,D1977,TEXT(INT(E1977),"yyyymmdd"),F1977)</f>
        <v>4|19000102|46245</v>
      </c>
      <c r="H1977" s="19">
        <f>COUNTIF(GameLog[Pod ID],GameLog[[#This Row],[Pod ID]])</f>
        <v>4</v>
      </c>
      <c r="I1977" s="19">
        <f>YEAR(GameLog[[#This Row],[Date]])</f>
        <v>2026</v>
      </c>
      <c r="J1977" s="19">
        <f>MONTH(GameLog[[#This Row],[Date]])</f>
        <v>8</v>
      </c>
      <c r="K1977" s="19" t="str">
        <f>IF(GameLog[[#This Row],[Date]]=MAX(GameLog[Date]),"Current","Previous")</f>
        <v>Current</v>
      </c>
    </row>
    <row r="1978" spans="1:11" x14ac:dyDescent="0.35">
      <c r="A1978" t="s">
        <v>464</v>
      </c>
      <c r="B1978" t="s">
        <v>63</v>
      </c>
      <c r="C1978">
        <v>4</v>
      </c>
      <c r="D1978">
        <v>4</v>
      </c>
      <c r="E1978">
        <v>2</v>
      </c>
      <c r="F1978" s="1">
        <v>46245</v>
      </c>
      <c r="G1978" s="11" t="str">
        <f>_xlfn.TEXTJOIN("|",TRUE,D1978,TEXT(INT(E1978),"yyyymmdd"),F1978)</f>
        <v>4|19000102|46245</v>
      </c>
      <c r="H1978" s="19">
        <f>COUNTIF(GameLog[Pod ID],GameLog[[#This Row],[Pod ID]])</f>
        <v>4</v>
      </c>
      <c r="I1978" s="19">
        <f>YEAR(GameLog[[#This Row],[Date]])</f>
        <v>2026</v>
      </c>
      <c r="J1978" s="19">
        <f>MONTH(GameLog[[#This Row],[Date]])</f>
        <v>8</v>
      </c>
      <c r="K1978" s="19" t="str">
        <f>IF(GameLog[[#This Row],[Date]]=MAX(GameLog[Date]),"Current","Previous")</f>
        <v>Current</v>
      </c>
    </row>
    <row r="1979" spans="1:11" x14ac:dyDescent="0.35">
      <c r="A1979" t="s">
        <v>41</v>
      </c>
      <c r="B1979" t="s">
        <v>6</v>
      </c>
      <c r="C1979">
        <v>1</v>
      </c>
      <c r="D1979">
        <v>5</v>
      </c>
      <c r="E1979">
        <v>2</v>
      </c>
      <c r="F1979" s="1">
        <v>46245</v>
      </c>
      <c r="G1979" s="11" t="str">
        <f>_xlfn.TEXTJOIN("|",TRUE,D1979,TEXT(INT(E1979),"yyyymmdd"),F1979)</f>
        <v>5|19000102|46245</v>
      </c>
      <c r="H1979" s="19">
        <f>COUNTIF(GameLog[Pod ID],GameLog[[#This Row],[Pod ID]])</f>
        <v>3</v>
      </c>
      <c r="I1979" s="19">
        <f>YEAR(GameLog[[#This Row],[Date]])</f>
        <v>2026</v>
      </c>
      <c r="J1979" s="19">
        <f>MONTH(GameLog[[#This Row],[Date]])</f>
        <v>8</v>
      </c>
      <c r="K1979" s="19" t="str">
        <f>IF(GameLog[[#This Row],[Date]]=MAX(GameLog[Date]),"Current","Previous")</f>
        <v>Current</v>
      </c>
    </row>
    <row r="1980" spans="1:11" x14ac:dyDescent="0.35">
      <c r="A1980" t="s">
        <v>609</v>
      </c>
      <c r="B1980" t="s">
        <v>6</v>
      </c>
      <c r="C1980">
        <v>2</v>
      </c>
      <c r="D1980">
        <v>5</v>
      </c>
      <c r="E1980">
        <v>2</v>
      </c>
      <c r="F1980" s="1">
        <v>46245</v>
      </c>
      <c r="G1980" s="11" t="str">
        <f>_xlfn.TEXTJOIN("|",TRUE,D1980,TEXT(INT(E1980),"yyyymmdd"),F1980)</f>
        <v>5|19000102|46245</v>
      </c>
      <c r="H1980" s="19">
        <f>COUNTIF(GameLog[Pod ID],GameLog[[#This Row],[Pod ID]])</f>
        <v>3</v>
      </c>
      <c r="I1980" s="19">
        <f>YEAR(GameLog[[#This Row],[Date]])</f>
        <v>2026</v>
      </c>
      <c r="J1980" s="19">
        <f>MONTH(GameLog[[#This Row],[Date]])</f>
        <v>8</v>
      </c>
      <c r="K1980" s="19" t="str">
        <f>IF(GameLog[[#This Row],[Date]]=MAX(GameLog[Date]),"Current","Previous")</f>
        <v>Current</v>
      </c>
    </row>
    <row r="1981" spans="1:11" x14ac:dyDescent="0.35">
      <c r="A1981" t="s">
        <v>7</v>
      </c>
      <c r="B1981" t="s">
        <v>8</v>
      </c>
      <c r="C1981">
        <v>3</v>
      </c>
      <c r="D1981">
        <v>5</v>
      </c>
      <c r="E1981">
        <v>2</v>
      </c>
      <c r="F1981" s="1">
        <v>46245</v>
      </c>
      <c r="G1981" s="11" t="str">
        <f>_xlfn.TEXTJOIN("|",TRUE,D1981,TEXT(INT(E1981),"yyyymmdd"),F1981)</f>
        <v>5|19000102|46245</v>
      </c>
      <c r="H1981" s="19">
        <f>COUNTIF(GameLog[Pod ID],GameLog[[#This Row],[Pod ID]])</f>
        <v>3</v>
      </c>
      <c r="I1981" s="19">
        <f>YEAR(GameLog[[#This Row],[Date]])</f>
        <v>2026</v>
      </c>
      <c r="J1981" s="19">
        <f>MONTH(GameLog[[#This Row],[Date]])</f>
        <v>8</v>
      </c>
      <c r="K1981" s="19" t="str">
        <f>IF(GameLog[[#This Row],[Date]]=MAX(GameLog[Date]),"Current","Previous")</f>
        <v>Current</v>
      </c>
    </row>
    <row r="1982" spans="1:11" x14ac:dyDescent="0.35">
      <c r="A1982" t="s">
        <v>438</v>
      </c>
      <c r="B1982" t="s">
        <v>8</v>
      </c>
      <c r="C1982">
        <v>1</v>
      </c>
      <c r="D1982">
        <v>6</v>
      </c>
      <c r="E1982">
        <v>2</v>
      </c>
      <c r="F1982" s="1">
        <v>46245</v>
      </c>
      <c r="G1982" s="11" t="str">
        <f>_xlfn.TEXTJOIN("|",TRUE,D1982,TEXT(INT(E1982),"yyyymmdd"),F1982)</f>
        <v>6|19000102|46245</v>
      </c>
      <c r="H1982" s="19">
        <f>COUNTIF(GameLog[Pod ID],GameLog[[#This Row],[Pod ID]])</f>
        <v>3</v>
      </c>
      <c r="I1982" s="19">
        <f>YEAR(GameLog[[#This Row],[Date]])</f>
        <v>2026</v>
      </c>
      <c r="J1982" s="19">
        <f>MONTH(GameLog[[#This Row],[Date]])</f>
        <v>8</v>
      </c>
      <c r="K1982" s="19" t="str">
        <f>IF(GameLog[[#This Row],[Date]]=MAX(GameLog[Date]),"Current","Previous")</f>
        <v>Current</v>
      </c>
    </row>
    <row r="1983" spans="1:11" x14ac:dyDescent="0.35">
      <c r="A1983" t="s">
        <v>17</v>
      </c>
      <c r="B1983" t="s">
        <v>6</v>
      </c>
      <c r="C1983">
        <v>2</v>
      </c>
      <c r="D1983">
        <v>6</v>
      </c>
      <c r="E1983">
        <v>2</v>
      </c>
      <c r="F1983" s="1">
        <v>46245</v>
      </c>
      <c r="G1983" s="11" t="str">
        <f>_xlfn.TEXTJOIN("|",TRUE,D1983,TEXT(INT(E1983),"yyyymmdd"),F1983)</f>
        <v>6|19000102|46245</v>
      </c>
      <c r="H1983" s="19">
        <f>COUNTIF(GameLog[Pod ID],GameLog[[#This Row],[Pod ID]])</f>
        <v>3</v>
      </c>
      <c r="I1983" s="19">
        <f>YEAR(GameLog[[#This Row],[Date]])</f>
        <v>2026</v>
      </c>
      <c r="J1983" s="19">
        <f>MONTH(GameLog[[#This Row],[Date]])</f>
        <v>8</v>
      </c>
      <c r="K1983" s="19" t="str">
        <f>IF(GameLog[[#This Row],[Date]]=MAX(GameLog[Date]),"Current","Previous")</f>
        <v>Current</v>
      </c>
    </row>
    <row r="1984" spans="1:11" x14ac:dyDescent="0.35">
      <c r="A1984" t="s">
        <v>13</v>
      </c>
      <c r="B1984" t="s">
        <v>6</v>
      </c>
      <c r="C1984">
        <v>3</v>
      </c>
      <c r="D1984">
        <v>6</v>
      </c>
      <c r="E1984">
        <v>2</v>
      </c>
      <c r="F1984" s="1">
        <v>46245</v>
      </c>
      <c r="G1984" s="11" t="str">
        <f>_xlfn.TEXTJOIN("|",TRUE,D1984,TEXT(INT(E1984),"yyyymmdd"),F1984)</f>
        <v>6|19000102|46245</v>
      </c>
      <c r="H1984" s="19">
        <f>COUNTIF(GameLog[Pod ID],GameLog[[#This Row],[Pod ID]])</f>
        <v>3</v>
      </c>
      <c r="I1984" s="19">
        <f>YEAR(GameLog[[#This Row],[Date]])</f>
        <v>2026</v>
      </c>
      <c r="J1984" s="19">
        <f>MONTH(GameLog[[#This Row],[Date]])</f>
        <v>8</v>
      </c>
      <c r="K1984"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5677"/>
  <sheetViews>
    <sheetView workbookViewId="0">
      <selection activeCell="N2258" sqref="N2258"/>
    </sheetView>
  </sheetViews>
  <sheetFormatPr defaultRowHeight="14.5" x14ac:dyDescent="0.35"/>
  <cols>
    <col min="1" max="1" width="13.7265625" bestFit="1" customWidth="1"/>
    <col min="2" max="2" width="8.54296875" bestFit="1" customWidth="1"/>
    <col min="3" max="3" width="6.90625" bestFit="1" customWidth="1"/>
    <col min="4" max="4" width="6.54296875" bestFit="1" customWidth="1"/>
    <col min="5" max="5" width="8.7265625" bestFit="1" customWidth="1"/>
    <col min="6" max="6" width="14.54296875" bestFit="1" customWidth="1"/>
    <col min="7" max="7" width="16.7265625" bestFit="1" customWidth="1"/>
    <col min="8" max="8" width="10.36328125" bestFit="1" customWidth="1"/>
    <col min="9" max="9" width="7.08984375" bestFit="1" customWidth="1"/>
    <col min="10" max="10" width="9" bestFit="1" customWidth="1"/>
    <col min="11" max="11" width="12.54296875" bestFit="1" customWidth="1"/>
    <col min="12" max="12" width="13.7265625" bestFit="1" customWidth="1"/>
    <col min="13" max="13" width="17.7265625" bestFit="1" customWidth="1"/>
    <col min="14" max="14" width="7.90625" bestFit="1" customWidth="1"/>
    <col min="15" max="16" width="8.1796875" bestFit="1" customWidth="1"/>
    <col min="17" max="17" width="9" bestFit="1" customWidth="1"/>
    <col min="18" max="18" width="24.08984375" bestFit="1" customWidth="1"/>
  </cols>
  <sheetData>
    <row r="1" spans="1:18" x14ac:dyDescent="0.3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3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3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3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3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3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3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3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3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3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3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3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3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3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3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3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3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3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3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3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3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3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3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3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3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3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3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3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3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3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3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3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3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3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3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3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3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3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3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3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3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3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3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3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3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3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3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3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3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3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3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3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3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3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3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3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3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3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3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3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3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3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3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3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3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3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3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3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3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3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3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3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3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3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3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3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3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3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3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3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3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3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3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3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3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3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3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3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3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3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3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3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3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3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3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3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3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3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3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3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3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3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3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3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3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3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3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3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3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3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3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3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3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3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3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3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3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3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3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3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3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3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3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3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3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3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3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3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3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3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3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3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3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3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3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3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3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3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3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3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3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3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3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3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3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3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3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3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3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3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3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3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3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3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3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3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3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3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3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3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3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3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3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3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3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3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3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3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3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3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3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3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3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3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3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3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3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3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3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3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3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3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3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3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3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3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3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3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3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3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3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3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3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3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3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3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3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3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3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3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3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3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3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3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3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3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3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3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3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3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3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3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3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3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3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3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3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3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3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3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3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3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3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3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3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3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3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3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3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3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3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3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3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3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3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3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3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3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3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3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3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3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3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3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3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3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3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3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3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3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3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3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3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3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3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3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3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3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3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3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3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3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3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3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3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3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3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3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3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3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3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3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3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3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3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3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3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3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3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3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3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3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3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3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3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3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3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3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3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3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3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3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3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3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3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3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3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3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3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3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3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3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3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3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3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3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3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3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3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3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3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3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3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3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3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3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3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3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3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3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3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3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3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3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3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3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3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3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3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3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3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3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3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3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3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3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3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3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3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3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3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3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3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3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3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3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3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3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3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3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3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3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3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3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3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3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3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3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3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3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3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3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3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3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3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3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3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3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3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3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3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3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3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3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3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3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3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3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3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3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3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3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3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3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3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3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3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3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3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3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3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3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3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3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3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3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3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3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3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3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3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3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3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3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3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3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3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3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3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3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3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3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3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3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3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3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3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3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3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3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3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3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3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3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3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3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3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3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3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3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3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3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3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3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3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3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3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3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3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3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3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3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3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3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3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3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3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3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3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3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3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3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3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3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3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3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3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3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3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3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3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3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3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3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3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3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3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3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3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3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3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3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3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3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3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3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3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3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3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3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3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3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3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3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3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3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3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3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3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3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3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3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3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3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3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3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3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3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3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3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3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3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3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3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3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3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3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3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3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3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3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3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3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3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3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3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3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3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3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3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3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3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3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3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3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3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3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3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3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3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3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3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3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3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3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3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3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3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3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3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3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3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3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3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3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3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3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3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3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3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3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3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3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3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3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3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3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3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3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3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3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3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3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3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3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3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3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3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3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3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3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3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3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3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3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3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3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3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3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3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3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3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3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3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3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3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3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3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3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3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3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3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3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3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3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3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3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3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3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3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3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3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3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3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3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3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3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3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3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3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3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3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3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3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3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3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3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3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3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3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3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3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3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3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3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3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3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3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3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3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3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3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3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3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3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3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3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3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3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3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3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3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3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3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3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3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3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3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3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3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3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3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3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3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3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3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3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3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3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3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3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3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3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3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3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3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3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3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3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3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3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3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3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3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3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3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3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3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3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3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3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3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3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3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3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3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3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3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3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3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3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3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3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3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3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3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3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3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3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3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3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3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3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3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3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3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3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3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3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3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3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3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3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3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3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3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3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3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3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3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3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3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3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3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3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3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3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3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3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3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3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3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3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3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3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3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3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3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3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3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3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3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3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3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3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3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3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3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3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3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3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3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3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3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3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3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3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3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3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3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3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3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3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3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3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3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3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3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3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3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3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3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3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3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3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3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3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3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3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3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3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3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3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3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3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3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3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3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3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3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3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3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3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3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3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3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3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3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3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3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3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3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3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3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3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3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3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3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3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3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3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3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3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3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3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3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3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3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3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3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3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3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3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3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3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3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3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3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3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3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3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3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3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3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3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3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3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3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3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3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3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3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3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3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3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3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3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3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3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3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3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3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3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3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3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3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3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3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3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3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3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3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3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3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3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3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3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3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3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3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3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3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3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3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3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3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3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3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3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3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3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3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3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3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3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3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3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3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3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3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3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3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3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3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3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3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3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3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3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3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3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3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3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3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3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3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3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3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3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3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3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3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3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3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3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3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3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3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3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3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3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3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3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3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3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3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3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3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3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3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3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3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3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3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3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3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3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3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3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3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3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3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3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3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3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3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3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3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3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3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3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3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3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3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3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3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3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3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3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3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3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3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3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3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3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3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3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3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3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3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3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3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3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3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3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3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3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3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3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3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3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3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3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3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3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3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3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3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3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3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3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3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3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3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3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3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3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3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3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3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3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3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3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3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3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3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3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3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3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3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3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3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3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3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3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3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3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3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3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3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3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3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3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3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3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3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3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3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3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3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3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3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3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3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3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3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3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3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3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3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3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3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3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3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3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3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3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3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3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3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3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3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3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3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3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3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3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3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3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3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3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3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3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3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3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3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3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3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3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3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3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3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3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3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3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3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3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3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3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3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3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3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3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3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3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3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3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3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3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3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3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3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3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3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3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3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3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3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3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3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3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3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3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3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3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3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3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3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3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3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3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3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3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3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3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3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3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3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3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3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3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3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3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3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3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3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3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3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3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3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3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3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3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3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3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3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3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3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3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3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3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3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3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3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3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3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3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3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3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3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3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3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3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3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3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3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3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3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3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3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3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3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3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3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3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3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3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3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3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3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3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3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3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3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3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3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3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3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3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3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3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3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3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3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3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3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3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3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3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3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3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3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3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3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3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3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3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3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3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3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3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3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3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3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3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3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3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3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3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3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3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3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3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3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3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3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3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3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3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3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3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3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3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3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3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3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3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3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3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3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3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3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3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3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3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3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3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3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3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3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3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3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3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3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3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3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3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3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3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3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3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3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3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3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3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3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3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3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3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3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3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3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3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3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3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3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3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3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3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3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3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3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3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3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3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3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3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3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3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3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3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3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3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3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3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3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3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3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3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3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3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3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3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3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3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3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3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3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3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3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3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3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3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3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3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3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3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3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3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3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3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3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3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3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3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3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3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3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3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3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3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3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3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3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3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3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3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3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3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3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3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3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3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3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3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3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3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3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3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3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3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3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3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3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3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3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3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3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3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3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3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3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3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3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3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3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3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3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3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3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3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3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3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3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3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3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3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3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3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3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3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3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3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3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3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3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3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3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3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3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3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3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3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3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3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3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3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3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3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3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3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3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3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3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3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3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3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3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3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3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3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3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3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3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3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3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3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3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3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3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3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3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3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3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3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3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3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3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3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3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3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3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3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3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3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3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3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3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3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3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3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3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3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3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3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3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3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3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3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3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3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3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3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3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3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3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3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3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3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3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3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3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3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3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3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3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3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3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3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3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3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3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3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3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3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3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3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3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3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3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3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3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3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3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3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3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3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3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3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3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3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3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3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3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3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3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3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3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3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3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3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3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3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3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3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3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3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3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3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3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3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3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3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3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3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3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3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3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3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3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3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3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3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3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3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3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3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3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3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3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3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3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3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3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3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3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3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3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3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3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3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3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3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3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3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3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3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3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3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3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3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3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3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3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3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3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3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3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3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3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3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3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3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3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3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3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3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3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3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3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3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3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3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3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3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3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3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3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3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3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3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3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3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3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3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3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3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3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3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3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3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3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3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3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3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3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3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3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3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3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3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3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3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3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3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3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3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3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3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3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3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3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3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3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3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3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3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3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3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3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3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3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3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3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3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3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3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3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3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3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3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3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3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3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3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3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3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3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3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3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3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3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3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3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3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3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3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3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3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3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3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3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3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3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3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3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3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3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3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3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3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3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3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3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3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3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3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3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3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3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3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3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3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3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3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3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3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3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3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3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3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3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3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3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3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3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3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3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3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3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3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3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3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3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3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3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3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3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3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3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3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3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3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3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3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3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3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3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3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3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3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3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3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3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3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3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3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3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3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3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3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3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3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3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3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3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3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3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3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3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3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3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3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3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3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3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3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3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3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3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3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3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3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3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3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3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3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3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3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3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3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3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3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3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3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3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3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3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3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3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3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3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3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3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3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3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3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3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3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3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3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3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3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3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3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3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3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3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3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3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3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3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3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3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3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3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3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3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3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3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3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3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3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3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3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3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3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3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3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3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3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3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3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3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3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3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3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3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3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3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3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3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3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3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3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3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3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3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3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3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3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3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3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3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3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3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3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3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3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3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3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3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3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3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3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3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3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3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3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3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3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3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3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3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3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3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3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3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3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3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3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3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3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3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3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3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3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3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3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3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3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3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3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3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3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3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3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3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3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3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3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3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3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3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3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3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3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3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3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3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3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3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3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3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3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3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3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3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3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3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3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3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3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3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3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3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3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3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3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3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3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3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3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3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3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3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3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3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3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3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3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3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3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3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3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3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3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3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3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3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3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3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3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3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3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3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3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3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3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3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3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3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3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3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3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3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3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3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3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3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3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3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3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3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3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3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3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3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3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3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3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3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3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3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3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3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3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3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3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3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3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3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3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3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3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3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3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3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3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3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3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3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3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3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3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3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3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3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3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3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3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3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3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3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3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3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3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3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3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3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3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3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3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3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3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3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3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3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3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3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3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3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3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3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3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3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3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3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3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3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3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3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3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3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3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3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3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3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3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3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3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3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3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3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3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3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3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3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3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3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3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3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3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3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3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3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3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3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3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3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3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3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3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3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3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3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3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3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3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3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3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3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3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3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3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3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3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3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3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3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3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3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3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3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3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3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3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3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3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3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3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3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3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3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3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3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3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3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3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3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3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3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3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3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3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3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3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3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3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3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3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3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3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3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3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3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3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3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3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3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3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3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3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3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3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3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3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3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3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3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3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3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3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3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3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3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3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3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3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3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3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3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3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3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3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3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3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3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3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3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3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3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3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3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3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3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3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3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3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3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3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3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3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3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3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3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3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3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3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3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3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3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3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3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3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3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3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3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3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3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3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3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3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3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3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3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3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3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3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3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3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3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3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3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3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3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3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3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3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3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3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3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3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3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3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3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3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3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3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3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3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3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3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3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3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3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3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3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3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3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3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3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3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3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3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3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3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3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3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3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3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3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3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3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3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3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3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3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3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3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3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3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3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3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3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3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3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3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3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3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3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3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3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3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3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3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3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3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3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3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3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3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3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3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3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3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3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3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3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3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3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3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3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3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3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3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3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3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3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3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3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3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3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3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3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3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3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3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3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3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3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3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3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3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3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3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3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3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3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3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3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3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3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3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3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3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3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3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3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3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3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3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3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3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3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3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3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3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3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3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3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3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3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3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3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3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3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3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3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3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3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3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3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3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3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3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3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3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3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3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3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3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3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3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3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3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3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3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3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3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3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3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3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3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3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3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3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3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3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3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3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3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3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3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3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3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3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3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3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3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3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3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3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3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3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3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3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3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3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3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3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3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3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3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3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3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3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3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3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3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3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3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3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3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3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3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3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3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3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3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3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3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3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3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3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3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3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3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3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3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3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3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3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3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3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3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3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3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3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3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3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3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3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3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3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3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3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3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3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3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3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3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3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3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3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3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3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3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3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3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3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3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3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3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3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3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3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3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3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3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3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3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3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3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3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3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3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3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3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3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3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3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3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3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3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3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3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3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3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3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3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3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3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3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3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3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3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3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3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3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3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3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3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3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3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3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3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3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3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3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3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3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3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3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3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3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3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3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3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3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3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3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3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3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3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3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3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3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3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3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3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3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3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3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3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3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3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3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3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3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3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3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3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3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3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3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3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3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3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3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3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3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3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3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3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3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3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3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3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3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3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3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3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3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3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3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3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3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3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3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3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3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3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3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3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3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3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3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3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3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3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3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3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3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3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3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3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3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3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3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3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3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3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3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3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3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3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3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3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3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3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3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3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3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3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3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3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3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3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3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3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3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3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3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3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3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3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3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3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3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3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3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3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3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3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3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3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3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3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3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3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3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3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3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3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3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3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3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3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3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3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3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3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3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3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3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3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3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3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3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3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3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3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3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3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3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3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3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3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3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3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3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3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3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3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3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3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3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3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3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3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3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3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3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3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3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3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3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3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3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3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3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3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3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3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3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3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3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3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3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3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3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3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3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3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3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3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3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3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3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3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3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3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3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3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3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3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3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3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3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3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3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3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3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3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3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3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3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3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3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3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3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3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3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3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3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3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3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3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3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3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3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3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3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3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3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3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3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3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3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3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3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3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3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3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3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3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3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3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3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3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3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3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3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3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3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3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3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3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3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3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3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3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3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3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3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3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3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3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3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3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3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3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3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3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3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3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3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3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3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3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3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3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3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3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3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3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3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3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3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3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3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3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3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3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3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3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3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3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3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3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3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3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3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3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3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3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3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3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3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3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3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3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3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3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3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3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3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3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3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3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3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3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3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3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3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3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3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3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3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3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3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3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3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3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3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3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3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3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3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3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3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3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3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3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3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3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3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3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3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3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3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3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3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3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3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3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3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3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3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3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3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3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3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3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3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3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3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3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3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3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3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3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3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3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3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3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3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3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3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3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3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3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3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3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3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3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3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3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3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3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3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3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3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3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3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3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3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3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3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3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3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3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3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3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3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3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3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3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3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3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3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3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3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3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3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3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3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3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3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3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3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3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3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3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3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3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3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3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3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3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3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3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3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3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3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3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3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3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3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3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3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3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3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3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3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3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3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3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3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3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3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3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3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3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3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3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3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3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3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3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3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3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3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3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3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3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3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3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3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3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3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3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3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3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3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3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3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3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3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3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3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3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3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3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3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3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3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3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3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3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3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3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3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3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3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3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3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3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3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3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3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3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3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3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3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3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3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3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3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3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3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3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3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3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3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3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3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3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3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3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3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3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3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3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3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3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3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3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3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3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3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3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3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3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3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3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3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3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3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3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3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3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3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3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3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3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3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3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3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3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3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3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3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3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3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3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3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3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3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3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3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3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3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3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3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3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3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3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3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3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3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3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3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3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3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3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3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3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3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3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3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3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3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3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3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3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3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3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3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3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3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3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3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3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3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3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3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3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3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3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3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3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3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3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3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3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3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3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3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3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3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3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3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3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3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3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3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3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3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3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3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3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3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3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3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3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3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3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3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3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3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3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3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3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3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3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3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3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3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3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3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3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3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3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3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3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3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3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3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3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3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3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3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3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3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3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3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3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3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3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3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3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3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3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3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3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3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3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3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3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3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3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3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3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3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3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3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3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3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3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3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3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3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3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3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3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3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3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3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3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3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3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3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3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3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3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3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3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3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3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3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3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3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3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3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3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3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3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3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3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3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3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3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3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3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3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3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3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3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3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3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3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3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3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3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3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3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3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3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3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3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3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3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3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3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3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3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3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3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3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3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3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3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3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3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3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3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3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3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3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3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3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3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3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3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3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3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3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3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3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3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3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3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3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3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3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3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3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3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3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3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3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3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3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3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3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3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3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3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3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3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3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3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3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3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3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3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3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3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3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3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3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3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3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3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3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3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3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3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3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3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3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3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3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3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3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3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3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3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3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3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3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3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3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3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3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3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3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3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3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3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3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3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3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3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3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3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3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3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3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3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3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3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3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3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3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3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3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3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3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3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3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3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3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3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3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3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3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3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3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3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3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3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3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3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3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3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3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3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3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3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3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3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3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3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3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3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3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3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3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3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3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3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3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3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3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3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3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3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3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3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3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3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3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3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3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3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3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3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3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3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3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3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3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3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3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3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3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3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3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3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3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3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3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3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3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3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3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3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3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3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3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3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3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3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3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3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3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3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3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3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3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3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3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3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3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3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3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3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3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3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3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3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3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3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3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3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3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3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3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3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3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3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3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3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3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3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3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3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3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3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3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3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3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3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3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3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3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3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3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3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3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3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3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3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3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3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3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3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3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3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3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3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3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3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3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3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3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3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3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3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3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3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3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3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3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3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3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3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3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3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3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3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3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3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3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3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3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3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3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3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3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3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3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3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3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3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3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3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3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3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3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3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3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3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3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3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3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3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3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3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3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3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3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3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3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3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3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3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3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3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3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3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3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3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3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3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3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3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3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3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3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3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3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3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3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3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3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3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3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3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3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3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3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3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3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3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3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3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3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3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3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3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3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3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3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3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3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3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3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3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3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3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3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3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3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3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3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3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3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3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3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3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3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3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3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3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3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3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3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3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3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3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3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3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3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3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3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3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3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3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3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3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3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3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3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3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3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3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3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3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3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3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3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3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3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3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3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3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3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3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3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3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3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3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3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3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3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3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3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3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3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3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3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3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3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3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3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3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3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3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3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3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3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3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3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3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3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3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3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3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3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3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3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3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3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3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3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3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3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3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3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3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3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3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3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3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3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3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3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3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3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3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3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3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3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3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3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3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3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3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3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3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3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3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3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3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3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3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3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3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3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3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3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3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3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3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3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3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3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3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3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3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3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3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3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3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3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3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3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3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3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3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3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3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3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3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3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3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3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3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3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3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3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3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3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3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3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3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3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3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3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3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3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3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3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3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3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3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3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3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3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3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3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3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3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3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3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3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3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3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3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3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3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3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3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3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3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3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3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3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3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3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3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3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3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3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3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3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3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3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3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3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3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3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3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3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3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3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3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3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3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3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3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3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3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3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3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3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3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3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3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3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3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3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3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3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3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3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3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3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3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3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3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3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3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3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3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3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3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3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3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3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3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3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3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3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3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3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3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3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3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3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3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3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3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3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3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3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3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3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3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3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3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3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3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3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3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3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3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3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3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3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3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3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3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3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3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3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3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3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3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3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3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3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3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3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3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3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3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3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3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3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3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3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3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3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3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3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3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3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3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3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3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3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3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3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3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3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3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3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3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3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3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3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3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3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3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3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3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3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3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3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3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3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3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3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3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3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3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3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3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3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3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3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3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3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3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3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3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3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3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3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3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3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3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3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3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3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3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3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3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3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3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3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3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3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3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3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3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3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3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3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3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3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3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3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3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3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3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3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3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3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3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3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3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3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3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3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3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3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3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3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3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3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3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3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3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3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3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3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3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3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3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3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3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3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3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3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3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3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3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3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3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3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3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3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3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3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3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3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3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3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3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3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3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3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3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3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3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3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3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3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3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3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3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3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3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3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3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3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3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3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3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3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3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3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3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3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3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3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3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3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3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3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3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3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3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3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3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3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3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3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3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3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3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3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3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3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3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3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3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3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3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3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3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3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3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3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3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3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3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3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3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3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3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3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3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3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3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3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3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3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3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3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3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3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3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3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3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3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3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3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3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3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3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3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3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3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3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3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3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3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3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3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3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3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3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3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3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3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3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3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3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3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3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3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3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3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3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3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3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3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3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3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3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3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3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3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3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3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3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3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3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3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3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3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3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3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3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3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3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3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3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3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3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3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3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3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3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3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3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3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3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3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3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3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3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3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3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3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3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3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3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3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3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3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3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3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3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3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3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3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3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3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3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3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3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3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3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3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3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3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3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3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3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3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3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3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3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3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3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3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3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3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3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3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3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3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3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3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3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3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3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3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3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3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3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3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3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3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3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3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3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3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3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3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3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3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3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3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3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3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3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3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3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3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3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3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3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3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3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3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3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3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3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3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3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3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3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3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3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3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3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3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3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3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3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3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3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3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3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3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3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3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3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3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3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3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3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3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3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3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3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3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3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3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3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3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3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3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3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3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3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3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3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3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3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3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3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3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3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3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3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3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3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3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3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3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3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3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3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3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3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3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3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3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3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3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3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3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3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3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3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3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3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3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3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3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3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3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3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3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3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3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3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3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3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3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3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3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3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3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3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3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3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3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3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3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3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3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3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3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3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3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3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3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3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3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3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3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3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3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3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3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3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3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3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3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3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3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3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3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3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3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3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3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3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3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3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3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3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3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3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3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3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3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3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3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3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3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3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3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3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3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3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3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3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3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3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3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3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3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3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3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3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3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3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3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3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3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3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3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3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3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3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3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3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3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3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3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3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3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3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3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3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3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3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3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3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3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3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3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3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3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3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3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3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3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3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3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3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3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3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3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3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3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3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3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3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3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3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3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3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3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3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3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3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3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3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3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3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3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3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3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3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3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3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3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3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3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3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3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3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3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3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3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3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3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3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3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3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3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3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3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3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3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3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3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3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3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3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3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3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3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3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3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3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3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3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3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3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3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3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3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3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3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3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3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3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3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3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3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3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3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3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3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3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3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3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3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3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3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3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3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3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3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3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3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3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3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3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3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3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3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3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3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3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3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3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3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3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3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3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3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3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3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3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3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3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3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3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3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3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3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3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3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3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3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3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3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3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3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3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3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3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3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3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3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3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3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3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3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3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3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3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3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3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3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3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3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3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3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3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3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3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3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3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3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3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3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3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3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3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3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3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3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3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3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3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3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3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3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3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3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3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3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3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3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3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3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3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3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3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3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3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3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3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3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3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3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3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3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3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3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3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3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3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3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3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3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3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3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3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3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3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3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3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3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3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3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3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3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3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3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3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3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3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3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3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3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3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3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3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3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3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3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3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3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3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3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3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3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3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3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3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3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3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3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3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3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3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3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3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3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3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3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3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3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3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3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3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3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3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3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3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3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3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3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3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3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3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3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3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3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3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3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3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3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3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3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3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3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3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3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3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3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3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3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3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3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3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3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3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3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3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3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3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3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3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3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3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3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3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3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3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3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3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3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3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3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3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3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3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3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3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3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3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3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3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3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3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3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3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3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3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3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3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3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3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3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3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3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3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3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3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3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3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3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3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3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3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3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3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3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3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3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3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3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3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3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3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3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3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3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3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3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3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3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3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3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3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3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3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3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3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3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3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3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3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3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3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3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3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3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3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3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3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3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3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3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3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3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3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3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3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3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3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3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3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3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3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3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3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3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3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3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3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3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3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3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3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3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3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3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3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3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3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3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3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3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3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3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3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3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3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3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3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3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3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3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3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3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3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3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3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3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3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3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3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3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3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3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3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3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3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3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3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3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3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3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3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3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3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3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3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3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3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3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3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3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3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3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3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3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3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3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3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3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3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3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3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3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3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3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3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3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3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3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3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3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3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3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3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3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3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3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3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3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3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3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3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3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3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3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3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3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3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3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3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3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3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3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3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3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3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3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3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3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3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3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3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3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3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3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3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3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3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3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3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3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3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3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3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3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3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3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3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3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3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3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3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3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3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3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3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3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3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3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3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3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3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3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3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3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3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3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3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3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3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3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3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3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3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3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3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3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3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3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3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3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3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3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3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3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3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3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3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3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3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3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3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3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3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3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3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3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3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3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3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3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3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3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3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3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3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3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3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3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3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3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3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3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3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3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3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3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3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3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3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3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3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3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3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3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3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3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3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3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3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3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3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3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3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3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3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3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3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3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3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3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3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3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3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3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3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3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3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3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3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3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3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3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3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3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3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3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3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3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3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3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3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3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3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3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3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3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3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3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3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3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3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3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3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3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3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3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3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3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3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3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3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3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3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3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3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3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3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3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3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3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3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3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3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3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3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3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3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3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3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3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3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3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3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3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3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3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3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3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3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3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3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3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3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3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3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3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3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3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3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3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3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3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3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3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3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3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3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3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3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3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3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3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3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3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3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3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3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3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3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3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3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3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3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3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3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3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3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3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3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3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3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3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3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3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3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3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3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3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3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3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3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3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3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3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3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3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3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3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3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3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3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3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3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3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3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3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3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3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3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3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3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3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3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3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3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3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3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3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3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3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3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3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3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3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3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3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3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3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3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3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3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3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3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3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3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3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3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3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3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3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3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3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3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3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3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3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3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3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3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3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3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3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3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3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3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3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3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3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3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3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3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3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3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3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3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3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3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3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3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3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3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3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3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3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3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3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3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3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3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3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3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3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3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3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3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3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3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3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3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3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3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3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3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3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3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3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3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3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3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3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3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3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3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3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3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3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3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3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3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3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3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3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3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3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3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3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3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3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3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3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3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3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3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3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3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3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3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3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3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3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3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3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3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3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3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3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3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3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3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3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3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3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3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3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3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3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3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3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3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3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3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3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3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3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3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3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3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3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3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3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3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3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3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3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3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3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3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3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3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3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3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3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3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3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3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3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3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3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3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3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3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3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3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3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3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3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3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3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3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3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3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3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3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3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3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3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3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3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3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3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3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3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3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3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3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3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3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3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3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3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3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3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3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3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3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3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3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3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3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3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3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3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3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3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3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3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3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3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3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3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3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3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3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3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3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3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3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3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3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3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3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3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3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3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3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3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3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3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3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3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3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3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3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3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3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3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3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3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3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3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3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3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3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3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3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3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3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3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3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3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3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3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3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3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3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3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3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3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3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3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3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3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3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3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3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3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3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3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3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3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3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3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3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3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3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3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3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3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3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3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3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3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3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3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3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3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3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3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3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3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3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3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3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3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3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3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3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3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3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3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3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3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3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3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3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3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3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3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3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3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3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3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3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3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3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3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3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3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3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3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3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3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3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3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3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3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3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3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3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3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3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3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3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3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3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3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3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3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3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3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3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3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3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3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3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3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3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3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3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3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3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3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3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3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3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3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3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3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3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3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3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3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3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3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3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3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3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3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3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3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3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3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3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3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3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3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3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3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3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3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3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3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3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3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3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3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3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3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3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3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3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3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3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3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3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3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3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3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3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3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3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3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3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3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3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3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3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3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3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3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3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3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3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3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3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3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3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3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3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3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3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3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3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3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3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3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3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3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3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3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3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3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3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3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3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3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3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3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3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3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3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3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3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3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3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3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3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3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3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3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3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3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3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3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3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3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3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3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3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3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3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3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3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3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3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3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3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3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3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3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3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3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3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3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3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35">
      <c r="A5558" s="19" t="s">
        <v>438</v>
      </c>
      <c r="B5558" s="19" t="s">
        <v>63</v>
      </c>
      <c r="C5558">
        <v>1</v>
      </c>
      <c r="D5558">
        <v>1</v>
      </c>
      <c r="E5558">
        <v>1</v>
      </c>
      <c r="F5558" s="15">
        <v>46245</v>
      </c>
      <c r="G5558" s="19" t="s">
        <v>671</v>
      </c>
      <c r="H5558">
        <v>4</v>
      </c>
      <c r="I5558">
        <v>2026</v>
      </c>
      <c r="J5558">
        <v>8</v>
      </c>
      <c r="K5558" s="19" t="s">
        <v>282</v>
      </c>
      <c r="L5558" s="19" t="s">
        <v>7</v>
      </c>
      <c r="M5558" s="19" t="s">
        <v>63</v>
      </c>
      <c r="N5558" t="b">
        <v>0</v>
      </c>
      <c r="O5558">
        <v>0</v>
      </c>
      <c r="P5558">
        <v>0</v>
      </c>
      <c r="Q5558">
        <v>1</v>
      </c>
      <c r="R5558">
        <v>0</v>
      </c>
    </row>
    <row r="5559" spans="1:18" x14ac:dyDescent="0.35">
      <c r="A5559" s="19" t="s">
        <v>438</v>
      </c>
      <c r="B5559" s="19" t="s">
        <v>63</v>
      </c>
      <c r="C5559">
        <v>1</v>
      </c>
      <c r="D5559">
        <v>1</v>
      </c>
      <c r="E5559">
        <v>1</v>
      </c>
      <c r="F5559" s="15">
        <v>46245</v>
      </c>
      <c r="G5559" s="19" t="s">
        <v>671</v>
      </c>
      <c r="H5559">
        <v>4</v>
      </c>
      <c r="I5559">
        <v>2026</v>
      </c>
      <c r="J5559">
        <v>8</v>
      </c>
      <c r="K5559" s="19" t="s">
        <v>282</v>
      </c>
      <c r="L5559" s="19" t="s">
        <v>9</v>
      </c>
      <c r="M5559" s="19" t="s">
        <v>63</v>
      </c>
      <c r="N5559" t="b">
        <v>0</v>
      </c>
      <c r="O5559">
        <v>0</v>
      </c>
      <c r="P5559">
        <v>0</v>
      </c>
      <c r="Q5559">
        <v>1</v>
      </c>
      <c r="R5559">
        <v>0</v>
      </c>
    </row>
    <row r="5560" spans="1:18" x14ac:dyDescent="0.35">
      <c r="A5560" s="19" t="s">
        <v>438</v>
      </c>
      <c r="B5560" s="19" t="s">
        <v>63</v>
      </c>
      <c r="C5560">
        <v>1</v>
      </c>
      <c r="D5560">
        <v>1</v>
      </c>
      <c r="E5560">
        <v>1</v>
      </c>
      <c r="F5560" s="15">
        <v>46245</v>
      </c>
      <c r="G5560" s="19" t="s">
        <v>671</v>
      </c>
      <c r="H5560">
        <v>4</v>
      </c>
      <c r="I5560">
        <v>2026</v>
      </c>
      <c r="J5560">
        <v>8</v>
      </c>
      <c r="K5560" s="19" t="s">
        <v>282</v>
      </c>
      <c r="L5560" s="19" t="s">
        <v>351</v>
      </c>
      <c r="M5560" s="19" t="s">
        <v>63</v>
      </c>
      <c r="N5560" t="b">
        <v>0</v>
      </c>
      <c r="O5560">
        <v>0</v>
      </c>
      <c r="P5560">
        <v>0</v>
      </c>
      <c r="Q5560">
        <v>1</v>
      </c>
      <c r="R5560">
        <v>0</v>
      </c>
    </row>
    <row r="5561" spans="1:18" x14ac:dyDescent="0.35">
      <c r="A5561" s="19" t="s">
        <v>7</v>
      </c>
      <c r="B5561" s="19" t="s">
        <v>63</v>
      </c>
      <c r="C5561">
        <v>2</v>
      </c>
      <c r="D5561">
        <v>1</v>
      </c>
      <c r="E5561">
        <v>1</v>
      </c>
      <c r="F5561" s="15">
        <v>46245</v>
      </c>
      <c r="G5561" s="19" t="s">
        <v>671</v>
      </c>
      <c r="H5561">
        <v>4</v>
      </c>
      <c r="I5561">
        <v>2026</v>
      </c>
      <c r="J5561">
        <v>8</v>
      </c>
      <c r="K5561" s="19" t="s">
        <v>282</v>
      </c>
      <c r="L5561" s="19" t="s">
        <v>438</v>
      </c>
      <c r="M5561" s="19" t="s">
        <v>63</v>
      </c>
      <c r="N5561" t="b">
        <v>0</v>
      </c>
      <c r="O5561">
        <v>0</v>
      </c>
      <c r="P5561">
        <v>0</v>
      </c>
      <c r="Q5561">
        <v>1</v>
      </c>
      <c r="R5561">
        <v>0</v>
      </c>
    </row>
    <row r="5562" spans="1:18" x14ac:dyDescent="0.35">
      <c r="A5562" s="19" t="s">
        <v>7</v>
      </c>
      <c r="B5562" s="19" t="s">
        <v>63</v>
      </c>
      <c r="C5562">
        <v>2</v>
      </c>
      <c r="D5562">
        <v>1</v>
      </c>
      <c r="E5562">
        <v>1</v>
      </c>
      <c r="F5562" s="15">
        <v>46245</v>
      </c>
      <c r="G5562" s="19" t="s">
        <v>671</v>
      </c>
      <c r="H5562">
        <v>4</v>
      </c>
      <c r="I5562">
        <v>2026</v>
      </c>
      <c r="J5562">
        <v>8</v>
      </c>
      <c r="K5562" s="19" t="s">
        <v>282</v>
      </c>
      <c r="L5562" s="19" t="s">
        <v>9</v>
      </c>
      <c r="M5562" s="19" t="s">
        <v>63</v>
      </c>
      <c r="N5562" t="b">
        <v>0</v>
      </c>
      <c r="O5562">
        <v>0</v>
      </c>
      <c r="P5562">
        <v>0</v>
      </c>
      <c r="Q5562">
        <v>1</v>
      </c>
      <c r="R5562">
        <v>0</v>
      </c>
    </row>
    <row r="5563" spans="1:18" x14ac:dyDescent="0.35">
      <c r="A5563" s="19" t="s">
        <v>7</v>
      </c>
      <c r="B5563" s="19" t="s">
        <v>63</v>
      </c>
      <c r="C5563">
        <v>2</v>
      </c>
      <c r="D5563">
        <v>1</v>
      </c>
      <c r="E5563">
        <v>1</v>
      </c>
      <c r="F5563" s="15">
        <v>46245</v>
      </c>
      <c r="G5563" s="19" t="s">
        <v>671</v>
      </c>
      <c r="H5563">
        <v>4</v>
      </c>
      <c r="I5563">
        <v>2026</v>
      </c>
      <c r="J5563">
        <v>8</v>
      </c>
      <c r="K5563" s="19" t="s">
        <v>282</v>
      </c>
      <c r="L5563" s="19" t="s">
        <v>351</v>
      </c>
      <c r="M5563" s="19" t="s">
        <v>63</v>
      </c>
      <c r="N5563" t="b">
        <v>0</v>
      </c>
      <c r="O5563">
        <v>0</v>
      </c>
      <c r="P5563">
        <v>0</v>
      </c>
      <c r="Q5563">
        <v>1</v>
      </c>
      <c r="R5563">
        <v>0</v>
      </c>
    </row>
    <row r="5564" spans="1:18" x14ac:dyDescent="0.35">
      <c r="A5564" s="19" t="s">
        <v>9</v>
      </c>
      <c r="B5564" s="19" t="s">
        <v>63</v>
      </c>
      <c r="C5564">
        <v>3</v>
      </c>
      <c r="D5564">
        <v>1</v>
      </c>
      <c r="E5564">
        <v>1</v>
      </c>
      <c r="F5564" s="15">
        <v>46245</v>
      </c>
      <c r="G5564" s="19" t="s">
        <v>671</v>
      </c>
      <c r="H5564">
        <v>4</v>
      </c>
      <c r="I5564">
        <v>2026</v>
      </c>
      <c r="J5564">
        <v>8</v>
      </c>
      <c r="K5564" s="19" t="s">
        <v>282</v>
      </c>
      <c r="L5564" s="19" t="s">
        <v>438</v>
      </c>
      <c r="M5564" s="19" t="s">
        <v>63</v>
      </c>
      <c r="N5564" t="b">
        <v>0</v>
      </c>
      <c r="O5564">
        <v>0</v>
      </c>
      <c r="P5564">
        <v>0</v>
      </c>
      <c r="Q5564">
        <v>1</v>
      </c>
      <c r="R5564">
        <v>0</v>
      </c>
    </row>
    <row r="5565" spans="1:18" x14ac:dyDescent="0.35">
      <c r="A5565" s="19" t="s">
        <v>9</v>
      </c>
      <c r="B5565" s="19" t="s">
        <v>63</v>
      </c>
      <c r="C5565">
        <v>3</v>
      </c>
      <c r="D5565">
        <v>1</v>
      </c>
      <c r="E5565">
        <v>1</v>
      </c>
      <c r="F5565" s="15">
        <v>46245</v>
      </c>
      <c r="G5565" s="19" t="s">
        <v>671</v>
      </c>
      <c r="H5565">
        <v>4</v>
      </c>
      <c r="I5565">
        <v>2026</v>
      </c>
      <c r="J5565">
        <v>8</v>
      </c>
      <c r="K5565" s="19" t="s">
        <v>282</v>
      </c>
      <c r="L5565" s="19" t="s">
        <v>7</v>
      </c>
      <c r="M5565" s="19" t="s">
        <v>63</v>
      </c>
      <c r="N5565" t="b">
        <v>0</v>
      </c>
      <c r="O5565">
        <v>0</v>
      </c>
      <c r="P5565">
        <v>0</v>
      </c>
      <c r="Q5565">
        <v>1</v>
      </c>
      <c r="R5565">
        <v>0</v>
      </c>
    </row>
    <row r="5566" spans="1:18" x14ac:dyDescent="0.35">
      <c r="A5566" s="19" t="s">
        <v>9</v>
      </c>
      <c r="B5566" s="19" t="s">
        <v>63</v>
      </c>
      <c r="C5566">
        <v>3</v>
      </c>
      <c r="D5566">
        <v>1</v>
      </c>
      <c r="E5566">
        <v>1</v>
      </c>
      <c r="F5566" s="15">
        <v>46245</v>
      </c>
      <c r="G5566" s="19" t="s">
        <v>671</v>
      </c>
      <c r="H5566">
        <v>4</v>
      </c>
      <c r="I5566">
        <v>2026</v>
      </c>
      <c r="J5566">
        <v>8</v>
      </c>
      <c r="K5566" s="19" t="s">
        <v>282</v>
      </c>
      <c r="L5566" s="19" t="s">
        <v>351</v>
      </c>
      <c r="M5566" s="19" t="s">
        <v>63</v>
      </c>
      <c r="N5566" t="b">
        <v>0</v>
      </c>
      <c r="O5566">
        <v>0</v>
      </c>
      <c r="P5566">
        <v>0</v>
      </c>
      <c r="Q5566">
        <v>1</v>
      </c>
      <c r="R5566">
        <v>0</v>
      </c>
    </row>
    <row r="5567" spans="1:18" x14ac:dyDescent="0.35">
      <c r="A5567" s="19" t="s">
        <v>351</v>
      </c>
      <c r="B5567" s="19" t="s">
        <v>63</v>
      </c>
      <c r="C5567">
        <v>4</v>
      </c>
      <c r="D5567">
        <v>1</v>
      </c>
      <c r="E5567">
        <v>1</v>
      </c>
      <c r="F5567" s="15">
        <v>46245</v>
      </c>
      <c r="G5567" s="19" t="s">
        <v>671</v>
      </c>
      <c r="H5567">
        <v>4</v>
      </c>
      <c r="I5567">
        <v>2026</v>
      </c>
      <c r="J5567">
        <v>8</v>
      </c>
      <c r="K5567" s="19" t="s">
        <v>282</v>
      </c>
      <c r="L5567" s="19" t="s">
        <v>438</v>
      </c>
      <c r="M5567" s="19" t="s">
        <v>63</v>
      </c>
      <c r="N5567" t="b">
        <v>0</v>
      </c>
      <c r="O5567">
        <v>0</v>
      </c>
      <c r="P5567">
        <v>0</v>
      </c>
      <c r="Q5567">
        <v>1</v>
      </c>
      <c r="R5567">
        <v>0</v>
      </c>
    </row>
    <row r="5568" spans="1:18" x14ac:dyDescent="0.35">
      <c r="A5568" s="19" t="s">
        <v>351</v>
      </c>
      <c r="B5568" s="19" t="s">
        <v>63</v>
      </c>
      <c r="C5568">
        <v>4</v>
      </c>
      <c r="D5568">
        <v>1</v>
      </c>
      <c r="E5568">
        <v>1</v>
      </c>
      <c r="F5568" s="15">
        <v>46245</v>
      </c>
      <c r="G5568" s="19" t="s">
        <v>671</v>
      </c>
      <c r="H5568">
        <v>4</v>
      </c>
      <c r="I5568">
        <v>2026</v>
      </c>
      <c r="J5568">
        <v>8</v>
      </c>
      <c r="K5568" s="19" t="s">
        <v>282</v>
      </c>
      <c r="L5568" s="19" t="s">
        <v>7</v>
      </c>
      <c r="M5568" s="19" t="s">
        <v>63</v>
      </c>
      <c r="N5568" t="b">
        <v>0</v>
      </c>
      <c r="O5568">
        <v>0</v>
      </c>
      <c r="P5568">
        <v>0</v>
      </c>
      <c r="Q5568">
        <v>1</v>
      </c>
      <c r="R5568">
        <v>0</v>
      </c>
    </row>
    <row r="5569" spans="1:18" x14ac:dyDescent="0.35">
      <c r="A5569" s="19" t="s">
        <v>351</v>
      </c>
      <c r="B5569" s="19" t="s">
        <v>63</v>
      </c>
      <c r="C5569">
        <v>4</v>
      </c>
      <c r="D5569">
        <v>1</v>
      </c>
      <c r="E5569">
        <v>1</v>
      </c>
      <c r="F5569" s="15">
        <v>46245</v>
      </c>
      <c r="G5569" s="19" t="s">
        <v>671</v>
      </c>
      <c r="H5569">
        <v>4</v>
      </c>
      <c r="I5569">
        <v>2026</v>
      </c>
      <c r="J5569">
        <v>8</v>
      </c>
      <c r="K5569" s="19" t="s">
        <v>282</v>
      </c>
      <c r="L5569" s="19" t="s">
        <v>9</v>
      </c>
      <c r="M5569" s="19" t="s">
        <v>63</v>
      </c>
      <c r="N5569" t="b">
        <v>0</v>
      </c>
      <c r="O5569">
        <v>0</v>
      </c>
      <c r="P5569">
        <v>0</v>
      </c>
      <c r="Q5569">
        <v>1</v>
      </c>
      <c r="R5569">
        <v>0</v>
      </c>
    </row>
    <row r="5570" spans="1:18" x14ac:dyDescent="0.35">
      <c r="A5570" s="19" t="s">
        <v>364</v>
      </c>
      <c r="B5570" s="19" t="s">
        <v>63</v>
      </c>
      <c r="C5570">
        <v>1</v>
      </c>
      <c r="D5570">
        <v>2</v>
      </c>
      <c r="E5570">
        <v>1</v>
      </c>
      <c r="F5570" s="15">
        <v>46245</v>
      </c>
      <c r="G5570" s="19" t="s">
        <v>672</v>
      </c>
      <c r="H5570">
        <v>4</v>
      </c>
      <c r="I5570">
        <v>2026</v>
      </c>
      <c r="J5570">
        <v>8</v>
      </c>
      <c r="K5570" s="19" t="s">
        <v>282</v>
      </c>
      <c r="L5570" s="19" t="s">
        <v>578</v>
      </c>
      <c r="M5570" s="19" t="s">
        <v>63</v>
      </c>
      <c r="N5570" t="b">
        <v>0</v>
      </c>
      <c r="O5570">
        <v>0</v>
      </c>
      <c r="P5570">
        <v>0</v>
      </c>
      <c r="Q5570">
        <v>1</v>
      </c>
      <c r="R5570">
        <v>0</v>
      </c>
    </row>
    <row r="5571" spans="1:18" x14ac:dyDescent="0.35">
      <c r="A5571" s="19" t="s">
        <v>364</v>
      </c>
      <c r="B5571" s="19" t="s">
        <v>63</v>
      </c>
      <c r="C5571">
        <v>1</v>
      </c>
      <c r="D5571">
        <v>2</v>
      </c>
      <c r="E5571">
        <v>1</v>
      </c>
      <c r="F5571" s="15">
        <v>46245</v>
      </c>
      <c r="G5571" s="19" t="s">
        <v>672</v>
      </c>
      <c r="H5571">
        <v>4</v>
      </c>
      <c r="I5571">
        <v>2026</v>
      </c>
      <c r="J5571">
        <v>8</v>
      </c>
      <c r="K5571" s="19" t="s">
        <v>282</v>
      </c>
      <c r="L5571" s="19" t="s">
        <v>11</v>
      </c>
      <c r="M5571" s="19" t="s">
        <v>63</v>
      </c>
      <c r="N5571" t="b">
        <v>0</v>
      </c>
      <c r="O5571">
        <v>0</v>
      </c>
      <c r="P5571">
        <v>0</v>
      </c>
      <c r="Q5571">
        <v>1</v>
      </c>
      <c r="R5571">
        <v>0</v>
      </c>
    </row>
    <row r="5572" spans="1:18" x14ac:dyDescent="0.35">
      <c r="A5572" s="19" t="s">
        <v>364</v>
      </c>
      <c r="B5572" s="19" t="s">
        <v>63</v>
      </c>
      <c r="C5572">
        <v>1</v>
      </c>
      <c r="D5572">
        <v>2</v>
      </c>
      <c r="E5572">
        <v>1</v>
      </c>
      <c r="F5572" s="15">
        <v>46245</v>
      </c>
      <c r="G5572" s="19" t="s">
        <v>672</v>
      </c>
      <c r="H5572">
        <v>4</v>
      </c>
      <c r="I5572">
        <v>2026</v>
      </c>
      <c r="J5572">
        <v>8</v>
      </c>
      <c r="K5572" s="19" t="s">
        <v>282</v>
      </c>
      <c r="L5572" s="19" t="s">
        <v>14</v>
      </c>
      <c r="M5572" s="19" t="s">
        <v>63</v>
      </c>
      <c r="N5572" t="b">
        <v>0</v>
      </c>
      <c r="O5572">
        <v>0</v>
      </c>
      <c r="P5572">
        <v>0</v>
      </c>
      <c r="Q5572">
        <v>1</v>
      </c>
      <c r="R5572">
        <v>0</v>
      </c>
    </row>
    <row r="5573" spans="1:18" x14ac:dyDescent="0.35">
      <c r="A5573" s="19" t="s">
        <v>578</v>
      </c>
      <c r="B5573" s="19" t="s">
        <v>63</v>
      </c>
      <c r="C5573">
        <v>2</v>
      </c>
      <c r="D5573">
        <v>2</v>
      </c>
      <c r="E5573">
        <v>1</v>
      </c>
      <c r="F5573" s="15">
        <v>46245</v>
      </c>
      <c r="G5573" s="19" t="s">
        <v>672</v>
      </c>
      <c r="H5573">
        <v>4</v>
      </c>
      <c r="I5573">
        <v>2026</v>
      </c>
      <c r="J5573">
        <v>8</v>
      </c>
      <c r="K5573" s="19" t="s">
        <v>282</v>
      </c>
      <c r="L5573" s="19" t="s">
        <v>364</v>
      </c>
      <c r="M5573" s="19" t="s">
        <v>63</v>
      </c>
      <c r="N5573" t="b">
        <v>0</v>
      </c>
      <c r="O5573">
        <v>0</v>
      </c>
      <c r="P5573">
        <v>0</v>
      </c>
      <c r="Q5573">
        <v>1</v>
      </c>
      <c r="R5573">
        <v>0</v>
      </c>
    </row>
    <row r="5574" spans="1:18" x14ac:dyDescent="0.35">
      <c r="A5574" s="19" t="s">
        <v>578</v>
      </c>
      <c r="B5574" s="19" t="s">
        <v>63</v>
      </c>
      <c r="C5574">
        <v>2</v>
      </c>
      <c r="D5574">
        <v>2</v>
      </c>
      <c r="E5574">
        <v>1</v>
      </c>
      <c r="F5574" s="15">
        <v>46245</v>
      </c>
      <c r="G5574" s="19" t="s">
        <v>672</v>
      </c>
      <c r="H5574">
        <v>4</v>
      </c>
      <c r="I5574">
        <v>2026</v>
      </c>
      <c r="J5574">
        <v>8</v>
      </c>
      <c r="K5574" s="19" t="s">
        <v>282</v>
      </c>
      <c r="L5574" s="19" t="s">
        <v>11</v>
      </c>
      <c r="M5574" s="19" t="s">
        <v>63</v>
      </c>
      <c r="N5574" t="b">
        <v>0</v>
      </c>
      <c r="O5574">
        <v>0</v>
      </c>
      <c r="P5574">
        <v>0</v>
      </c>
      <c r="Q5574">
        <v>1</v>
      </c>
      <c r="R5574">
        <v>0</v>
      </c>
    </row>
    <row r="5575" spans="1:18" x14ac:dyDescent="0.35">
      <c r="A5575" s="19" t="s">
        <v>578</v>
      </c>
      <c r="B5575" s="19" t="s">
        <v>63</v>
      </c>
      <c r="C5575">
        <v>2</v>
      </c>
      <c r="D5575">
        <v>2</v>
      </c>
      <c r="E5575">
        <v>1</v>
      </c>
      <c r="F5575" s="15">
        <v>46245</v>
      </c>
      <c r="G5575" s="19" t="s">
        <v>672</v>
      </c>
      <c r="H5575">
        <v>4</v>
      </c>
      <c r="I5575">
        <v>2026</v>
      </c>
      <c r="J5575">
        <v>8</v>
      </c>
      <c r="K5575" s="19" t="s">
        <v>282</v>
      </c>
      <c r="L5575" s="19" t="s">
        <v>14</v>
      </c>
      <c r="M5575" s="19" t="s">
        <v>63</v>
      </c>
      <c r="N5575" t="b">
        <v>0</v>
      </c>
      <c r="O5575">
        <v>0</v>
      </c>
      <c r="P5575">
        <v>0</v>
      </c>
      <c r="Q5575">
        <v>1</v>
      </c>
      <c r="R5575">
        <v>0</v>
      </c>
    </row>
    <row r="5576" spans="1:18" x14ac:dyDescent="0.35">
      <c r="A5576" s="19" t="s">
        <v>11</v>
      </c>
      <c r="B5576" s="19" t="s">
        <v>63</v>
      </c>
      <c r="C5576">
        <v>3</v>
      </c>
      <c r="D5576">
        <v>2</v>
      </c>
      <c r="E5576">
        <v>1</v>
      </c>
      <c r="F5576" s="15">
        <v>46245</v>
      </c>
      <c r="G5576" s="19" t="s">
        <v>672</v>
      </c>
      <c r="H5576">
        <v>4</v>
      </c>
      <c r="I5576">
        <v>2026</v>
      </c>
      <c r="J5576">
        <v>8</v>
      </c>
      <c r="K5576" s="19" t="s">
        <v>282</v>
      </c>
      <c r="L5576" s="19" t="s">
        <v>364</v>
      </c>
      <c r="M5576" s="19" t="s">
        <v>63</v>
      </c>
      <c r="N5576" t="b">
        <v>0</v>
      </c>
      <c r="O5576">
        <v>0</v>
      </c>
      <c r="P5576">
        <v>0</v>
      </c>
      <c r="Q5576">
        <v>1</v>
      </c>
      <c r="R5576">
        <v>0</v>
      </c>
    </row>
    <row r="5577" spans="1:18" x14ac:dyDescent="0.35">
      <c r="A5577" s="19" t="s">
        <v>11</v>
      </c>
      <c r="B5577" s="19" t="s">
        <v>63</v>
      </c>
      <c r="C5577">
        <v>3</v>
      </c>
      <c r="D5577">
        <v>2</v>
      </c>
      <c r="E5577">
        <v>1</v>
      </c>
      <c r="F5577" s="15">
        <v>46245</v>
      </c>
      <c r="G5577" s="19" t="s">
        <v>672</v>
      </c>
      <c r="H5577">
        <v>4</v>
      </c>
      <c r="I5577">
        <v>2026</v>
      </c>
      <c r="J5577">
        <v>8</v>
      </c>
      <c r="K5577" s="19" t="s">
        <v>282</v>
      </c>
      <c r="L5577" s="19" t="s">
        <v>578</v>
      </c>
      <c r="M5577" s="19" t="s">
        <v>63</v>
      </c>
      <c r="N5577" t="b">
        <v>0</v>
      </c>
      <c r="O5577">
        <v>0</v>
      </c>
      <c r="P5577">
        <v>0</v>
      </c>
      <c r="Q5577">
        <v>1</v>
      </c>
      <c r="R5577">
        <v>0</v>
      </c>
    </row>
    <row r="5578" spans="1:18" x14ac:dyDescent="0.35">
      <c r="A5578" s="19" t="s">
        <v>11</v>
      </c>
      <c r="B5578" s="19" t="s">
        <v>63</v>
      </c>
      <c r="C5578">
        <v>3</v>
      </c>
      <c r="D5578">
        <v>2</v>
      </c>
      <c r="E5578">
        <v>1</v>
      </c>
      <c r="F5578" s="15">
        <v>46245</v>
      </c>
      <c r="G5578" s="19" t="s">
        <v>672</v>
      </c>
      <c r="H5578">
        <v>4</v>
      </c>
      <c r="I5578">
        <v>2026</v>
      </c>
      <c r="J5578">
        <v>8</v>
      </c>
      <c r="K5578" s="19" t="s">
        <v>282</v>
      </c>
      <c r="L5578" s="19" t="s">
        <v>14</v>
      </c>
      <c r="M5578" s="19" t="s">
        <v>63</v>
      </c>
      <c r="N5578" t="b">
        <v>0</v>
      </c>
      <c r="O5578">
        <v>0</v>
      </c>
      <c r="P5578">
        <v>0</v>
      </c>
      <c r="Q5578">
        <v>1</v>
      </c>
      <c r="R5578">
        <v>0</v>
      </c>
    </row>
    <row r="5579" spans="1:18" x14ac:dyDescent="0.35">
      <c r="A5579" s="19" t="s">
        <v>14</v>
      </c>
      <c r="B5579" s="19" t="s">
        <v>63</v>
      </c>
      <c r="C5579">
        <v>4</v>
      </c>
      <c r="D5579">
        <v>2</v>
      </c>
      <c r="E5579">
        <v>1</v>
      </c>
      <c r="F5579" s="15">
        <v>46245</v>
      </c>
      <c r="G5579" s="19" t="s">
        <v>672</v>
      </c>
      <c r="H5579">
        <v>4</v>
      </c>
      <c r="I5579">
        <v>2026</v>
      </c>
      <c r="J5579">
        <v>8</v>
      </c>
      <c r="K5579" s="19" t="s">
        <v>282</v>
      </c>
      <c r="L5579" s="19" t="s">
        <v>364</v>
      </c>
      <c r="M5579" s="19" t="s">
        <v>63</v>
      </c>
      <c r="N5579" t="b">
        <v>0</v>
      </c>
      <c r="O5579">
        <v>0</v>
      </c>
      <c r="P5579">
        <v>0</v>
      </c>
      <c r="Q5579">
        <v>1</v>
      </c>
      <c r="R5579">
        <v>0</v>
      </c>
    </row>
    <row r="5580" spans="1:18" x14ac:dyDescent="0.35">
      <c r="A5580" s="19" t="s">
        <v>14</v>
      </c>
      <c r="B5580" s="19" t="s">
        <v>63</v>
      </c>
      <c r="C5580">
        <v>4</v>
      </c>
      <c r="D5580">
        <v>2</v>
      </c>
      <c r="E5580">
        <v>1</v>
      </c>
      <c r="F5580" s="15">
        <v>46245</v>
      </c>
      <c r="G5580" s="19" t="s">
        <v>672</v>
      </c>
      <c r="H5580">
        <v>4</v>
      </c>
      <c r="I5580">
        <v>2026</v>
      </c>
      <c r="J5580">
        <v>8</v>
      </c>
      <c r="K5580" s="19" t="s">
        <v>282</v>
      </c>
      <c r="L5580" s="19" t="s">
        <v>578</v>
      </c>
      <c r="M5580" s="19" t="s">
        <v>63</v>
      </c>
      <c r="N5580" t="b">
        <v>0</v>
      </c>
      <c r="O5580">
        <v>0</v>
      </c>
      <c r="P5580">
        <v>0</v>
      </c>
      <c r="Q5580">
        <v>1</v>
      </c>
      <c r="R5580">
        <v>0</v>
      </c>
    </row>
    <row r="5581" spans="1:18" x14ac:dyDescent="0.35">
      <c r="A5581" s="19" t="s">
        <v>14</v>
      </c>
      <c r="B5581" s="19" t="s">
        <v>63</v>
      </c>
      <c r="C5581">
        <v>4</v>
      </c>
      <c r="D5581">
        <v>2</v>
      </c>
      <c r="E5581">
        <v>1</v>
      </c>
      <c r="F5581" s="15">
        <v>46245</v>
      </c>
      <c r="G5581" s="19" t="s">
        <v>672</v>
      </c>
      <c r="H5581">
        <v>4</v>
      </c>
      <c r="I5581">
        <v>2026</v>
      </c>
      <c r="J5581">
        <v>8</v>
      </c>
      <c r="K5581" s="19" t="s">
        <v>282</v>
      </c>
      <c r="L5581" s="19" t="s">
        <v>11</v>
      </c>
      <c r="M5581" s="19" t="s">
        <v>63</v>
      </c>
      <c r="N5581" t="b">
        <v>0</v>
      </c>
      <c r="O5581">
        <v>0</v>
      </c>
      <c r="P5581">
        <v>0</v>
      </c>
      <c r="Q5581">
        <v>1</v>
      </c>
      <c r="R5581">
        <v>0</v>
      </c>
    </row>
    <row r="5582" spans="1:18" x14ac:dyDescent="0.35">
      <c r="A5582" s="19" t="s">
        <v>13</v>
      </c>
      <c r="B5582" s="19" t="s">
        <v>6</v>
      </c>
      <c r="C5582">
        <v>1</v>
      </c>
      <c r="D5582">
        <v>3</v>
      </c>
      <c r="E5582">
        <v>1</v>
      </c>
      <c r="F5582" s="15">
        <v>46245</v>
      </c>
      <c r="G5582" s="19" t="s">
        <v>673</v>
      </c>
      <c r="H5582">
        <v>4</v>
      </c>
      <c r="I5582">
        <v>2026</v>
      </c>
      <c r="J5582">
        <v>8</v>
      </c>
      <c r="K5582" s="19" t="s">
        <v>282</v>
      </c>
      <c r="L5582" s="19" t="s">
        <v>15</v>
      </c>
      <c r="M5582" s="19" t="s">
        <v>8</v>
      </c>
      <c r="N5582" t="b">
        <v>0</v>
      </c>
      <c r="O5582">
        <v>0</v>
      </c>
      <c r="P5582">
        <v>1</v>
      </c>
      <c r="Q5582">
        <v>0</v>
      </c>
      <c r="R5582">
        <v>1</v>
      </c>
    </row>
    <row r="5583" spans="1:18" x14ac:dyDescent="0.35">
      <c r="A5583" s="19" t="s">
        <v>13</v>
      </c>
      <c r="B5583" s="19" t="s">
        <v>6</v>
      </c>
      <c r="C5583">
        <v>1</v>
      </c>
      <c r="D5583">
        <v>3</v>
      </c>
      <c r="E5583">
        <v>1</v>
      </c>
      <c r="F5583" s="15">
        <v>46245</v>
      </c>
      <c r="G5583" s="19" t="s">
        <v>673</v>
      </c>
      <c r="H5583">
        <v>4</v>
      </c>
      <c r="I5583">
        <v>2026</v>
      </c>
      <c r="J5583">
        <v>8</v>
      </c>
      <c r="K5583" s="19" t="s">
        <v>282</v>
      </c>
      <c r="L5583" s="19" t="s">
        <v>17</v>
      </c>
      <c r="M5583" s="19" t="s">
        <v>6</v>
      </c>
      <c r="N5583" t="b">
        <v>0</v>
      </c>
      <c r="O5583">
        <v>0</v>
      </c>
      <c r="P5583">
        <v>1</v>
      </c>
      <c r="Q5583">
        <v>0</v>
      </c>
      <c r="R5583">
        <v>0</v>
      </c>
    </row>
    <row r="5584" spans="1:18" x14ac:dyDescent="0.35">
      <c r="A5584" s="19" t="s">
        <v>13</v>
      </c>
      <c r="B5584" s="19" t="s">
        <v>6</v>
      </c>
      <c r="C5584">
        <v>1</v>
      </c>
      <c r="D5584">
        <v>3</v>
      </c>
      <c r="E5584">
        <v>1</v>
      </c>
      <c r="F5584" s="15">
        <v>46245</v>
      </c>
      <c r="G5584" s="19" t="s">
        <v>673</v>
      </c>
      <c r="H5584">
        <v>4</v>
      </c>
      <c r="I5584">
        <v>2026</v>
      </c>
      <c r="J5584">
        <v>8</v>
      </c>
      <c r="K5584" s="19" t="s">
        <v>282</v>
      </c>
      <c r="L5584" s="19" t="s">
        <v>41</v>
      </c>
      <c r="M5584" s="19" t="s">
        <v>6</v>
      </c>
      <c r="N5584" t="b">
        <v>0</v>
      </c>
      <c r="O5584">
        <v>0</v>
      </c>
      <c r="P5584">
        <v>1</v>
      </c>
      <c r="Q5584">
        <v>0</v>
      </c>
      <c r="R5584">
        <v>0</v>
      </c>
    </row>
    <row r="5585" spans="1:18" x14ac:dyDescent="0.35">
      <c r="A5585" s="19" t="s">
        <v>15</v>
      </c>
      <c r="B5585" s="19" t="s">
        <v>8</v>
      </c>
      <c r="C5585">
        <v>2</v>
      </c>
      <c r="D5585">
        <v>3</v>
      </c>
      <c r="E5585">
        <v>1</v>
      </c>
      <c r="F5585" s="15">
        <v>46245</v>
      </c>
      <c r="G5585" s="19" t="s">
        <v>673</v>
      </c>
      <c r="H5585">
        <v>4</v>
      </c>
      <c r="I5585">
        <v>2026</v>
      </c>
      <c r="J5585">
        <v>8</v>
      </c>
      <c r="K5585" s="19" t="s">
        <v>282</v>
      </c>
      <c r="L5585" s="19" t="s">
        <v>13</v>
      </c>
      <c r="M5585" s="19" t="s">
        <v>6</v>
      </c>
      <c r="N5585" t="b">
        <v>0</v>
      </c>
      <c r="O5585">
        <v>1</v>
      </c>
      <c r="P5585">
        <v>0</v>
      </c>
      <c r="Q5585">
        <v>0</v>
      </c>
      <c r="R5585">
        <v>0</v>
      </c>
    </row>
    <row r="5586" spans="1:18" x14ac:dyDescent="0.35">
      <c r="A5586" s="19" t="s">
        <v>15</v>
      </c>
      <c r="B5586" s="19" t="s">
        <v>8</v>
      </c>
      <c r="C5586">
        <v>2</v>
      </c>
      <c r="D5586">
        <v>3</v>
      </c>
      <c r="E5586">
        <v>1</v>
      </c>
      <c r="F5586" s="15">
        <v>46245</v>
      </c>
      <c r="G5586" s="19" t="s">
        <v>673</v>
      </c>
      <c r="H5586">
        <v>4</v>
      </c>
      <c r="I5586">
        <v>2026</v>
      </c>
      <c r="J5586">
        <v>8</v>
      </c>
      <c r="K5586" s="19" t="s">
        <v>282</v>
      </c>
      <c r="L5586" s="19" t="s">
        <v>17</v>
      </c>
      <c r="M5586" s="19" t="s">
        <v>6</v>
      </c>
      <c r="N5586" t="b">
        <v>0</v>
      </c>
      <c r="O5586">
        <v>1</v>
      </c>
      <c r="P5586">
        <v>0</v>
      </c>
      <c r="Q5586">
        <v>0</v>
      </c>
      <c r="R5586">
        <v>0</v>
      </c>
    </row>
    <row r="5587" spans="1:18" x14ac:dyDescent="0.35">
      <c r="A5587" s="19" t="s">
        <v>15</v>
      </c>
      <c r="B5587" s="19" t="s">
        <v>8</v>
      </c>
      <c r="C5587">
        <v>2</v>
      </c>
      <c r="D5587">
        <v>3</v>
      </c>
      <c r="E5587">
        <v>1</v>
      </c>
      <c r="F5587" s="15">
        <v>46245</v>
      </c>
      <c r="G5587" s="19" t="s">
        <v>673</v>
      </c>
      <c r="H5587">
        <v>4</v>
      </c>
      <c r="I5587">
        <v>2026</v>
      </c>
      <c r="J5587">
        <v>8</v>
      </c>
      <c r="K5587" s="19" t="s">
        <v>282</v>
      </c>
      <c r="L5587" s="19" t="s">
        <v>41</v>
      </c>
      <c r="M5587" s="19" t="s">
        <v>6</v>
      </c>
      <c r="N5587" t="b">
        <v>0</v>
      </c>
      <c r="O5587">
        <v>1</v>
      </c>
      <c r="P5587">
        <v>0</v>
      </c>
      <c r="Q5587">
        <v>0</v>
      </c>
      <c r="R5587">
        <v>0</v>
      </c>
    </row>
    <row r="5588" spans="1:18" x14ac:dyDescent="0.35">
      <c r="A5588" s="19" t="s">
        <v>17</v>
      </c>
      <c r="B5588" s="19" t="s">
        <v>6</v>
      </c>
      <c r="C5588">
        <v>3</v>
      </c>
      <c r="D5588">
        <v>3</v>
      </c>
      <c r="E5588">
        <v>1</v>
      </c>
      <c r="F5588" s="15">
        <v>46245</v>
      </c>
      <c r="G5588" s="19" t="s">
        <v>673</v>
      </c>
      <c r="H5588">
        <v>4</v>
      </c>
      <c r="I5588">
        <v>2026</v>
      </c>
      <c r="J5588">
        <v>8</v>
      </c>
      <c r="K5588" s="19" t="s">
        <v>282</v>
      </c>
      <c r="L5588" s="19" t="s">
        <v>13</v>
      </c>
      <c r="M5588" s="19" t="s">
        <v>6</v>
      </c>
      <c r="N5588" t="b">
        <v>0</v>
      </c>
      <c r="O5588">
        <v>0</v>
      </c>
      <c r="P5588">
        <v>1</v>
      </c>
      <c r="Q5588">
        <v>0</v>
      </c>
      <c r="R5588">
        <v>0</v>
      </c>
    </row>
    <row r="5589" spans="1:18" x14ac:dyDescent="0.35">
      <c r="A5589" s="19" t="s">
        <v>17</v>
      </c>
      <c r="B5589" s="19" t="s">
        <v>6</v>
      </c>
      <c r="C5589">
        <v>3</v>
      </c>
      <c r="D5589">
        <v>3</v>
      </c>
      <c r="E5589">
        <v>1</v>
      </c>
      <c r="F5589" s="15">
        <v>46245</v>
      </c>
      <c r="G5589" s="19" t="s">
        <v>673</v>
      </c>
      <c r="H5589">
        <v>4</v>
      </c>
      <c r="I5589">
        <v>2026</v>
      </c>
      <c r="J5589">
        <v>8</v>
      </c>
      <c r="K5589" s="19" t="s">
        <v>282</v>
      </c>
      <c r="L5589" s="19" t="s">
        <v>15</v>
      </c>
      <c r="M5589" s="19" t="s">
        <v>8</v>
      </c>
      <c r="N5589" t="b">
        <v>0</v>
      </c>
      <c r="O5589">
        <v>0</v>
      </c>
      <c r="P5589">
        <v>1</v>
      </c>
      <c r="Q5589">
        <v>0</v>
      </c>
      <c r="R5589">
        <v>1</v>
      </c>
    </row>
    <row r="5590" spans="1:18" x14ac:dyDescent="0.35">
      <c r="A5590" s="19" t="s">
        <v>17</v>
      </c>
      <c r="B5590" s="19" t="s">
        <v>6</v>
      </c>
      <c r="C5590">
        <v>3</v>
      </c>
      <c r="D5590">
        <v>3</v>
      </c>
      <c r="E5590">
        <v>1</v>
      </c>
      <c r="F5590" s="15">
        <v>46245</v>
      </c>
      <c r="G5590" s="19" t="s">
        <v>673</v>
      </c>
      <c r="H5590">
        <v>4</v>
      </c>
      <c r="I5590">
        <v>2026</v>
      </c>
      <c r="J5590">
        <v>8</v>
      </c>
      <c r="K5590" s="19" t="s">
        <v>282</v>
      </c>
      <c r="L5590" s="19" t="s">
        <v>41</v>
      </c>
      <c r="M5590" s="19" t="s">
        <v>6</v>
      </c>
      <c r="N5590" t="b">
        <v>0</v>
      </c>
      <c r="O5590">
        <v>0</v>
      </c>
      <c r="P5590">
        <v>1</v>
      </c>
      <c r="Q5590">
        <v>0</v>
      </c>
      <c r="R5590">
        <v>0</v>
      </c>
    </row>
    <row r="5591" spans="1:18" x14ac:dyDescent="0.35">
      <c r="A5591" s="19" t="s">
        <v>41</v>
      </c>
      <c r="B5591" s="19" t="s">
        <v>6</v>
      </c>
      <c r="C5591">
        <v>4</v>
      </c>
      <c r="D5591">
        <v>3</v>
      </c>
      <c r="E5591">
        <v>1</v>
      </c>
      <c r="F5591" s="15">
        <v>46245</v>
      </c>
      <c r="G5591" s="19" t="s">
        <v>673</v>
      </c>
      <c r="H5591">
        <v>4</v>
      </c>
      <c r="I5591">
        <v>2026</v>
      </c>
      <c r="J5591">
        <v>8</v>
      </c>
      <c r="K5591" s="19" t="s">
        <v>282</v>
      </c>
      <c r="L5591" s="19" t="s">
        <v>13</v>
      </c>
      <c r="M5591" s="19" t="s">
        <v>6</v>
      </c>
      <c r="N5591" t="b">
        <v>0</v>
      </c>
      <c r="O5591">
        <v>0</v>
      </c>
      <c r="P5591">
        <v>1</v>
      </c>
      <c r="Q5591">
        <v>0</v>
      </c>
      <c r="R5591">
        <v>0</v>
      </c>
    </row>
    <row r="5592" spans="1:18" x14ac:dyDescent="0.35">
      <c r="A5592" s="19" t="s">
        <v>41</v>
      </c>
      <c r="B5592" s="19" t="s">
        <v>6</v>
      </c>
      <c r="C5592">
        <v>4</v>
      </c>
      <c r="D5592">
        <v>3</v>
      </c>
      <c r="E5592">
        <v>1</v>
      </c>
      <c r="F5592" s="15">
        <v>46245</v>
      </c>
      <c r="G5592" s="19" t="s">
        <v>673</v>
      </c>
      <c r="H5592">
        <v>4</v>
      </c>
      <c r="I5592">
        <v>2026</v>
      </c>
      <c r="J5592">
        <v>8</v>
      </c>
      <c r="K5592" s="19" t="s">
        <v>282</v>
      </c>
      <c r="L5592" s="19" t="s">
        <v>15</v>
      </c>
      <c r="M5592" s="19" t="s">
        <v>8</v>
      </c>
      <c r="N5592" t="b">
        <v>0</v>
      </c>
      <c r="O5592">
        <v>0</v>
      </c>
      <c r="P5592">
        <v>1</v>
      </c>
      <c r="Q5592">
        <v>0</v>
      </c>
      <c r="R5592">
        <v>1</v>
      </c>
    </row>
    <row r="5593" spans="1:18" x14ac:dyDescent="0.35">
      <c r="A5593" s="19" t="s">
        <v>41</v>
      </c>
      <c r="B5593" s="19" t="s">
        <v>6</v>
      </c>
      <c r="C5593">
        <v>4</v>
      </c>
      <c r="D5593">
        <v>3</v>
      </c>
      <c r="E5593">
        <v>1</v>
      </c>
      <c r="F5593" s="15">
        <v>46245</v>
      </c>
      <c r="G5593" s="19" t="s">
        <v>673</v>
      </c>
      <c r="H5593">
        <v>4</v>
      </c>
      <c r="I5593">
        <v>2026</v>
      </c>
      <c r="J5593">
        <v>8</v>
      </c>
      <c r="K5593" s="19" t="s">
        <v>282</v>
      </c>
      <c r="L5593" s="19" t="s">
        <v>17</v>
      </c>
      <c r="M5593" s="19" t="s">
        <v>6</v>
      </c>
      <c r="N5593" t="b">
        <v>0</v>
      </c>
      <c r="O5593">
        <v>0</v>
      </c>
      <c r="P5593">
        <v>1</v>
      </c>
      <c r="Q5593">
        <v>0</v>
      </c>
      <c r="R5593">
        <v>0</v>
      </c>
    </row>
    <row r="5594" spans="1:18" x14ac:dyDescent="0.35">
      <c r="A5594" s="19" t="s">
        <v>567</v>
      </c>
      <c r="B5594" s="19" t="s">
        <v>63</v>
      </c>
      <c r="C5594">
        <v>1</v>
      </c>
      <c r="D5594">
        <v>4</v>
      </c>
      <c r="E5594">
        <v>1</v>
      </c>
      <c r="F5594" s="15">
        <v>46245</v>
      </c>
      <c r="G5594" s="19" t="s">
        <v>674</v>
      </c>
      <c r="H5594">
        <v>4</v>
      </c>
      <c r="I5594">
        <v>2026</v>
      </c>
      <c r="J5594">
        <v>8</v>
      </c>
      <c r="K5594" s="19" t="s">
        <v>282</v>
      </c>
      <c r="L5594" s="19" t="s">
        <v>464</v>
      </c>
      <c r="M5594" s="19" t="s">
        <v>63</v>
      </c>
      <c r="N5594" t="b">
        <v>0</v>
      </c>
      <c r="O5594">
        <v>0</v>
      </c>
      <c r="P5594">
        <v>0</v>
      </c>
      <c r="Q5594">
        <v>1</v>
      </c>
      <c r="R5594">
        <v>0</v>
      </c>
    </row>
    <row r="5595" spans="1:18" x14ac:dyDescent="0.35">
      <c r="A5595" s="19" t="s">
        <v>567</v>
      </c>
      <c r="B5595" s="19" t="s">
        <v>63</v>
      </c>
      <c r="C5595">
        <v>1</v>
      </c>
      <c r="D5595">
        <v>4</v>
      </c>
      <c r="E5595">
        <v>1</v>
      </c>
      <c r="F5595" s="15">
        <v>46245</v>
      </c>
      <c r="G5595" s="19" t="s">
        <v>674</v>
      </c>
      <c r="H5595">
        <v>4</v>
      </c>
      <c r="I5595">
        <v>2026</v>
      </c>
      <c r="J5595">
        <v>8</v>
      </c>
      <c r="K5595" s="19" t="s">
        <v>282</v>
      </c>
      <c r="L5595" s="19" t="s">
        <v>20</v>
      </c>
      <c r="M5595" s="19" t="s">
        <v>63</v>
      </c>
      <c r="N5595" t="b">
        <v>0</v>
      </c>
      <c r="O5595">
        <v>0</v>
      </c>
      <c r="P5595">
        <v>0</v>
      </c>
      <c r="Q5595">
        <v>1</v>
      </c>
      <c r="R5595">
        <v>0</v>
      </c>
    </row>
    <row r="5596" spans="1:18" x14ac:dyDescent="0.35">
      <c r="A5596" s="19" t="s">
        <v>567</v>
      </c>
      <c r="B5596" s="19" t="s">
        <v>63</v>
      </c>
      <c r="C5596">
        <v>1</v>
      </c>
      <c r="D5596">
        <v>4</v>
      </c>
      <c r="E5596">
        <v>1</v>
      </c>
      <c r="F5596" s="15">
        <v>46245</v>
      </c>
      <c r="G5596" s="19" t="s">
        <v>674</v>
      </c>
      <c r="H5596">
        <v>4</v>
      </c>
      <c r="I5596">
        <v>2026</v>
      </c>
      <c r="J5596">
        <v>8</v>
      </c>
      <c r="K5596" s="19" t="s">
        <v>282</v>
      </c>
      <c r="L5596" s="19" t="s">
        <v>51</v>
      </c>
      <c r="M5596" s="19" t="s">
        <v>63</v>
      </c>
      <c r="N5596" t="b">
        <v>0</v>
      </c>
      <c r="O5596">
        <v>0</v>
      </c>
      <c r="P5596">
        <v>0</v>
      </c>
      <c r="Q5596">
        <v>1</v>
      </c>
      <c r="R5596">
        <v>0</v>
      </c>
    </row>
    <row r="5597" spans="1:18" x14ac:dyDescent="0.35">
      <c r="A5597" s="19" t="s">
        <v>464</v>
      </c>
      <c r="B5597" s="19" t="s">
        <v>63</v>
      </c>
      <c r="C5597">
        <v>2</v>
      </c>
      <c r="D5597">
        <v>4</v>
      </c>
      <c r="E5597">
        <v>1</v>
      </c>
      <c r="F5597" s="15">
        <v>46245</v>
      </c>
      <c r="G5597" s="19" t="s">
        <v>674</v>
      </c>
      <c r="H5597">
        <v>4</v>
      </c>
      <c r="I5597">
        <v>2026</v>
      </c>
      <c r="J5597">
        <v>8</v>
      </c>
      <c r="K5597" s="19" t="s">
        <v>282</v>
      </c>
      <c r="L5597" s="19" t="s">
        <v>567</v>
      </c>
      <c r="M5597" s="19" t="s">
        <v>63</v>
      </c>
      <c r="N5597" t="b">
        <v>0</v>
      </c>
      <c r="O5597">
        <v>0</v>
      </c>
      <c r="P5597">
        <v>0</v>
      </c>
      <c r="Q5597">
        <v>1</v>
      </c>
      <c r="R5597">
        <v>0</v>
      </c>
    </row>
    <row r="5598" spans="1:18" x14ac:dyDescent="0.35">
      <c r="A5598" s="19" t="s">
        <v>464</v>
      </c>
      <c r="B5598" s="19" t="s">
        <v>63</v>
      </c>
      <c r="C5598">
        <v>2</v>
      </c>
      <c r="D5598">
        <v>4</v>
      </c>
      <c r="E5598">
        <v>1</v>
      </c>
      <c r="F5598" s="15">
        <v>46245</v>
      </c>
      <c r="G5598" s="19" t="s">
        <v>674</v>
      </c>
      <c r="H5598">
        <v>4</v>
      </c>
      <c r="I5598">
        <v>2026</v>
      </c>
      <c r="J5598">
        <v>8</v>
      </c>
      <c r="K5598" s="19" t="s">
        <v>282</v>
      </c>
      <c r="L5598" s="19" t="s">
        <v>20</v>
      </c>
      <c r="M5598" s="19" t="s">
        <v>63</v>
      </c>
      <c r="N5598" t="b">
        <v>0</v>
      </c>
      <c r="O5598">
        <v>0</v>
      </c>
      <c r="P5598">
        <v>0</v>
      </c>
      <c r="Q5598">
        <v>1</v>
      </c>
      <c r="R5598">
        <v>0</v>
      </c>
    </row>
    <row r="5599" spans="1:18" x14ac:dyDescent="0.35">
      <c r="A5599" s="19" t="s">
        <v>464</v>
      </c>
      <c r="B5599" s="19" t="s">
        <v>63</v>
      </c>
      <c r="C5599">
        <v>2</v>
      </c>
      <c r="D5599">
        <v>4</v>
      </c>
      <c r="E5599">
        <v>1</v>
      </c>
      <c r="F5599" s="15">
        <v>46245</v>
      </c>
      <c r="G5599" s="19" t="s">
        <v>674</v>
      </c>
      <c r="H5599">
        <v>4</v>
      </c>
      <c r="I5599">
        <v>2026</v>
      </c>
      <c r="J5599">
        <v>8</v>
      </c>
      <c r="K5599" s="19" t="s">
        <v>282</v>
      </c>
      <c r="L5599" s="19" t="s">
        <v>51</v>
      </c>
      <c r="M5599" s="19" t="s">
        <v>63</v>
      </c>
      <c r="N5599" t="b">
        <v>0</v>
      </c>
      <c r="O5599">
        <v>0</v>
      </c>
      <c r="P5599">
        <v>0</v>
      </c>
      <c r="Q5599">
        <v>1</v>
      </c>
      <c r="R5599">
        <v>0</v>
      </c>
    </row>
    <row r="5600" spans="1:18" x14ac:dyDescent="0.35">
      <c r="A5600" s="19" t="s">
        <v>20</v>
      </c>
      <c r="B5600" s="19" t="s">
        <v>63</v>
      </c>
      <c r="C5600">
        <v>3</v>
      </c>
      <c r="D5600">
        <v>4</v>
      </c>
      <c r="E5600">
        <v>1</v>
      </c>
      <c r="F5600" s="15">
        <v>46245</v>
      </c>
      <c r="G5600" s="19" t="s">
        <v>674</v>
      </c>
      <c r="H5600">
        <v>4</v>
      </c>
      <c r="I5600">
        <v>2026</v>
      </c>
      <c r="J5600">
        <v>8</v>
      </c>
      <c r="K5600" s="19" t="s">
        <v>282</v>
      </c>
      <c r="L5600" s="19" t="s">
        <v>567</v>
      </c>
      <c r="M5600" s="19" t="s">
        <v>63</v>
      </c>
      <c r="N5600" t="b">
        <v>0</v>
      </c>
      <c r="O5600">
        <v>0</v>
      </c>
      <c r="P5600">
        <v>0</v>
      </c>
      <c r="Q5600">
        <v>1</v>
      </c>
      <c r="R5600">
        <v>0</v>
      </c>
    </row>
    <row r="5601" spans="1:18" x14ac:dyDescent="0.35">
      <c r="A5601" s="19" t="s">
        <v>20</v>
      </c>
      <c r="B5601" s="19" t="s">
        <v>63</v>
      </c>
      <c r="C5601">
        <v>3</v>
      </c>
      <c r="D5601">
        <v>4</v>
      </c>
      <c r="E5601">
        <v>1</v>
      </c>
      <c r="F5601" s="15">
        <v>46245</v>
      </c>
      <c r="G5601" s="19" t="s">
        <v>674</v>
      </c>
      <c r="H5601">
        <v>4</v>
      </c>
      <c r="I5601">
        <v>2026</v>
      </c>
      <c r="J5601">
        <v>8</v>
      </c>
      <c r="K5601" s="19" t="s">
        <v>282</v>
      </c>
      <c r="L5601" s="19" t="s">
        <v>464</v>
      </c>
      <c r="M5601" s="19" t="s">
        <v>63</v>
      </c>
      <c r="N5601" t="b">
        <v>0</v>
      </c>
      <c r="O5601">
        <v>0</v>
      </c>
      <c r="P5601">
        <v>0</v>
      </c>
      <c r="Q5601">
        <v>1</v>
      </c>
      <c r="R5601">
        <v>0</v>
      </c>
    </row>
    <row r="5602" spans="1:18" x14ac:dyDescent="0.35">
      <c r="A5602" s="19" t="s">
        <v>20</v>
      </c>
      <c r="B5602" s="19" t="s">
        <v>63</v>
      </c>
      <c r="C5602">
        <v>3</v>
      </c>
      <c r="D5602">
        <v>4</v>
      </c>
      <c r="E5602">
        <v>1</v>
      </c>
      <c r="F5602" s="15">
        <v>46245</v>
      </c>
      <c r="G5602" s="19" t="s">
        <v>674</v>
      </c>
      <c r="H5602">
        <v>4</v>
      </c>
      <c r="I5602">
        <v>2026</v>
      </c>
      <c r="J5602">
        <v>8</v>
      </c>
      <c r="K5602" s="19" t="s">
        <v>282</v>
      </c>
      <c r="L5602" s="19" t="s">
        <v>51</v>
      </c>
      <c r="M5602" s="19" t="s">
        <v>63</v>
      </c>
      <c r="N5602" t="b">
        <v>0</v>
      </c>
      <c r="O5602">
        <v>0</v>
      </c>
      <c r="P5602">
        <v>0</v>
      </c>
      <c r="Q5602">
        <v>1</v>
      </c>
      <c r="R5602">
        <v>0</v>
      </c>
    </row>
    <row r="5603" spans="1:18" x14ac:dyDescent="0.35">
      <c r="A5603" s="19" t="s">
        <v>51</v>
      </c>
      <c r="B5603" s="19" t="s">
        <v>63</v>
      </c>
      <c r="C5603">
        <v>4</v>
      </c>
      <c r="D5603">
        <v>4</v>
      </c>
      <c r="E5603">
        <v>1</v>
      </c>
      <c r="F5603" s="15">
        <v>46245</v>
      </c>
      <c r="G5603" s="19" t="s">
        <v>674</v>
      </c>
      <c r="H5603">
        <v>4</v>
      </c>
      <c r="I5603">
        <v>2026</v>
      </c>
      <c r="J5603">
        <v>8</v>
      </c>
      <c r="K5603" s="19" t="s">
        <v>282</v>
      </c>
      <c r="L5603" s="19" t="s">
        <v>567</v>
      </c>
      <c r="M5603" s="19" t="s">
        <v>63</v>
      </c>
      <c r="N5603" t="b">
        <v>0</v>
      </c>
      <c r="O5603">
        <v>0</v>
      </c>
      <c r="P5603">
        <v>0</v>
      </c>
      <c r="Q5603">
        <v>1</v>
      </c>
      <c r="R5603">
        <v>0</v>
      </c>
    </row>
    <row r="5604" spans="1:18" x14ac:dyDescent="0.35">
      <c r="A5604" s="19" t="s">
        <v>51</v>
      </c>
      <c r="B5604" s="19" t="s">
        <v>63</v>
      </c>
      <c r="C5604">
        <v>4</v>
      </c>
      <c r="D5604">
        <v>4</v>
      </c>
      <c r="E5604">
        <v>1</v>
      </c>
      <c r="F5604" s="15">
        <v>46245</v>
      </c>
      <c r="G5604" s="19" t="s">
        <v>674</v>
      </c>
      <c r="H5604">
        <v>4</v>
      </c>
      <c r="I5604">
        <v>2026</v>
      </c>
      <c r="J5604">
        <v>8</v>
      </c>
      <c r="K5604" s="19" t="s">
        <v>282</v>
      </c>
      <c r="L5604" s="19" t="s">
        <v>464</v>
      </c>
      <c r="M5604" s="19" t="s">
        <v>63</v>
      </c>
      <c r="N5604" t="b">
        <v>0</v>
      </c>
      <c r="O5604">
        <v>0</v>
      </c>
      <c r="P5604">
        <v>0</v>
      </c>
      <c r="Q5604">
        <v>1</v>
      </c>
      <c r="R5604">
        <v>0</v>
      </c>
    </row>
    <row r="5605" spans="1:18" x14ac:dyDescent="0.35">
      <c r="A5605" s="19" t="s">
        <v>51</v>
      </c>
      <c r="B5605" s="19" t="s">
        <v>63</v>
      </c>
      <c r="C5605">
        <v>4</v>
      </c>
      <c r="D5605">
        <v>4</v>
      </c>
      <c r="E5605">
        <v>1</v>
      </c>
      <c r="F5605" s="15">
        <v>46245</v>
      </c>
      <c r="G5605" s="19" t="s">
        <v>674</v>
      </c>
      <c r="H5605">
        <v>4</v>
      </c>
      <c r="I5605">
        <v>2026</v>
      </c>
      <c r="J5605">
        <v>8</v>
      </c>
      <c r="K5605" s="19" t="s">
        <v>282</v>
      </c>
      <c r="L5605" s="19" t="s">
        <v>20</v>
      </c>
      <c r="M5605" s="19" t="s">
        <v>63</v>
      </c>
      <c r="N5605" t="b">
        <v>0</v>
      </c>
      <c r="O5605">
        <v>0</v>
      </c>
      <c r="P5605">
        <v>0</v>
      </c>
      <c r="Q5605">
        <v>1</v>
      </c>
      <c r="R5605">
        <v>0</v>
      </c>
    </row>
    <row r="5606" spans="1:18" x14ac:dyDescent="0.35">
      <c r="A5606" s="19" t="s">
        <v>19</v>
      </c>
      <c r="B5606" s="19" t="s">
        <v>63</v>
      </c>
      <c r="C5606">
        <v>1</v>
      </c>
      <c r="D5606">
        <v>5</v>
      </c>
      <c r="E5606">
        <v>1</v>
      </c>
      <c r="F5606" s="15">
        <v>46245</v>
      </c>
      <c r="G5606" s="19" t="s">
        <v>675</v>
      </c>
      <c r="H5606">
        <v>3</v>
      </c>
      <c r="I5606">
        <v>2026</v>
      </c>
      <c r="J5606">
        <v>8</v>
      </c>
      <c r="K5606" s="19" t="s">
        <v>282</v>
      </c>
      <c r="L5606" s="19" t="s">
        <v>28</v>
      </c>
      <c r="M5606" s="19" t="s">
        <v>63</v>
      </c>
      <c r="N5606" t="b">
        <v>0</v>
      </c>
      <c r="O5606">
        <v>0</v>
      </c>
      <c r="P5606">
        <v>0</v>
      </c>
      <c r="Q5606">
        <v>1</v>
      </c>
      <c r="R5606">
        <v>0</v>
      </c>
    </row>
    <row r="5607" spans="1:18" x14ac:dyDescent="0.35">
      <c r="A5607" s="19" t="s">
        <v>19</v>
      </c>
      <c r="B5607" s="19" t="s">
        <v>63</v>
      </c>
      <c r="C5607">
        <v>1</v>
      </c>
      <c r="D5607">
        <v>5</v>
      </c>
      <c r="E5607">
        <v>1</v>
      </c>
      <c r="F5607" s="15">
        <v>46245</v>
      </c>
      <c r="G5607" s="19" t="s">
        <v>675</v>
      </c>
      <c r="H5607">
        <v>3</v>
      </c>
      <c r="I5607">
        <v>2026</v>
      </c>
      <c r="J5607">
        <v>8</v>
      </c>
      <c r="K5607" s="19" t="s">
        <v>282</v>
      </c>
      <c r="L5607" s="19" t="s">
        <v>405</v>
      </c>
      <c r="M5607" s="19" t="s">
        <v>63</v>
      </c>
      <c r="N5607" t="b">
        <v>0</v>
      </c>
      <c r="O5607">
        <v>0</v>
      </c>
      <c r="P5607">
        <v>0</v>
      </c>
      <c r="Q5607">
        <v>1</v>
      </c>
      <c r="R5607">
        <v>0</v>
      </c>
    </row>
    <row r="5608" spans="1:18" x14ac:dyDescent="0.35">
      <c r="A5608" s="19" t="s">
        <v>28</v>
      </c>
      <c r="B5608" s="19" t="s">
        <v>63</v>
      </c>
      <c r="C5608">
        <v>2</v>
      </c>
      <c r="D5608">
        <v>5</v>
      </c>
      <c r="E5608">
        <v>1</v>
      </c>
      <c r="F5608" s="15">
        <v>46245</v>
      </c>
      <c r="G5608" s="19" t="s">
        <v>675</v>
      </c>
      <c r="H5608">
        <v>3</v>
      </c>
      <c r="I5608">
        <v>2026</v>
      </c>
      <c r="J5608">
        <v>8</v>
      </c>
      <c r="K5608" s="19" t="s">
        <v>282</v>
      </c>
      <c r="L5608" s="19" t="s">
        <v>19</v>
      </c>
      <c r="M5608" s="19" t="s">
        <v>63</v>
      </c>
      <c r="N5608" t="b">
        <v>0</v>
      </c>
      <c r="O5608">
        <v>0</v>
      </c>
      <c r="P5608">
        <v>0</v>
      </c>
      <c r="Q5608">
        <v>1</v>
      </c>
      <c r="R5608">
        <v>0</v>
      </c>
    </row>
    <row r="5609" spans="1:18" x14ac:dyDescent="0.35">
      <c r="A5609" s="19" t="s">
        <v>28</v>
      </c>
      <c r="B5609" s="19" t="s">
        <v>63</v>
      </c>
      <c r="C5609">
        <v>2</v>
      </c>
      <c r="D5609">
        <v>5</v>
      </c>
      <c r="E5609">
        <v>1</v>
      </c>
      <c r="F5609" s="15">
        <v>46245</v>
      </c>
      <c r="G5609" s="19" t="s">
        <v>675</v>
      </c>
      <c r="H5609">
        <v>3</v>
      </c>
      <c r="I5609">
        <v>2026</v>
      </c>
      <c r="J5609">
        <v>8</v>
      </c>
      <c r="K5609" s="19" t="s">
        <v>282</v>
      </c>
      <c r="L5609" s="19" t="s">
        <v>405</v>
      </c>
      <c r="M5609" s="19" t="s">
        <v>63</v>
      </c>
      <c r="N5609" t="b">
        <v>0</v>
      </c>
      <c r="O5609">
        <v>0</v>
      </c>
      <c r="P5609">
        <v>0</v>
      </c>
      <c r="Q5609">
        <v>1</v>
      </c>
      <c r="R5609">
        <v>0</v>
      </c>
    </row>
    <row r="5610" spans="1:18" x14ac:dyDescent="0.35">
      <c r="A5610" s="19" t="s">
        <v>405</v>
      </c>
      <c r="B5610" s="19" t="s">
        <v>63</v>
      </c>
      <c r="C5610">
        <v>3</v>
      </c>
      <c r="D5610">
        <v>5</v>
      </c>
      <c r="E5610">
        <v>1</v>
      </c>
      <c r="F5610" s="15">
        <v>46245</v>
      </c>
      <c r="G5610" s="19" t="s">
        <v>675</v>
      </c>
      <c r="H5610">
        <v>3</v>
      </c>
      <c r="I5610">
        <v>2026</v>
      </c>
      <c r="J5610">
        <v>8</v>
      </c>
      <c r="K5610" s="19" t="s">
        <v>282</v>
      </c>
      <c r="L5610" s="19" t="s">
        <v>19</v>
      </c>
      <c r="M5610" s="19" t="s">
        <v>63</v>
      </c>
      <c r="N5610" t="b">
        <v>0</v>
      </c>
      <c r="O5610">
        <v>0</v>
      </c>
      <c r="P5610">
        <v>0</v>
      </c>
      <c r="Q5610">
        <v>1</v>
      </c>
      <c r="R5610">
        <v>0</v>
      </c>
    </row>
    <row r="5611" spans="1:18" x14ac:dyDescent="0.35">
      <c r="A5611" s="19" t="s">
        <v>405</v>
      </c>
      <c r="B5611" s="19" t="s">
        <v>63</v>
      </c>
      <c r="C5611">
        <v>3</v>
      </c>
      <c r="D5611">
        <v>5</v>
      </c>
      <c r="E5611">
        <v>1</v>
      </c>
      <c r="F5611" s="15">
        <v>46245</v>
      </c>
      <c r="G5611" s="19" t="s">
        <v>675</v>
      </c>
      <c r="H5611">
        <v>3</v>
      </c>
      <c r="I5611">
        <v>2026</v>
      </c>
      <c r="J5611">
        <v>8</v>
      </c>
      <c r="K5611" s="19" t="s">
        <v>282</v>
      </c>
      <c r="L5611" s="19" t="s">
        <v>28</v>
      </c>
      <c r="M5611" s="19" t="s">
        <v>63</v>
      </c>
      <c r="N5611" t="b">
        <v>0</v>
      </c>
      <c r="O5611">
        <v>0</v>
      </c>
      <c r="P5611">
        <v>0</v>
      </c>
      <c r="Q5611">
        <v>1</v>
      </c>
      <c r="R5611">
        <v>0</v>
      </c>
    </row>
    <row r="5612" spans="1:18" x14ac:dyDescent="0.35">
      <c r="A5612" s="19" t="s">
        <v>325</v>
      </c>
      <c r="B5612" s="19" t="s">
        <v>8</v>
      </c>
      <c r="C5612">
        <v>1</v>
      </c>
      <c r="D5612">
        <v>6</v>
      </c>
      <c r="E5612">
        <v>1</v>
      </c>
      <c r="F5612" s="15">
        <v>46245</v>
      </c>
      <c r="G5612" s="19" t="s">
        <v>676</v>
      </c>
      <c r="H5612">
        <v>3</v>
      </c>
      <c r="I5612">
        <v>2026</v>
      </c>
      <c r="J5612">
        <v>8</v>
      </c>
      <c r="K5612" s="19" t="s">
        <v>282</v>
      </c>
      <c r="L5612" s="19" t="s">
        <v>609</v>
      </c>
      <c r="M5612" s="19" t="s">
        <v>6</v>
      </c>
      <c r="N5612" t="b">
        <v>0</v>
      </c>
      <c r="O5612">
        <v>1</v>
      </c>
      <c r="P5612">
        <v>0</v>
      </c>
      <c r="Q5612">
        <v>0</v>
      </c>
      <c r="R5612">
        <v>0</v>
      </c>
    </row>
    <row r="5613" spans="1:18" x14ac:dyDescent="0.35">
      <c r="A5613" s="19" t="s">
        <v>325</v>
      </c>
      <c r="B5613" s="19" t="s">
        <v>8</v>
      </c>
      <c r="C5613">
        <v>1</v>
      </c>
      <c r="D5613">
        <v>6</v>
      </c>
      <c r="E5613">
        <v>1</v>
      </c>
      <c r="F5613" s="15">
        <v>46245</v>
      </c>
      <c r="G5613" s="19" t="s">
        <v>676</v>
      </c>
      <c r="H5613">
        <v>3</v>
      </c>
      <c r="I5613">
        <v>2026</v>
      </c>
      <c r="J5613">
        <v>8</v>
      </c>
      <c r="K5613" s="19" t="s">
        <v>282</v>
      </c>
      <c r="L5613" s="19" t="s">
        <v>433</v>
      </c>
      <c r="M5613" s="19" t="s">
        <v>6</v>
      </c>
      <c r="N5613" t="b">
        <v>0</v>
      </c>
      <c r="O5613">
        <v>1</v>
      </c>
      <c r="P5613">
        <v>0</v>
      </c>
      <c r="Q5613">
        <v>0</v>
      </c>
      <c r="R5613">
        <v>0</v>
      </c>
    </row>
    <row r="5614" spans="1:18" x14ac:dyDescent="0.35">
      <c r="A5614" s="19" t="s">
        <v>609</v>
      </c>
      <c r="B5614" s="19" t="s">
        <v>6</v>
      </c>
      <c r="C5614">
        <v>2</v>
      </c>
      <c r="D5614">
        <v>6</v>
      </c>
      <c r="E5614">
        <v>1</v>
      </c>
      <c r="F5614" s="15">
        <v>46245</v>
      </c>
      <c r="G5614" s="19" t="s">
        <v>676</v>
      </c>
      <c r="H5614">
        <v>3</v>
      </c>
      <c r="I5614">
        <v>2026</v>
      </c>
      <c r="J5614">
        <v>8</v>
      </c>
      <c r="K5614" s="19" t="s">
        <v>282</v>
      </c>
      <c r="L5614" s="19" t="s">
        <v>325</v>
      </c>
      <c r="M5614" s="19" t="s">
        <v>8</v>
      </c>
      <c r="N5614" t="b">
        <v>0</v>
      </c>
      <c r="O5614">
        <v>0</v>
      </c>
      <c r="P5614">
        <v>1</v>
      </c>
      <c r="Q5614">
        <v>0</v>
      </c>
      <c r="R5614">
        <v>1</v>
      </c>
    </row>
    <row r="5615" spans="1:18" x14ac:dyDescent="0.35">
      <c r="A5615" s="19" t="s">
        <v>609</v>
      </c>
      <c r="B5615" s="19" t="s">
        <v>6</v>
      </c>
      <c r="C5615">
        <v>2</v>
      </c>
      <c r="D5615">
        <v>6</v>
      </c>
      <c r="E5615">
        <v>1</v>
      </c>
      <c r="F5615" s="15">
        <v>46245</v>
      </c>
      <c r="G5615" s="19" t="s">
        <v>676</v>
      </c>
      <c r="H5615">
        <v>3</v>
      </c>
      <c r="I5615">
        <v>2026</v>
      </c>
      <c r="J5615">
        <v>8</v>
      </c>
      <c r="K5615" s="19" t="s">
        <v>282</v>
      </c>
      <c r="L5615" s="19" t="s">
        <v>433</v>
      </c>
      <c r="M5615" s="19" t="s">
        <v>6</v>
      </c>
      <c r="N5615" t="b">
        <v>0</v>
      </c>
      <c r="O5615">
        <v>0</v>
      </c>
      <c r="P5615">
        <v>1</v>
      </c>
      <c r="Q5615">
        <v>0</v>
      </c>
      <c r="R5615">
        <v>0</v>
      </c>
    </row>
    <row r="5616" spans="1:18" x14ac:dyDescent="0.35">
      <c r="A5616" s="19" t="s">
        <v>433</v>
      </c>
      <c r="B5616" s="19" t="s">
        <v>6</v>
      </c>
      <c r="C5616">
        <v>3</v>
      </c>
      <c r="D5616">
        <v>6</v>
      </c>
      <c r="E5616">
        <v>1</v>
      </c>
      <c r="F5616" s="15">
        <v>46245</v>
      </c>
      <c r="G5616" s="19" t="s">
        <v>676</v>
      </c>
      <c r="H5616">
        <v>3</v>
      </c>
      <c r="I5616">
        <v>2026</v>
      </c>
      <c r="J5616">
        <v>8</v>
      </c>
      <c r="K5616" s="19" t="s">
        <v>282</v>
      </c>
      <c r="L5616" s="19" t="s">
        <v>325</v>
      </c>
      <c r="M5616" s="19" t="s">
        <v>8</v>
      </c>
      <c r="N5616" t="b">
        <v>0</v>
      </c>
      <c r="O5616">
        <v>0</v>
      </c>
      <c r="P5616">
        <v>1</v>
      </c>
      <c r="Q5616">
        <v>0</v>
      </c>
      <c r="R5616">
        <v>1</v>
      </c>
    </row>
    <row r="5617" spans="1:18" x14ac:dyDescent="0.35">
      <c r="A5617" s="19" t="s">
        <v>433</v>
      </c>
      <c r="B5617" s="19" t="s">
        <v>6</v>
      </c>
      <c r="C5617">
        <v>3</v>
      </c>
      <c r="D5617">
        <v>6</v>
      </c>
      <c r="E5617">
        <v>1</v>
      </c>
      <c r="F5617" s="15">
        <v>46245</v>
      </c>
      <c r="G5617" s="19" t="s">
        <v>676</v>
      </c>
      <c r="H5617">
        <v>3</v>
      </c>
      <c r="I5617">
        <v>2026</v>
      </c>
      <c r="J5617">
        <v>8</v>
      </c>
      <c r="K5617" s="19" t="s">
        <v>282</v>
      </c>
      <c r="L5617" s="19" t="s">
        <v>609</v>
      </c>
      <c r="M5617" s="19" t="s">
        <v>6</v>
      </c>
      <c r="N5617" t="b">
        <v>0</v>
      </c>
      <c r="O5617">
        <v>0</v>
      </c>
      <c r="P5617">
        <v>1</v>
      </c>
      <c r="Q5617">
        <v>0</v>
      </c>
      <c r="R5617">
        <v>0</v>
      </c>
    </row>
    <row r="5618" spans="1:18" x14ac:dyDescent="0.35">
      <c r="A5618" s="19" t="s">
        <v>325</v>
      </c>
      <c r="B5618" s="19" t="s">
        <v>6</v>
      </c>
      <c r="C5618">
        <v>1</v>
      </c>
      <c r="D5618">
        <v>1</v>
      </c>
      <c r="E5618">
        <v>2</v>
      </c>
      <c r="F5618" s="15">
        <v>46245</v>
      </c>
      <c r="G5618" s="19" t="s">
        <v>677</v>
      </c>
      <c r="H5618">
        <v>4</v>
      </c>
      <c r="I5618">
        <v>2026</v>
      </c>
      <c r="J5618">
        <v>8</v>
      </c>
      <c r="K5618" s="19" t="s">
        <v>282</v>
      </c>
      <c r="L5618" s="19" t="s">
        <v>405</v>
      </c>
      <c r="M5618" s="19" t="s">
        <v>6</v>
      </c>
      <c r="N5618" t="b">
        <v>0</v>
      </c>
      <c r="O5618">
        <v>0</v>
      </c>
      <c r="P5618">
        <v>1</v>
      </c>
      <c r="Q5618">
        <v>0</v>
      </c>
      <c r="R5618">
        <v>0</v>
      </c>
    </row>
    <row r="5619" spans="1:18" x14ac:dyDescent="0.35">
      <c r="A5619" s="19" t="s">
        <v>325</v>
      </c>
      <c r="B5619" s="19" t="s">
        <v>6</v>
      </c>
      <c r="C5619">
        <v>1</v>
      </c>
      <c r="D5619">
        <v>1</v>
      </c>
      <c r="E5619">
        <v>2</v>
      </c>
      <c r="F5619" s="15">
        <v>46245</v>
      </c>
      <c r="G5619" s="19" t="s">
        <v>677</v>
      </c>
      <c r="H5619">
        <v>4</v>
      </c>
      <c r="I5619">
        <v>2026</v>
      </c>
      <c r="J5619">
        <v>8</v>
      </c>
      <c r="K5619" s="19" t="s">
        <v>282</v>
      </c>
      <c r="L5619" s="19" t="s">
        <v>567</v>
      </c>
      <c r="M5619" s="19" t="s">
        <v>6</v>
      </c>
      <c r="N5619" t="b">
        <v>0</v>
      </c>
      <c r="O5619">
        <v>0</v>
      </c>
      <c r="P5619">
        <v>1</v>
      </c>
      <c r="Q5619">
        <v>0</v>
      </c>
      <c r="R5619">
        <v>0</v>
      </c>
    </row>
    <row r="5620" spans="1:18" x14ac:dyDescent="0.35">
      <c r="A5620" s="19" t="s">
        <v>325</v>
      </c>
      <c r="B5620" s="19" t="s">
        <v>6</v>
      </c>
      <c r="C5620">
        <v>1</v>
      </c>
      <c r="D5620">
        <v>1</v>
      </c>
      <c r="E5620">
        <v>2</v>
      </c>
      <c r="F5620" s="15">
        <v>46245</v>
      </c>
      <c r="G5620" s="19" t="s">
        <v>677</v>
      </c>
      <c r="H5620">
        <v>4</v>
      </c>
      <c r="I5620">
        <v>2026</v>
      </c>
      <c r="J5620">
        <v>8</v>
      </c>
      <c r="K5620" s="19" t="s">
        <v>282</v>
      </c>
      <c r="L5620" s="19" t="s">
        <v>11</v>
      </c>
      <c r="M5620" s="19" t="s">
        <v>8</v>
      </c>
      <c r="N5620" t="b">
        <v>0</v>
      </c>
      <c r="O5620">
        <v>0</v>
      </c>
      <c r="P5620">
        <v>1</v>
      </c>
      <c r="Q5620">
        <v>0</v>
      </c>
      <c r="R5620">
        <v>1</v>
      </c>
    </row>
    <row r="5621" spans="1:18" x14ac:dyDescent="0.35">
      <c r="A5621" s="19" t="s">
        <v>405</v>
      </c>
      <c r="B5621" s="19" t="s">
        <v>6</v>
      </c>
      <c r="C5621">
        <v>2</v>
      </c>
      <c r="D5621">
        <v>1</v>
      </c>
      <c r="E5621">
        <v>2</v>
      </c>
      <c r="F5621" s="15">
        <v>46245</v>
      </c>
      <c r="G5621" s="19" t="s">
        <v>677</v>
      </c>
      <c r="H5621">
        <v>4</v>
      </c>
      <c r="I5621">
        <v>2026</v>
      </c>
      <c r="J5621">
        <v>8</v>
      </c>
      <c r="K5621" s="19" t="s">
        <v>282</v>
      </c>
      <c r="L5621" s="19" t="s">
        <v>325</v>
      </c>
      <c r="M5621" s="19" t="s">
        <v>6</v>
      </c>
      <c r="N5621" t="b">
        <v>0</v>
      </c>
      <c r="O5621">
        <v>0</v>
      </c>
      <c r="P5621">
        <v>1</v>
      </c>
      <c r="Q5621">
        <v>0</v>
      </c>
      <c r="R5621">
        <v>0</v>
      </c>
    </row>
    <row r="5622" spans="1:18" x14ac:dyDescent="0.35">
      <c r="A5622" s="19" t="s">
        <v>405</v>
      </c>
      <c r="B5622" s="19" t="s">
        <v>6</v>
      </c>
      <c r="C5622">
        <v>2</v>
      </c>
      <c r="D5622">
        <v>1</v>
      </c>
      <c r="E5622">
        <v>2</v>
      </c>
      <c r="F5622" s="15">
        <v>46245</v>
      </c>
      <c r="G5622" s="19" t="s">
        <v>677</v>
      </c>
      <c r="H5622">
        <v>4</v>
      </c>
      <c r="I5622">
        <v>2026</v>
      </c>
      <c r="J5622">
        <v>8</v>
      </c>
      <c r="K5622" s="19" t="s">
        <v>282</v>
      </c>
      <c r="L5622" s="19" t="s">
        <v>567</v>
      </c>
      <c r="M5622" s="19" t="s">
        <v>6</v>
      </c>
      <c r="N5622" t="b">
        <v>0</v>
      </c>
      <c r="O5622">
        <v>0</v>
      </c>
      <c r="P5622">
        <v>1</v>
      </c>
      <c r="Q5622">
        <v>0</v>
      </c>
      <c r="R5622">
        <v>0</v>
      </c>
    </row>
    <row r="5623" spans="1:18" x14ac:dyDescent="0.35">
      <c r="A5623" s="19" t="s">
        <v>405</v>
      </c>
      <c r="B5623" s="19" t="s">
        <v>6</v>
      </c>
      <c r="C5623">
        <v>2</v>
      </c>
      <c r="D5623">
        <v>1</v>
      </c>
      <c r="E5623">
        <v>2</v>
      </c>
      <c r="F5623" s="15">
        <v>46245</v>
      </c>
      <c r="G5623" s="19" t="s">
        <v>677</v>
      </c>
      <c r="H5623">
        <v>4</v>
      </c>
      <c r="I5623">
        <v>2026</v>
      </c>
      <c r="J5623">
        <v>8</v>
      </c>
      <c r="K5623" s="19" t="s">
        <v>282</v>
      </c>
      <c r="L5623" s="19" t="s">
        <v>11</v>
      </c>
      <c r="M5623" s="19" t="s">
        <v>8</v>
      </c>
      <c r="N5623" t="b">
        <v>0</v>
      </c>
      <c r="O5623">
        <v>0</v>
      </c>
      <c r="P5623">
        <v>1</v>
      </c>
      <c r="Q5623">
        <v>0</v>
      </c>
      <c r="R5623">
        <v>1</v>
      </c>
    </row>
    <row r="5624" spans="1:18" x14ac:dyDescent="0.35">
      <c r="A5624" s="19" t="s">
        <v>567</v>
      </c>
      <c r="B5624" s="19" t="s">
        <v>6</v>
      </c>
      <c r="C5624">
        <v>3</v>
      </c>
      <c r="D5624">
        <v>1</v>
      </c>
      <c r="E5624">
        <v>2</v>
      </c>
      <c r="F5624" s="15">
        <v>46245</v>
      </c>
      <c r="G5624" s="19" t="s">
        <v>677</v>
      </c>
      <c r="H5624">
        <v>4</v>
      </c>
      <c r="I5624">
        <v>2026</v>
      </c>
      <c r="J5624">
        <v>8</v>
      </c>
      <c r="K5624" s="19" t="s">
        <v>282</v>
      </c>
      <c r="L5624" s="19" t="s">
        <v>325</v>
      </c>
      <c r="M5624" s="19" t="s">
        <v>6</v>
      </c>
      <c r="N5624" t="b">
        <v>0</v>
      </c>
      <c r="O5624">
        <v>0</v>
      </c>
      <c r="P5624">
        <v>1</v>
      </c>
      <c r="Q5624">
        <v>0</v>
      </c>
      <c r="R5624">
        <v>0</v>
      </c>
    </row>
    <row r="5625" spans="1:18" x14ac:dyDescent="0.35">
      <c r="A5625" s="19" t="s">
        <v>567</v>
      </c>
      <c r="B5625" s="19" t="s">
        <v>6</v>
      </c>
      <c r="C5625">
        <v>3</v>
      </c>
      <c r="D5625">
        <v>1</v>
      </c>
      <c r="E5625">
        <v>2</v>
      </c>
      <c r="F5625" s="15">
        <v>46245</v>
      </c>
      <c r="G5625" s="19" t="s">
        <v>677</v>
      </c>
      <c r="H5625">
        <v>4</v>
      </c>
      <c r="I5625">
        <v>2026</v>
      </c>
      <c r="J5625">
        <v>8</v>
      </c>
      <c r="K5625" s="19" t="s">
        <v>282</v>
      </c>
      <c r="L5625" s="19" t="s">
        <v>405</v>
      </c>
      <c r="M5625" s="19" t="s">
        <v>6</v>
      </c>
      <c r="N5625" t="b">
        <v>0</v>
      </c>
      <c r="O5625">
        <v>0</v>
      </c>
      <c r="P5625">
        <v>1</v>
      </c>
      <c r="Q5625">
        <v>0</v>
      </c>
      <c r="R5625">
        <v>0</v>
      </c>
    </row>
    <row r="5626" spans="1:18" x14ac:dyDescent="0.35">
      <c r="A5626" s="19" t="s">
        <v>567</v>
      </c>
      <c r="B5626" s="19" t="s">
        <v>6</v>
      </c>
      <c r="C5626">
        <v>3</v>
      </c>
      <c r="D5626">
        <v>1</v>
      </c>
      <c r="E5626">
        <v>2</v>
      </c>
      <c r="F5626" s="15">
        <v>46245</v>
      </c>
      <c r="G5626" s="19" t="s">
        <v>677</v>
      </c>
      <c r="H5626">
        <v>4</v>
      </c>
      <c r="I5626">
        <v>2026</v>
      </c>
      <c r="J5626">
        <v>8</v>
      </c>
      <c r="K5626" s="19" t="s">
        <v>282</v>
      </c>
      <c r="L5626" s="19" t="s">
        <v>11</v>
      </c>
      <c r="M5626" s="19" t="s">
        <v>8</v>
      </c>
      <c r="N5626" t="b">
        <v>0</v>
      </c>
      <c r="O5626">
        <v>0</v>
      </c>
      <c r="P5626">
        <v>1</v>
      </c>
      <c r="Q5626">
        <v>0</v>
      </c>
      <c r="R5626">
        <v>1</v>
      </c>
    </row>
    <row r="5627" spans="1:18" x14ac:dyDescent="0.35">
      <c r="A5627" s="19" t="s">
        <v>11</v>
      </c>
      <c r="B5627" s="19" t="s">
        <v>8</v>
      </c>
      <c r="C5627">
        <v>4</v>
      </c>
      <c r="D5627">
        <v>1</v>
      </c>
      <c r="E5627">
        <v>2</v>
      </c>
      <c r="F5627" s="15">
        <v>46245</v>
      </c>
      <c r="G5627" s="19" t="s">
        <v>677</v>
      </c>
      <c r="H5627">
        <v>4</v>
      </c>
      <c r="I5627">
        <v>2026</v>
      </c>
      <c r="J5627">
        <v>8</v>
      </c>
      <c r="K5627" s="19" t="s">
        <v>282</v>
      </c>
      <c r="L5627" s="19" t="s">
        <v>325</v>
      </c>
      <c r="M5627" s="19" t="s">
        <v>6</v>
      </c>
      <c r="N5627" t="b">
        <v>0</v>
      </c>
      <c r="O5627">
        <v>1</v>
      </c>
      <c r="P5627">
        <v>0</v>
      </c>
      <c r="Q5627">
        <v>0</v>
      </c>
      <c r="R5627">
        <v>0</v>
      </c>
    </row>
    <row r="5628" spans="1:18" x14ac:dyDescent="0.35">
      <c r="A5628" s="19" t="s">
        <v>11</v>
      </c>
      <c r="B5628" s="19" t="s">
        <v>8</v>
      </c>
      <c r="C5628">
        <v>4</v>
      </c>
      <c r="D5628">
        <v>1</v>
      </c>
      <c r="E5628">
        <v>2</v>
      </c>
      <c r="F5628" s="15">
        <v>46245</v>
      </c>
      <c r="G5628" s="19" t="s">
        <v>677</v>
      </c>
      <c r="H5628">
        <v>4</v>
      </c>
      <c r="I5628">
        <v>2026</v>
      </c>
      <c r="J5628">
        <v>8</v>
      </c>
      <c r="K5628" s="19" t="s">
        <v>282</v>
      </c>
      <c r="L5628" s="19" t="s">
        <v>405</v>
      </c>
      <c r="M5628" s="19" t="s">
        <v>6</v>
      </c>
      <c r="N5628" t="b">
        <v>0</v>
      </c>
      <c r="O5628">
        <v>1</v>
      </c>
      <c r="P5628">
        <v>0</v>
      </c>
      <c r="Q5628">
        <v>0</v>
      </c>
      <c r="R5628">
        <v>0</v>
      </c>
    </row>
    <row r="5629" spans="1:18" x14ac:dyDescent="0.35">
      <c r="A5629" s="19" t="s">
        <v>11</v>
      </c>
      <c r="B5629" s="19" t="s">
        <v>8</v>
      </c>
      <c r="C5629">
        <v>4</v>
      </c>
      <c r="D5629">
        <v>1</v>
      </c>
      <c r="E5629">
        <v>2</v>
      </c>
      <c r="F5629" s="15">
        <v>46245</v>
      </c>
      <c r="G5629" s="19" t="s">
        <v>677</v>
      </c>
      <c r="H5629">
        <v>4</v>
      </c>
      <c r="I5629">
        <v>2026</v>
      </c>
      <c r="J5629">
        <v>8</v>
      </c>
      <c r="K5629" s="19" t="s">
        <v>282</v>
      </c>
      <c r="L5629" s="19" t="s">
        <v>567</v>
      </c>
      <c r="M5629" s="19" t="s">
        <v>6</v>
      </c>
      <c r="N5629" t="b">
        <v>0</v>
      </c>
      <c r="O5629">
        <v>1</v>
      </c>
      <c r="P5629">
        <v>0</v>
      </c>
      <c r="Q5629">
        <v>0</v>
      </c>
      <c r="R5629">
        <v>0</v>
      </c>
    </row>
    <row r="5630" spans="1:18" x14ac:dyDescent="0.35">
      <c r="A5630" s="19" t="s">
        <v>19</v>
      </c>
      <c r="B5630" s="19" t="s">
        <v>63</v>
      </c>
      <c r="C5630">
        <v>1</v>
      </c>
      <c r="D5630">
        <v>2</v>
      </c>
      <c r="E5630">
        <v>2</v>
      </c>
      <c r="F5630" s="15">
        <v>46245</v>
      </c>
      <c r="G5630" s="19" t="s">
        <v>678</v>
      </c>
      <c r="H5630">
        <v>4</v>
      </c>
      <c r="I5630">
        <v>2026</v>
      </c>
      <c r="J5630">
        <v>8</v>
      </c>
      <c r="K5630" s="19" t="s">
        <v>282</v>
      </c>
      <c r="L5630" s="19" t="s">
        <v>578</v>
      </c>
      <c r="M5630" s="19" t="s">
        <v>63</v>
      </c>
      <c r="N5630" t="b">
        <v>0</v>
      </c>
      <c r="O5630">
        <v>0</v>
      </c>
      <c r="P5630">
        <v>0</v>
      </c>
      <c r="Q5630">
        <v>1</v>
      </c>
      <c r="R5630">
        <v>0</v>
      </c>
    </row>
    <row r="5631" spans="1:18" x14ac:dyDescent="0.35">
      <c r="A5631" s="19" t="s">
        <v>19</v>
      </c>
      <c r="B5631" s="19" t="s">
        <v>63</v>
      </c>
      <c r="C5631">
        <v>1</v>
      </c>
      <c r="D5631">
        <v>2</v>
      </c>
      <c r="E5631">
        <v>2</v>
      </c>
      <c r="F5631" s="15">
        <v>46245</v>
      </c>
      <c r="G5631" s="19" t="s">
        <v>678</v>
      </c>
      <c r="H5631">
        <v>4</v>
      </c>
      <c r="I5631">
        <v>2026</v>
      </c>
      <c r="J5631">
        <v>8</v>
      </c>
      <c r="K5631" s="19" t="s">
        <v>282</v>
      </c>
      <c r="L5631" s="19" t="s">
        <v>51</v>
      </c>
      <c r="M5631" s="19" t="s">
        <v>63</v>
      </c>
      <c r="N5631" t="b">
        <v>0</v>
      </c>
      <c r="O5631">
        <v>0</v>
      </c>
      <c r="P5631">
        <v>0</v>
      </c>
      <c r="Q5631">
        <v>1</v>
      </c>
      <c r="R5631">
        <v>0</v>
      </c>
    </row>
    <row r="5632" spans="1:18" x14ac:dyDescent="0.35">
      <c r="A5632" s="19" t="s">
        <v>19</v>
      </c>
      <c r="B5632" s="19" t="s">
        <v>63</v>
      </c>
      <c r="C5632">
        <v>1</v>
      </c>
      <c r="D5632">
        <v>2</v>
      </c>
      <c r="E5632">
        <v>2</v>
      </c>
      <c r="F5632" s="15">
        <v>46245</v>
      </c>
      <c r="G5632" s="19" t="s">
        <v>678</v>
      </c>
      <c r="H5632">
        <v>4</v>
      </c>
      <c r="I5632">
        <v>2026</v>
      </c>
      <c r="J5632">
        <v>8</v>
      </c>
      <c r="K5632" s="19" t="s">
        <v>282</v>
      </c>
      <c r="L5632" s="19" t="s">
        <v>15</v>
      </c>
      <c r="M5632" s="19" t="s">
        <v>63</v>
      </c>
      <c r="N5632" t="b">
        <v>0</v>
      </c>
      <c r="O5632">
        <v>0</v>
      </c>
      <c r="P5632">
        <v>0</v>
      </c>
      <c r="Q5632">
        <v>1</v>
      </c>
      <c r="R5632">
        <v>0</v>
      </c>
    </row>
    <row r="5633" spans="1:18" x14ac:dyDescent="0.35">
      <c r="A5633" s="19" t="s">
        <v>578</v>
      </c>
      <c r="B5633" s="19" t="s">
        <v>63</v>
      </c>
      <c r="C5633">
        <v>2</v>
      </c>
      <c r="D5633">
        <v>2</v>
      </c>
      <c r="E5633">
        <v>2</v>
      </c>
      <c r="F5633" s="15">
        <v>46245</v>
      </c>
      <c r="G5633" s="19" t="s">
        <v>678</v>
      </c>
      <c r="H5633">
        <v>4</v>
      </c>
      <c r="I5633">
        <v>2026</v>
      </c>
      <c r="J5633">
        <v>8</v>
      </c>
      <c r="K5633" s="19" t="s">
        <v>282</v>
      </c>
      <c r="L5633" s="19" t="s">
        <v>19</v>
      </c>
      <c r="M5633" s="19" t="s">
        <v>63</v>
      </c>
      <c r="N5633" t="b">
        <v>0</v>
      </c>
      <c r="O5633">
        <v>0</v>
      </c>
      <c r="P5633">
        <v>0</v>
      </c>
      <c r="Q5633">
        <v>1</v>
      </c>
      <c r="R5633">
        <v>0</v>
      </c>
    </row>
    <row r="5634" spans="1:18" x14ac:dyDescent="0.35">
      <c r="A5634" s="19" t="s">
        <v>578</v>
      </c>
      <c r="B5634" s="19" t="s">
        <v>63</v>
      </c>
      <c r="C5634">
        <v>2</v>
      </c>
      <c r="D5634">
        <v>2</v>
      </c>
      <c r="E5634">
        <v>2</v>
      </c>
      <c r="F5634" s="15">
        <v>46245</v>
      </c>
      <c r="G5634" s="19" t="s">
        <v>678</v>
      </c>
      <c r="H5634">
        <v>4</v>
      </c>
      <c r="I5634">
        <v>2026</v>
      </c>
      <c r="J5634">
        <v>8</v>
      </c>
      <c r="K5634" s="19" t="s">
        <v>282</v>
      </c>
      <c r="L5634" s="19" t="s">
        <v>51</v>
      </c>
      <c r="M5634" s="19" t="s">
        <v>63</v>
      </c>
      <c r="N5634" t="b">
        <v>0</v>
      </c>
      <c r="O5634">
        <v>0</v>
      </c>
      <c r="P5634">
        <v>0</v>
      </c>
      <c r="Q5634">
        <v>1</v>
      </c>
      <c r="R5634">
        <v>0</v>
      </c>
    </row>
    <row r="5635" spans="1:18" x14ac:dyDescent="0.35">
      <c r="A5635" s="19" t="s">
        <v>578</v>
      </c>
      <c r="B5635" s="19" t="s">
        <v>63</v>
      </c>
      <c r="C5635">
        <v>2</v>
      </c>
      <c r="D5635">
        <v>2</v>
      </c>
      <c r="E5635">
        <v>2</v>
      </c>
      <c r="F5635" s="15">
        <v>46245</v>
      </c>
      <c r="G5635" s="19" t="s">
        <v>678</v>
      </c>
      <c r="H5635">
        <v>4</v>
      </c>
      <c r="I5635">
        <v>2026</v>
      </c>
      <c r="J5635">
        <v>8</v>
      </c>
      <c r="K5635" s="19" t="s">
        <v>282</v>
      </c>
      <c r="L5635" s="19" t="s">
        <v>15</v>
      </c>
      <c r="M5635" s="19" t="s">
        <v>63</v>
      </c>
      <c r="N5635" t="b">
        <v>0</v>
      </c>
      <c r="O5635">
        <v>0</v>
      </c>
      <c r="P5635">
        <v>0</v>
      </c>
      <c r="Q5635">
        <v>1</v>
      </c>
      <c r="R5635">
        <v>0</v>
      </c>
    </row>
    <row r="5636" spans="1:18" x14ac:dyDescent="0.35">
      <c r="A5636" s="19" t="s">
        <v>51</v>
      </c>
      <c r="B5636" s="19" t="s">
        <v>63</v>
      </c>
      <c r="C5636">
        <v>3</v>
      </c>
      <c r="D5636">
        <v>2</v>
      </c>
      <c r="E5636">
        <v>2</v>
      </c>
      <c r="F5636" s="15">
        <v>46245</v>
      </c>
      <c r="G5636" s="19" t="s">
        <v>678</v>
      </c>
      <c r="H5636">
        <v>4</v>
      </c>
      <c r="I5636">
        <v>2026</v>
      </c>
      <c r="J5636">
        <v>8</v>
      </c>
      <c r="K5636" s="19" t="s">
        <v>282</v>
      </c>
      <c r="L5636" s="19" t="s">
        <v>19</v>
      </c>
      <c r="M5636" s="19" t="s">
        <v>63</v>
      </c>
      <c r="N5636" t="b">
        <v>0</v>
      </c>
      <c r="O5636">
        <v>0</v>
      </c>
      <c r="P5636">
        <v>0</v>
      </c>
      <c r="Q5636">
        <v>1</v>
      </c>
      <c r="R5636">
        <v>0</v>
      </c>
    </row>
    <row r="5637" spans="1:18" x14ac:dyDescent="0.35">
      <c r="A5637" s="19" t="s">
        <v>51</v>
      </c>
      <c r="B5637" s="19" t="s">
        <v>63</v>
      </c>
      <c r="C5637">
        <v>3</v>
      </c>
      <c r="D5637">
        <v>2</v>
      </c>
      <c r="E5637">
        <v>2</v>
      </c>
      <c r="F5637" s="15">
        <v>46245</v>
      </c>
      <c r="G5637" s="19" t="s">
        <v>678</v>
      </c>
      <c r="H5637">
        <v>4</v>
      </c>
      <c r="I5637">
        <v>2026</v>
      </c>
      <c r="J5637">
        <v>8</v>
      </c>
      <c r="K5637" s="19" t="s">
        <v>282</v>
      </c>
      <c r="L5637" s="19" t="s">
        <v>578</v>
      </c>
      <c r="M5637" s="19" t="s">
        <v>63</v>
      </c>
      <c r="N5637" t="b">
        <v>0</v>
      </c>
      <c r="O5637">
        <v>0</v>
      </c>
      <c r="P5637">
        <v>0</v>
      </c>
      <c r="Q5637">
        <v>1</v>
      </c>
      <c r="R5637">
        <v>0</v>
      </c>
    </row>
    <row r="5638" spans="1:18" x14ac:dyDescent="0.35">
      <c r="A5638" s="19" t="s">
        <v>51</v>
      </c>
      <c r="B5638" s="19" t="s">
        <v>63</v>
      </c>
      <c r="C5638">
        <v>3</v>
      </c>
      <c r="D5638">
        <v>2</v>
      </c>
      <c r="E5638">
        <v>2</v>
      </c>
      <c r="F5638" s="15">
        <v>46245</v>
      </c>
      <c r="G5638" s="19" t="s">
        <v>678</v>
      </c>
      <c r="H5638">
        <v>4</v>
      </c>
      <c r="I5638">
        <v>2026</v>
      </c>
      <c r="J5638">
        <v>8</v>
      </c>
      <c r="K5638" s="19" t="s">
        <v>282</v>
      </c>
      <c r="L5638" s="19" t="s">
        <v>15</v>
      </c>
      <c r="M5638" s="19" t="s">
        <v>63</v>
      </c>
      <c r="N5638" t="b">
        <v>0</v>
      </c>
      <c r="O5638">
        <v>0</v>
      </c>
      <c r="P5638">
        <v>0</v>
      </c>
      <c r="Q5638">
        <v>1</v>
      </c>
      <c r="R5638">
        <v>0</v>
      </c>
    </row>
    <row r="5639" spans="1:18" x14ac:dyDescent="0.35">
      <c r="A5639" s="19" t="s">
        <v>15</v>
      </c>
      <c r="B5639" s="19" t="s">
        <v>63</v>
      </c>
      <c r="C5639">
        <v>4</v>
      </c>
      <c r="D5639">
        <v>2</v>
      </c>
      <c r="E5639">
        <v>2</v>
      </c>
      <c r="F5639" s="15">
        <v>46245</v>
      </c>
      <c r="G5639" s="19" t="s">
        <v>678</v>
      </c>
      <c r="H5639">
        <v>4</v>
      </c>
      <c r="I5639">
        <v>2026</v>
      </c>
      <c r="J5639">
        <v>8</v>
      </c>
      <c r="K5639" s="19" t="s">
        <v>282</v>
      </c>
      <c r="L5639" s="19" t="s">
        <v>19</v>
      </c>
      <c r="M5639" s="19" t="s">
        <v>63</v>
      </c>
      <c r="N5639" t="b">
        <v>0</v>
      </c>
      <c r="O5639">
        <v>0</v>
      </c>
      <c r="P5639">
        <v>0</v>
      </c>
      <c r="Q5639">
        <v>1</v>
      </c>
      <c r="R5639">
        <v>0</v>
      </c>
    </row>
    <row r="5640" spans="1:18" x14ac:dyDescent="0.35">
      <c r="A5640" s="19" t="s">
        <v>15</v>
      </c>
      <c r="B5640" s="19" t="s">
        <v>63</v>
      </c>
      <c r="C5640">
        <v>4</v>
      </c>
      <c r="D5640">
        <v>2</v>
      </c>
      <c r="E5640">
        <v>2</v>
      </c>
      <c r="F5640" s="15">
        <v>46245</v>
      </c>
      <c r="G5640" s="19" t="s">
        <v>678</v>
      </c>
      <c r="H5640">
        <v>4</v>
      </c>
      <c r="I5640">
        <v>2026</v>
      </c>
      <c r="J5640">
        <v>8</v>
      </c>
      <c r="K5640" s="19" t="s">
        <v>282</v>
      </c>
      <c r="L5640" s="19" t="s">
        <v>578</v>
      </c>
      <c r="M5640" s="19" t="s">
        <v>63</v>
      </c>
      <c r="N5640" t="b">
        <v>0</v>
      </c>
      <c r="O5640">
        <v>0</v>
      </c>
      <c r="P5640">
        <v>0</v>
      </c>
      <c r="Q5640">
        <v>1</v>
      </c>
      <c r="R5640">
        <v>0</v>
      </c>
    </row>
    <row r="5641" spans="1:18" x14ac:dyDescent="0.35">
      <c r="A5641" s="19" t="s">
        <v>15</v>
      </c>
      <c r="B5641" s="19" t="s">
        <v>63</v>
      </c>
      <c r="C5641">
        <v>4</v>
      </c>
      <c r="D5641">
        <v>2</v>
      </c>
      <c r="E5641">
        <v>2</v>
      </c>
      <c r="F5641" s="15">
        <v>46245</v>
      </c>
      <c r="G5641" s="19" t="s">
        <v>678</v>
      </c>
      <c r="H5641">
        <v>4</v>
      </c>
      <c r="I5641">
        <v>2026</v>
      </c>
      <c r="J5641">
        <v>8</v>
      </c>
      <c r="K5641" s="19" t="s">
        <v>282</v>
      </c>
      <c r="L5641" s="19" t="s">
        <v>51</v>
      </c>
      <c r="M5641" s="19" t="s">
        <v>63</v>
      </c>
      <c r="N5641" t="b">
        <v>0</v>
      </c>
      <c r="O5641">
        <v>0</v>
      </c>
      <c r="P5641">
        <v>0</v>
      </c>
      <c r="Q5641">
        <v>1</v>
      </c>
      <c r="R5641">
        <v>0</v>
      </c>
    </row>
    <row r="5642" spans="1:18" x14ac:dyDescent="0.35">
      <c r="A5642" s="19" t="s">
        <v>351</v>
      </c>
      <c r="B5642" s="19" t="s">
        <v>63</v>
      </c>
      <c r="C5642">
        <v>1</v>
      </c>
      <c r="D5642">
        <v>3</v>
      </c>
      <c r="E5642">
        <v>2</v>
      </c>
      <c r="F5642" s="15">
        <v>46245</v>
      </c>
      <c r="G5642" s="19" t="s">
        <v>679</v>
      </c>
      <c r="H5642">
        <v>4</v>
      </c>
      <c r="I5642">
        <v>2026</v>
      </c>
      <c r="J5642">
        <v>8</v>
      </c>
      <c r="K5642" s="19" t="s">
        <v>282</v>
      </c>
      <c r="L5642" s="19" t="s">
        <v>28</v>
      </c>
      <c r="M5642" s="19" t="s">
        <v>63</v>
      </c>
      <c r="N5642" t="b">
        <v>0</v>
      </c>
      <c r="O5642">
        <v>0</v>
      </c>
      <c r="P5642">
        <v>0</v>
      </c>
      <c r="Q5642">
        <v>1</v>
      </c>
      <c r="R5642">
        <v>0</v>
      </c>
    </row>
    <row r="5643" spans="1:18" x14ac:dyDescent="0.35">
      <c r="A5643" s="19" t="s">
        <v>351</v>
      </c>
      <c r="B5643" s="19" t="s">
        <v>63</v>
      </c>
      <c r="C5643">
        <v>1</v>
      </c>
      <c r="D5643">
        <v>3</v>
      </c>
      <c r="E5643">
        <v>2</v>
      </c>
      <c r="F5643" s="15">
        <v>46245</v>
      </c>
      <c r="G5643" s="19" t="s">
        <v>679</v>
      </c>
      <c r="H5643">
        <v>4</v>
      </c>
      <c r="I5643">
        <v>2026</v>
      </c>
      <c r="J5643">
        <v>8</v>
      </c>
      <c r="K5643" s="19" t="s">
        <v>282</v>
      </c>
      <c r="L5643" s="19" t="s">
        <v>20</v>
      </c>
      <c r="M5643" s="19" t="s">
        <v>63</v>
      </c>
      <c r="N5643" t="b">
        <v>0</v>
      </c>
      <c r="O5643">
        <v>0</v>
      </c>
      <c r="P5643">
        <v>0</v>
      </c>
      <c r="Q5643">
        <v>1</v>
      </c>
      <c r="R5643">
        <v>0</v>
      </c>
    </row>
    <row r="5644" spans="1:18" x14ac:dyDescent="0.35">
      <c r="A5644" s="19" t="s">
        <v>351</v>
      </c>
      <c r="B5644" s="19" t="s">
        <v>63</v>
      </c>
      <c r="C5644">
        <v>1</v>
      </c>
      <c r="D5644">
        <v>3</v>
      </c>
      <c r="E5644">
        <v>2</v>
      </c>
      <c r="F5644" s="15">
        <v>46245</v>
      </c>
      <c r="G5644" s="19" t="s">
        <v>679</v>
      </c>
      <c r="H5644">
        <v>4</v>
      </c>
      <c r="I5644">
        <v>2026</v>
      </c>
      <c r="J5644">
        <v>8</v>
      </c>
      <c r="K5644" s="19" t="s">
        <v>282</v>
      </c>
      <c r="L5644" s="19" t="s">
        <v>364</v>
      </c>
      <c r="M5644" s="19" t="s">
        <v>63</v>
      </c>
      <c r="N5644" t="b">
        <v>0</v>
      </c>
      <c r="O5644">
        <v>0</v>
      </c>
      <c r="P5644">
        <v>0</v>
      </c>
      <c r="Q5644">
        <v>1</v>
      </c>
      <c r="R5644">
        <v>0</v>
      </c>
    </row>
    <row r="5645" spans="1:18" x14ac:dyDescent="0.35">
      <c r="A5645" s="19" t="s">
        <v>28</v>
      </c>
      <c r="B5645" s="19" t="s">
        <v>63</v>
      </c>
      <c r="C5645">
        <v>2</v>
      </c>
      <c r="D5645">
        <v>3</v>
      </c>
      <c r="E5645">
        <v>2</v>
      </c>
      <c r="F5645" s="15">
        <v>46245</v>
      </c>
      <c r="G5645" s="19" t="s">
        <v>679</v>
      </c>
      <c r="H5645">
        <v>4</v>
      </c>
      <c r="I5645">
        <v>2026</v>
      </c>
      <c r="J5645">
        <v>8</v>
      </c>
      <c r="K5645" s="19" t="s">
        <v>282</v>
      </c>
      <c r="L5645" s="19" t="s">
        <v>351</v>
      </c>
      <c r="M5645" s="19" t="s">
        <v>63</v>
      </c>
      <c r="N5645" t="b">
        <v>0</v>
      </c>
      <c r="O5645">
        <v>0</v>
      </c>
      <c r="P5645">
        <v>0</v>
      </c>
      <c r="Q5645">
        <v>1</v>
      </c>
      <c r="R5645">
        <v>0</v>
      </c>
    </row>
    <row r="5646" spans="1:18" x14ac:dyDescent="0.35">
      <c r="A5646" s="19" t="s">
        <v>28</v>
      </c>
      <c r="B5646" s="19" t="s">
        <v>63</v>
      </c>
      <c r="C5646">
        <v>2</v>
      </c>
      <c r="D5646">
        <v>3</v>
      </c>
      <c r="E5646">
        <v>2</v>
      </c>
      <c r="F5646" s="15">
        <v>46245</v>
      </c>
      <c r="G5646" s="19" t="s">
        <v>679</v>
      </c>
      <c r="H5646">
        <v>4</v>
      </c>
      <c r="I5646">
        <v>2026</v>
      </c>
      <c r="J5646">
        <v>8</v>
      </c>
      <c r="K5646" s="19" t="s">
        <v>282</v>
      </c>
      <c r="L5646" s="19" t="s">
        <v>20</v>
      </c>
      <c r="M5646" s="19" t="s">
        <v>63</v>
      </c>
      <c r="N5646" t="b">
        <v>0</v>
      </c>
      <c r="O5646">
        <v>0</v>
      </c>
      <c r="P5646">
        <v>0</v>
      </c>
      <c r="Q5646">
        <v>1</v>
      </c>
      <c r="R5646">
        <v>0</v>
      </c>
    </row>
    <row r="5647" spans="1:18" x14ac:dyDescent="0.35">
      <c r="A5647" s="19" t="s">
        <v>28</v>
      </c>
      <c r="B5647" s="19" t="s">
        <v>63</v>
      </c>
      <c r="C5647">
        <v>2</v>
      </c>
      <c r="D5647">
        <v>3</v>
      </c>
      <c r="E5647">
        <v>2</v>
      </c>
      <c r="F5647" s="15">
        <v>46245</v>
      </c>
      <c r="G5647" s="19" t="s">
        <v>679</v>
      </c>
      <c r="H5647">
        <v>4</v>
      </c>
      <c r="I5647">
        <v>2026</v>
      </c>
      <c r="J5647">
        <v>8</v>
      </c>
      <c r="K5647" s="19" t="s">
        <v>282</v>
      </c>
      <c r="L5647" s="19" t="s">
        <v>364</v>
      </c>
      <c r="M5647" s="19" t="s">
        <v>63</v>
      </c>
      <c r="N5647" t="b">
        <v>0</v>
      </c>
      <c r="O5647">
        <v>0</v>
      </c>
      <c r="P5647">
        <v>0</v>
      </c>
      <c r="Q5647">
        <v>1</v>
      </c>
      <c r="R5647">
        <v>0</v>
      </c>
    </row>
    <row r="5648" spans="1:18" x14ac:dyDescent="0.35">
      <c r="A5648" s="19" t="s">
        <v>20</v>
      </c>
      <c r="B5648" s="19" t="s">
        <v>63</v>
      </c>
      <c r="C5648">
        <v>3</v>
      </c>
      <c r="D5648">
        <v>3</v>
      </c>
      <c r="E5648">
        <v>2</v>
      </c>
      <c r="F5648" s="15">
        <v>46245</v>
      </c>
      <c r="G5648" s="19" t="s">
        <v>679</v>
      </c>
      <c r="H5648">
        <v>4</v>
      </c>
      <c r="I5648">
        <v>2026</v>
      </c>
      <c r="J5648">
        <v>8</v>
      </c>
      <c r="K5648" s="19" t="s">
        <v>282</v>
      </c>
      <c r="L5648" s="19" t="s">
        <v>351</v>
      </c>
      <c r="M5648" s="19" t="s">
        <v>63</v>
      </c>
      <c r="N5648" t="b">
        <v>0</v>
      </c>
      <c r="O5648">
        <v>0</v>
      </c>
      <c r="P5648">
        <v>0</v>
      </c>
      <c r="Q5648">
        <v>1</v>
      </c>
      <c r="R5648">
        <v>0</v>
      </c>
    </row>
    <row r="5649" spans="1:18" x14ac:dyDescent="0.35">
      <c r="A5649" s="19" t="s">
        <v>20</v>
      </c>
      <c r="B5649" s="19" t="s">
        <v>63</v>
      </c>
      <c r="C5649">
        <v>3</v>
      </c>
      <c r="D5649">
        <v>3</v>
      </c>
      <c r="E5649">
        <v>2</v>
      </c>
      <c r="F5649" s="15">
        <v>46245</v>
      </c>
      <c r="G5649" s="19" t="s">
        <v>679</v>
      </c>
      <c r="H5649">
        <v>4</v>
      </c>
      <c r="I5649">
        <v>2026</v>
      </c>
      <c r="J5649">
        <v>8</v>
      </c>
      <c r="K5649" s="19" t="s">
        <v>282</v>
      </c>
      <c r="L5649" s="19" t="s">
        <v>28</v>
      </c>
      <c r="M5649" s="19" t="s">
        <v>63</v>
      </c>
      <c r="N5649" t="b">
        <v>0</v>
      </c>
      <c r="O5649">
        <v>0</v>
      </c>
      <c r="P5649">
        <v>0</v>
      </c>
      <c r="Q5649">
        <v>1</v>
      </c>
      <c r="R5649">
        <v>0</v>
      </c>
    </row>
    <row r="5650" spans="1:18" x14ac:dyDescent="0.35">
      <c r="A5650" s="19" t="s">
        <v>20</v>
      </c>
      <c r="B5650" s="19" t="s">
        <v>63</v>
      </c>
      <c r="C5650">
        <v>3</v>
      </c>
      <c r="D5650">
        <v>3</v>
      </c>
      <c r="E5650">
        <v>2</v>
      </c>
      <c r="F5650" s="15">
        <v>46245</v>
      </c>
      <c r="G5650" s="19" t="s">
        <v>679</v>
      </c>
      <c r="H5650">
        <v>4</v>
      </c>
      <c r="I5650">
        <v>2026</v>
      </c>
      <c r="J5650">
        <v>8</v>
      </c>
      <c r="K5650" s="19" t="s">
        <v>282</v>
      </c>
      <c r="L5650" s="19" t="s">
        <v>364</v>
      </c>
      <c r="M5650" s="19" t="s">
        <v>63</v>
      </c>
      <c r="N5650" t="b">
        <v>0</v>
      </c>
      <c r="O5650">
        <v>0</v>
      </c>
      <c r="P5650">
        <v>0</v>
      </c>
      <c r="Q5650">
        <v>1</v>
      </c>
      <c r="R5650">
        <v>0</v>
      </c>
    </row>
    <row r="5651" spans="1:18" x14ac:dyDescent="0.35">
      <c r="A5651" s="19" t="s">
        <v>364</v>
      </c>
      <c r="B5651" s="19" t="s">
        <v>63</v>
      </c>
      <c r="C5651">
        <v>4</v>
      </c>
      <c r="D5651">
        <v>3</v>
      </c>
      <c r="E5651">
        <v>2</v>
      </c>
      <c r="F5651" s="15">
        <v>46245</v>
      </c>
      <c r="G5651" s="19" t="s">
        <v>679</v>
      </c>
      <c r="H5651">
        <v>4</v>
      </c>
      <c r="I5651">
        <v>2026</v>
      </c>
      <c r="J5651">
        <v>8</v>
      </c>
      <c r="K5651" s="19" t="s">
        <v>282</v>
      </c>
      <c r="L5651" s="19" t="s">
        <v>351</v>
      </c>
      <c r="M5651" s="19" t="s">
        <v>63</v>
      </c>
      <c r="N5651" t="b">
        <v>0</v>
      </c>
      <c r="O5651">
        <v>0</v>
      </c>
      <c r="P5651">
        <v>0</v>
      </c>
      <c r="Q5651">
        <v>1</v>
      </c>
      <c r="R5651">
        <v>0</v>
      </c>
    </row>
    <row r="5652" spans="1:18" x14ac:dyDescent="0.35">
      <c r="A5652" s="19" t="s">
        <v>364</v>
      </c>
      <c r="B5652" s="19" t="s">
        <v>63</v>
      </c>
      <c r="C5652">
        <v>4</v>
      </c>
      <c r="D5652">
        <v>3</v>
      </c>
      <c r="E5652">
        <v>2</v>
      </c>
      <c r="F5652" s="15">
        <v>46245</v>
      </c>
      <c r="G5652" s="19" t="s">
        <v>679</v>
      </c>
      <c r="H5652">
        <v>4</v>
      </c>
      <c r="I5652">
        <v>2026</v>
      </c>
      <c r="J5652">
        <v>8</v>
      </c>
      <c r="K5652" s="19" t="s">
        <v>282</v>
      </c>
      <c r="L5652" s="19" t="s">
        <v>28</v>
      </c>
      <c r="M5652" s="19" t="s">
        <v>63</v>
      </c>
      <c r="N5652" t="b">
        <v>0</v>
      </c>
      <c r="O5652">
        <v>0</v>
      </c>
      <c r="P5652">
        <v>0</v>
      </c>
      <c r="Q5652">
        <v>1</v>
      </c>
      <c r="R5652">
        <v>0</v>
      </c>
    </row>
    <row r="5653" spans="1:18" x14ac:dyDescent="0.35">
      <c r="A5653" s="19" t="s">
        <v>364</v>
      </c>
      <c r="B5653" s="19" t="s">
        <v>63</v>
      </c>
      <c r="C5653">
        <v>4</v>
      </c>
      <c r="D5653">
        <v>3</v>
      </c>
      <c r="E5653">
        <v>2</v>
      </c>
      <c r="F5653" s="15">
        <v>46245</v>
      </c>
      <c r="G5653" s="19" t="s">
        <v>679</v>
      </c>
      <c r="H5653">
        <v>4</v>
      </c>
      <c r="I5653">
        <v>2026</v>
      </c>
      <c r="J5653">
        <v>8</v>
      </c>
      <c r="K5653" s="19" t="s">
        <v>282</v>
      </c>
      <c r="L5653" s="19" t="s">
        <v>20</v>
      </c>
      <c r="M5653" s="19" t="s">
        <v>63</v>
      </c>
      <c r="N5653" t="b">
        <v>0</v>
      </c>
      <c r="O5653">
        <v>0</v>
      </c>
      <c r="P5653">
        <v>0</v>
      </c>
      <c r="Q5653">
        <v>1</v>
      </c>
      <c r="R5653">
        <v>0</v>
      </c>
    </row>
    <row r="5654" spans="1:18" x14ac:dyDescent="0.35">
      <c r="A5654" s="19" t="s">
        <v>14</v>
      </c>
      <c r="B5654" s="19" t="s">
        <v>63</v>
      </c>
      <c r="C5654">
        <v>1</v>
      </c>
      <c r="D5654">
        <v>4</v>
      </c>
      <c r="E5654">
        <v>2</v>
      </c>
      <c r="F5654" s="15">
        <v>46245</v>
      </c>
      <c r="G5654" s="19" t="s">
        <v>680</v>
      </c>
      <c r="H5654">
        <v>4</v>
      </c>
      <c r="I5654">
        <v>2026</v>
      </c>
      <c r="J5654">
        <v>8</v>
      </c>
      <c r="K5654" s="19" t="s">
        <v>282</v>
      </c>
      <c r="L5654" s="19" t="s">
        <v>433</v>
      </c>
      <c r="M5654" s="19" t="s">
        <v>63</v>
      </c>
      <c r="N5654" t="b">
        <v>0</v>
      </c>
      <c r="O5654">
        <v>0</v>
      </c>
      <c r="P5654">
        <v>0</v>
      </c>
      <c r="Q5654">
        <v>1</v>
      </c>
      <c r="R5654">
        <v>0</v>
      </c>
    </row>
    <row r="5655" spans="1:18" x14ac:dyDescent="0.35">
      <c r="A5655" s="19" t="s">
        <v>14</v>
      </c>
      <c r="B5655" s="19" t="s">
        <v>63</v>
      </c>
      <c r="C5655">
        <v>1</v>
      </c>
      <c r="D5655">
        <v>4</v>
      </c>
      <c r="E5655">
        <v>2</v>
      </c>
      <c r="F5655" s="15">
        <v>46245</v>
      </c>
      <c r="G5655" s="19" t="s">
        <v>680</v>
      </c>
      <c r="H5655">
        <v>4</v>
      </c>
      <c r="I5655">
        <v>2026</v>
      </c>
      <c r="J5655">
        <v>8</v>
      </c>
      <c r="K5655" s="19" t="s">
        <v>282</v>
      </c>
      <c r="L5655" s="19" t="s">
        <v>9</v>
      </c>
      <c r="M5655" s="19" t="s">
        <v>63</v>
      </c>
      <c r="N5655" t="b">
        <v>0</v>
      </c>
      <c r="O5655">
        <v>0</v>
      </c>
      <c r="P5655">
        <v>0</v>
      </c>
      <c r="Q5655">
        <v>1</v>
      </c>
      <c r="R5655">
        <v>0</v>
      </c>
    </row>
    <row r="5656" spans="1:18" x14ac:dyDescent="0.35">
      <c r="A5656" s="19" t="s">
        <v>14</v>
      </c>
      <c r="B5656" s="19" t="s">
        <v>63</v>
      </c>
      <c r="C5656">
        <v>1</v>
      </c>
      <c r="D5656">
        <v>4</v>
      </c>
      <c r="E5656">
        <v>2</v>
      </c>
      <c r="F5656" s="15">
        <v>46245</v>
      </c>
      <c r="G5656" s="19" t="s">
        <v>680</v>
      </c>
      <c r="H5656">
        <v>4</v>
      </c>
      <c r="I5656">
        <v>2026</v>
      </c>
      <c r="J5656">
        <v>8</v>
      </c>
      <c r="K5656" s="19" t="s">
        <v>282</v>
      </c>
      <c r="L5656" s="19" t="s">
        <v>464</v>
      </c>
      <c r="M5656" s="19" t="s">
        <v>63</v>
      </c>
      <c r="N5656" t="b">
        <v>0</v>
      </c>
      <c r="O5656">
        <v>0</v>
      </c>
      <c r="P5656">
        <v>0</v>
      </c>
      <c r="Q5656">
        <v>1</v>
      </c>
      <c r="R5656">
        <v>0</v>
      </c>
    </row>
    <row r="5657" spans="1:18" x14ac:dyDescent="0.35">
      <c r="A5657" s="19" t="s">
        <v>433</v>
      </c>
      <c r="B5657" s="19" t="s">
        <v>63</v>
      </c>
      <c r="C5657">
        <v>2</v>
      </c>
      <c r="D5657">
        <v>4</v>
      </c>
      <c r="E5657">
        <v>2</v>
      </c>
      <c r="F5657" s="15">
        <v>46245</v>
      </c>
      <c r="G5657" s="19" t="s">
        <v>680</v>
      </c>
      <c r="H5657">
        <v>4</v>
      </c>
      <c r="I5657">
        <v>2026</v>
      </c>
      <c r="J5657">
        <v>8</v>
      </c>
      <c r="K5657" s="19" t="s">
        <v>282</v>
      </c>
      <c r="L5657" s="19" t="s">
        <v>14</v>
      </c>
      <c r="M5657" s="19" t="s">
        <v>63</v>
      </c>
      <c r="N5657" t="b">
        <v>0</v>
      </c>
      <c r="O5657">
        <v>0</v>
      </c>
      <c r="P5657">
        <v>0</v>
      </c>
      <c r="Q5657">
        <v>1</v>
      </c>
      <c r="R5657">
        <v>0</v>
      </c>
    </row>
    <row r="5658" spans="1:18" x14ac:dyDescent="0.35">
      <c r="A5658" s="19" t="s">
        <v>433</v>
      </c>
      <c r="B5658" s="19" t="s">
        <v>63</v>
      </c>
      <c r="C5658">
        <v>2</v>
      </c>
      <c r="D5658">
        <v>4</v>
      </c>
      <c r="E5658">
        <v>2</v>
      </c>
      <c r="F5658" s="15">
        <v>46245</v>
      </c>
      <c r="G5658" s="19" t="s">
        <v>680</v>
      </c>
      <c r="H5658">
        <v>4</v>
      </c>
      <c r="I5658">
        <v>2026</v>
      </c>
      <c r="J5658">
        <v>8</v>
      </c>
      <c r="K5658" s="19" t="s">
        <v>282</v>
      </c>
      <c r="L5658" s="19" t="s">
        <v>9</v>
      </c>
      <c r="M5658" s="19" t="s">
        <v>63</v>
      </c>
      <c r="N5658" t="b">
        <v>0</v>
      </c>
      <c r="O5658">
        <v>0</v>
      </c>
      <c r="P5658">
        <v>0</v>
      </c>
      <c r="Q5658">
        <v>1</v>
      </c>
      <c r="R5658">
        <v>0</v>
      </c>
    </row>
    <row r="5659" spans="1:18" x14ac:dyDescent="0.35">
      <c r="A5659" s="19" t="s">
        <v>433</v>
      </c>
      <c r="B5659" s="19" t="s">
        <v>63</v>
      </c>
      <c r="C5659">
        <v>2</v>
      </c>
      <c r="D5659">
        <v>4</v>
      </c>
      <c r="E5659">
        <v>2</v>
      </c>
      <c r="F5659" s="15">
        <v>46245</v>
      </c>
      <c r="G5659" s="19" t="s">
        <v>680</v>
      </c>
      <c r="H5659">
        <v>4</v>
      </c>
      <c r="I5659">
        <v>2026</v>
      </c>
      <c r="J5659">
        <v>8</v>
      </c>
      <c r="K5659" s="19" t="s">
        <v>282</v>
      </c>
      <c r="L5659" s="19" t="s">
        <v>464</v>
      </c>
      <c r="M5659" s="19" t="s">
        <v>63</v>
      </c>
      <c r="N5659" t="b">
        <v>0</v>
      </c>
      <c r="O5659">
        <v>0</v>
      </c>
      <c r="P5659">
        <v>0</v>
      </c>
      <c r="Q5659">
        <v>1</v>
      </c>
      <c r="R5659">
        <v>0</v>
      </c>
    </row>
    <row r="5660" spans="1:18" x14ac:dyDescent="0.35">
      <c r="A5660" s="19" t="s">
        <v>9</v>
      </c>
      <c r="B5660" s="19" t="s">
        <v>63</v>
      </c>
      <c r="C5660">
        <v>3</v>
      </c>
      <c r="D5660">
        <v>4</v>
      </c>
      <c r="E5660">
        <v>2</v>
      </c>
      <c r="F5660" s="15">
        <v>46245</v>
      </c>
      <c r="G5660" s="19" t="s">
        <v>680</v>
      </c>
      <c r="H5660">
        <v>4</v>
      </c>
      <c r="I5660">
        <v>2026</v>
      </c>
      <c r="J5660">
        <v>8</v>
      </c>
      <c r="K5660" s="19" t="s">
        <v>282</v>
      </c>
      <c r="L5660" s="19" t="s">
        <v>14</v>
      </c>
      <c r="M5660" s="19" t="s">
        <v>63</v>
      </c>
      <c r="N5660" t="b">
        <v>0</v>
      </c>
      <c r="O5660">
        <v>0</v>
      </c>
      <c r="P5660">
        <v>0</v>
      </c>
      <c r="Q5660">
        <v>1</v>
      </c>
      <c r="R5660">
        <v>0</v>
      </c>
    </row>
    <row r="5661" spans="1:18" x14ac:dyDescent="0.35">
      <c r="A5661" s="19" t="s">
        <v>9</v>
      </c>
      <c r="B5661" s="19" t="s">
        <v>63</v>
      </c>
      <c r="C5661">
        <v>3</v>
      </c>
      <c r="D5661">
        <v>4</v>
      </c>
      <c r="E5661">
        <v>2</v>
      </c>
      <c r="F5661" s="15">
        <v>46245</v>
      </c>
      <c r="G5661" s="19" t="s">
        <v>680</v>
      </c>
      <c r="H5661">
        <v>4</v>
      </c>
      <c r="I5661">
        <v>2026</v>
      </c>
      <c r="J5661">
        <v>8</v>
      </c>
      <c r="K5661" s="19" t="s">
        <v>282</v>
      </c>
      <c r="L5661" s="19" t="s">
        <v>433</v>
      </c>
      <c r="M5661" s="19" t="s">
        <v>63</v>
      </c>
      <c r="N5661" t="b">
        <v>0</v>
      </c>
      <c r="O5661">
        <v>0</v>
      </c>
      <c r="P5661">
        <v>0</v>
      </c>
      <c r="Q5661">
        <v>1</v>
      </c>
      <c r="R5661">
        <v>0</v>
      </c>
    </row>
    <row r="5662" spans="1:18" x14ac:dyDescent="0.35">
      <c r="A5662" s="19" t="s">
        <v>9</v>
      </c>
      <c r="B5662" s="19" t="s">
        <v>63</v>
      </c>
      <c r="C5662">
        <v>3</v>
      </c>
      <c r="D5662">
        <v>4</v>
      </c>
      <c r="E5662">
        <v>2</v>
      </c>
      <c r="F5662" s="15">
        <v>46245</v>
      </c>
      <c r="G5662" s="19" t="s">
        <v>680</v>
      </c>
      <c r="H5662">
        <v>4</v>
      </c>
      <c r="I5662">
        <v>2026</v>
      </c>
      <c r="J5662">
        <v>8</v>
      </c>
      <c r="K5662" s="19" t="s">
        <v>282</v>
      </c>
      <c r="L5662" s="19" t="s">
        <v>464</v>
      </c>
      <c r="M5662" s="19" t="s">
        <v>63</v>
      </c>
      <c r="N5662" t="b">
        <v>0</v>
      </c>
      <c r="O5662">
        <v>0</v>
      </c>
      <c r="P5662">
        <v>0</v>
      </c>
      <c r="Q5662">
        <v>1</v>
      </c>
      <c r="R5662">
        <v>0</v>
      </c>
    </row>
    <row r="5663" spans="1:18" x14ac:dyDescent="0.35">
      <c r="A5663" s="19" t="s">
        <v>464</v>
      </c>
      <c r="B5663" s="19" t="s">
        <v>63</v>
      </c>
      <c r="C5663">
        <v>4</v>
      </c>
      <c r="D5663">
        <v>4</v>
      </c>
      <c r="E5663">
        <v>2</v>
      </c>
      <c r="F5663" s="15">
        <v>46245</v>
      </c>
      <c r="G5663" s="19" t="s">
        <v>680</v>
      </c>
      <c r="H5663">
        <v>4</v>
      </c>
      <c r="I5663">
        <v>2026</v>
      </c>
      <c r="J5663">
        <v>8</v>
      </c>
      <c r="K5663" s="19" t="s">
        <v>282</v>
      </c>
      <c r="L5663" s="19" t="s">
        <v>14</v>
      </c>
      <c r="M5663" s="19" t="s">
        <v>63</v>
      </c>
      <c r="N5663" t="b">
        <v>0</v>
      </c>
      <c r="O5663">
        <v>0</v>
      </c>
      <c r="P5663">
        <v>0</v>
      </c>
      <c r="Q5663">
        <v>1</v>
      </c>
      <c r="R5663">
        <v>0</v>
      </c>
    </row>
    <row r="5664" spans="1:18" x14ac:dyDescent="0.35">
      <c r="A5664" s="19" t="s">
        <v>464</v>
      </c>
      <c r="B5664" s="19" t="s">
        <v>63</v>
      </c>
      <c r="C5664">
        <v>4</v>
      </c>
      <c r="D5664">
        <v>4</v>
      </c>
      <c r="E5664">
        <v>2</v>
      </c>
      <c r="F5664" s="15">
        <v>46245</v>
      </c>
      <c r="G5664" s="19" t="s">
        <v>680</v>
      </c>
      <c r="H5664">
        <v>4</v>
      </c>
      <c r="I5664">
        <v>2026</v>
      </c>
      <c r="J5664">
        <v>8</v>
      </c>
      <c r="K5664" s="19" t="s">
        <v>282</v>
      </c>
      <c r="L5664" s="19" t="s">
        <v>433</v>
      </c>
      <c r="M5664" s="19" t="s">
        <v>63</v>
      </c>
      <c r="N5664" t="b">
        <v>0</v>
      </c>
      <c r="O5664">
        <v>0</v>
      </c>
      <c r="P5664">
        <v>0</v>
      </c>
      <c r="Q5664">
        <v>1</v>
      </c>
      <c r="R5664">
        <v>0</v>
      </c>
    </row>
    <row r="5665" spans="1:18" x14ac:dyDescent="0.35">
      <c r="A5665" s="19" t="s">
        <v>464</v>
      </c>
      <c r="B5665" s="19" t="s">
        <v>63</v>
      </c>
      <c r="C5665">
        <v>4</v>
      </c>
      <c r="D5665">
        <v>4</v>
      </c>
      <c r="E5665">
        <v>2</v>
      </c>
      <c r="F5665" s="15">
        <v>46245</v>
      </c>
      <c r="G5665" s="19" t="s">
        <v>680</v>
      </c>
      <c r="H5665">
        <v>4</v>
      </c>
      <c r="I5665">
        <v>2026</v>
      </c>
      <c r="J5665">
        <v>8</v>
      </c>
      <c r="K5665" s="19" t="s">
        <v>282</v>
      </c>
      <c r="L5665" s="19" t="s">
        <v>9</v>
      </c>
      <c r="M5665" s="19" t="s">
        <v>63</v>
      </c>
      <c r="N5665" t="b">
        <v>0</v>
      </c>
      <c r="O5665">
        <v>0</v>
      </c>
      <c r="P5665">
        <v>0</v>
      </c>
      <c r="Q5665">
        <v>1</v>
      </c>
      <c r="R5665">
        <v>0</v>
      </c>
    </row>
    <row r="5666" spans="1:18" x14ac:dyDescent="0.35">
      <c r="A5666" s="19" t="s">
        <v>41</v>
      </c>
      <c r="B5666" s="19" t="s">
        <v>6</v>
      </c>
      <c r="C5666">
        <v>1</v>
      </c>
      <c r="D5666">
        <v>5</v>
      </c>
      <c r="E5666">
        <v>2</v>
      </c>
      <c r="F5666" s="15">
        <v>46245</v>
      </c>
      <c r="G5666" s="19" t="s">
        <v>681</v>
      </c>
      <c r="H5666">
        <v>3</v>
      </c>
      <c r="I5666">
        <v>2026</v>
      </c>
      <c r="J5666">
        <v>8</v>
      </c>
      <c r="K5666" s="19" t="s">
        <v>282</v>
      </c>
      <c r="L5666" s="19" t="s">
        <v>609</v>
      </c>
      <c r="M5666" s="19" t="s">
        <v>6</v>
      </c>
      <c r="N5666" t="b">
        <v>0</v>
      </c>
      <c r="O5666">
        <v>0</v>
      </c>
      <c r="P5666">
        <v>1</v>
      </c>
      <c r="Q5666">
        <v>0</v>
      </c>
      <c r="R5666">
        <v>0</v>
      </c>
    </row>
    <row r="5667" spans="1:18" x14ac:dyDescent="0.35">
      <c r="A5667" s="19" t="s">
        <v>41</v>
      </c>
      <c r="B5667" s="19" t="s">
        <v>6</v>
      </c>
      <c r="C5667">
        <v>1</v>
      </c>
      <c r="D5667">
        <v>5</v>
      </c>
      <c r="E5667">
        <v>2</v>
      </c>
      <c r="F5667" s="15">
        <v>46245</v>
      </c>
      <c r="G5667" s="19" t="s">
        <v>681</v>
      </c>
      <c r="H5667">
        <v>3</v>
      </c>
      <c r="I5667">
        <v>2026</v>
      </c>
      <c r="J5667">
        <v>8</v>
      </c>
      <c r="K5667" s="19" t="s">
        <v>282</v>
      </c>
      <c r="L5667" s="19" t="s">
        <v>7</v>
      </c>
      <c r="M5667" s="19" t="s">
        <v>8</v>
      </c>
      <c r="N5667" t="b">
        <v>0</v>
      </c>
      <c r="O5667">
        <v>0</v>
      </c>
      <c r="P5667">
        <v>1</v>
      </c>
      <c r="Q5667">
        <v>0</v>
      </c>
      <c r="R5667">
        <v>1</v>
      </c>
    </row>
    <row r="5668" spans="1:18" x14ac:dyDescent="0.35">
      <c r="A5668" s="19" t="s">
        <v>609</v>
      </c>
      <c r="B5668" s="19" t="s">
        <v>6</v>
      </c>
      <c r="C5668">
        <v>2</v>
      </c>
      <c r="D5668">
        <v>5</v>
      </c>
      <c r="E5668">
        <v>2</v>
      </c>
      <c r="F5668" s="15">
        <v>46245</v>
      </c>
      <c r="G5668" s="19" t="s">
        <v>681</v>
      </c>
      <c r="H5668">
        <v>3</v>
      </c>
      <c r="I5668">
        <v>2026</v>
      </c>
      <c r="J5668">
        <v>8</v>
      </c>
      <c r="K5668" s="19" t="s">
        <v>282</v>
      </c>
      <c r="L5668" s="19" t="s">
        <v>41</v>
      </c>
      <c r="M5668" s="19" t="s">
        <v>6</v>
      </c>
      <c r="N5668" t="b">
        <v>0</v>
      </c>
      <c r="O5668">
        <v>0</v>
      </c>
      <c r="P5668">
        <v>1</v>
      </c>
      <c r="Q5668">
        <v>0</v>
      </c>
      <c r="R5668">
        <v>0</v>
      </c>
    </row>
    <row r="5669" spans="1:18" x14ac:dyDescent="0.35">
      <c r="A5669" s="19" t="s">
        <v>609</v>
      </c>
      <c r="B5669" s="19" t="s">
        <v>6</v>
      </c>
      <c r="C5669">
        <v>2</v>
      </c>
      <c r="D5669">
        <v>5</v>
      </c>
      <c r="E5669">
        <v>2</v>
      </c>
      <c r="F5669" s="15">
        <v>46245</v>
      </c>
      <c r="G5669" s="19" t="s">
        <v>681</v>
      </c>
      <c r="H5669">
        <v>3</v>
      </c>
      <c r="I5669">
        <v>2026</v>
      </c>
      <c r="J5669">
        <v>8</v>
      </c>
      <c r="K5669" s="19" t="s">
        <v>282</v>
      </c>
      <c r="L5669" s="19" t="s">
        <v>7</v>
      </c>
      <c r="M5669" s="19" t="s">
        <v>8</v>
      </c>
      <c r="N5669" t="b">
        <v>0</v>
      </c>
      <c r="O5669">
        <v>0</v>
      </c>
      <c r="P5669">
        <v>1</v>
      </c>
      <c r="Q5669">
        <v>0</v>
      </c>
      <c r="R5669">
        <v>1</v>
      </c>
    </row>
    <row r="5670" spans="1:18" x14ac:dyDescent="0.35">
      <c r="A5670" s="19" t="s">
        <v>7</v>
      </c>
      <c r="B5670" s="19" t="s">
        <v>8</v>
      </c>
      <c r="C5670">
        <v>3</v>
      </c>
      <c r="D5670">
        <v>5</v>
      </c>
      <c r="E5670">
        <v>2</v>
      </c>
      <c r="F5670" s="15">
        <v>46245</v>
      </c>
      <c r="G5670" s="19" t="s">
        <v>681</v>
      </c>
      <c r="H5670">
        <v>3</v>
      </c>
      <c r="I5670">
        <v>2026</v>
      </c>
      <c r="J5670">
        <v>8</v>
      </c>
      <c r="K5670" s="19" t="s">
        <v>282</v>
      </c>
      <c r="L5670" s="19" t="s">
        <v>41</v>
      </c>
      <c r="M5670" s="19" t="s">
        <v>6</v>
      </c>
      <c r="N5670" t="b">
        <v>0</v>
      </c>
      <c r="O5670">
        <v>1</v>
      </c>
      <c r="P5670">
        <v>0</v>
      </c>
      <c r="Q5670">
        <v>0</v>
      </c>
      <c r="R5670">
        <v>0</v>
      </c>
    </row>
    <row r="5671" spans="1:18" x14ac:dyDescent="0.35">
      <c r="A5671" s="19" t="s">
        <v>7</v>
      </c>
      <c r="B5671" s="19" t="s">
        <v>8</v>
      </c>
      <c r="C5671">
        <v>3</v>
      </c>
      <c r="D5671">
        <v>5</v>
      </c>
      <c r="E5671">
        <v>2</v>
      </c>
      <c r="F5671" s="15">
        <v>46245</v>
      </c>
      <c r="G5671" s="19" t="s">
        <v>681</v>
      </c>
      <c r="H5671">
        <v>3</v>
      </c>
      <c r="I5671">
        <v>2026</v>
      </c>
      <c r="J5671">
        <v>8</v>
      </c>
      <c r="K5671" s="19" t="s">
        <v>282</v>
      </c>
      <c r="L5671" s="19" t="s">
        <v>609</v>
      </c>
      <c r="M5671" s="19" t="s">
        <v>6</v>
      </c>
      <c r="N5671" t="b">
        <v>0</v>
      </c>
      <c r="O5671">
        <v>1</v>
      </c>
      <c r="P5671">
        <v>0</v>
      </c>
      <c r="Q5671">
        <v>0</v>
      </c>
      <c r="R5671">
        <v>0</v>
      </c>
    </row>
    <row r="5672" spans="1:18" x14ac:dyDescent="0.35">
      <c r="A5672" s="19" t="s">
        <v>438</v>
      </c>
      <c r="B5672" s="19" t="s">
        <v>8</v>
      </c>
      <c r="C5672">
        <v>1</v>
      </c>
      <c r="D5672">
        <v>6</v>
      </c>
      <c r="E5672">
        <v>2</v>
      </c>
      <c r="F5672" s="15">
        <v>46245</v>
      </c>
      <c r="G5672" s="19" t="s">
        <v>682</v>
      </c>
      <c r="H5672">
        <v>3</v>
      </c>
      <c r="I5672">
        <v>2026</v>
      </c>
      <c r="J5672">
        <v>8</v>
      </c>
      <c r="K5672" s="19" t="s">
        <v>282</v>
      </c>
      <c r="L5672" s="19" t="s">
        <v>17</v>
      </c>
      <c r="M5672" s="19" t="s">
        <v>6</v>
      </c>
      <c r="N5672" t="b">
        <v>0</v>
      </c>
      <c r="O5672">
        <v>1</v>
      </c>
      <c r="P5672">
        <v>0</v>
      </c>
      <c r="Q5672">
        <v>0</v>
      </c>
      <c r="R5672">
        <v>0</v>
      </c>
    </row>
    <row r="5673" spans="1:18" x14ac:dyDescent="0.35">
      <c r="A5673" s="19" t="s">
        <v>438</v>
      </c>
      <c r="B5673" s="19" t="s">
        <v>8</v>
      </c>
      <c r="C5673">
        <v>1</v>
      </c>
      <c r="D5673">
        <v>6</v>
      </c>
      <c r="E5673">
        <v>2</v>
      </c>
      <c r="F5673" s="15">
        <v>46245</v>
      </c>
      <c r="G5673" s="19" t="s">
        <v>682</v>
      </c>
      <c r="H5673">
        <v>3</v>
      </c>
      <c r="I5673">
        <v>2026</v>
      </c>
      <c r="J5673">
        <v>8</v>
      </c>
      <c r="K5673" s="19" t="s">
        <v>282</v>
      </c>
      <c r="L5673" s="19" t="s">
        <v>13</v>
      </c>
      <c r="M5673" s="19" t="s">
        <v>6</v>
      </c>
      <c r="N5673" t="b">
        <v>0</v>
      </c>
      <c r="O5673">
        <v>1</v>
      </c>
      <c r="P5673">
        <v>0</v>
      </c>
      <c r="Q5673">
        <v>0</v>
      </c>
      <c r="R5673">
        <v>0</v>
      </c>
    </row>
    <row r="5674" spans="1:18" x14ac:dyDescent="0.35">
      <c r="A5674" s="19" t="s">
        <v>17</v>
      </c>
      <c r="B5674" s="19" t="s">
        <v>6</v>
      </c>
      <c r="C5674">
        <v>2</v>
      </c>
      <c r="D5674">
        <v>6</v>
      </c>
      <c r="E5674">
        <v>2</v>
      </c>
      <c r="F5674" s="15">
        <v>46245</v>
      </c>
      <c r="G5674" s="19" t="s">
        <v>682</v>
      </c>
      <c r="H5674">
        <v>3</v>
      </c>
      <c r="I5674">
        <v>2026</v>
      </c>
      <c r="J5674">
        <v>8</v>
      </c>
      <c r="K5674" s="19" t="s">
        <v>282</v>
      </c>
      <c r="L5674" s="19" t="s">
        <v>438</v>
      </c>
      <c r="M5674" s="19" t="s">
        <v>8</v>
      </c>
      <c r="N5674" t="b">
        <v>0</v>
      </c>
      <c r="O5674">
        <v>0</v>
      </c>
      <c r="P5674">
        <v>1</v>
      </c>
      <c r="Q5674">
        <v>0</v>
      </c>
      <c r="R5674">
        <v>1</v>
      </c>
    </row>
    <row r="5675" spans="1:18" x14ac:dyDescent="0.35">
      <c r="A5675" s="19" t="s">
        <v>17</v>
      </c>
      <c r="B5675" s="19" t="s">
        <v>6</v>
      </c>
      <c r="C5675">
        <v>2</v>
      </c>
      <c r="D5675">
        <v>6</v>
      </c>
      <c r="E5675">
        <v>2</v>
      </c>
      <c r="F5675" s="15">
        <v>46245</v>
      </c>
      <c r="G5675" s="19" t="s">
        <v>682</v>
      </c>
      <c r="H5675">
        <v>3</v>
      </c>
      <c r="I5675">
        <v>2026</v>
      </c>
      <c r="J5675">
        <v>8</v>
      </c>
      <c r="K5675" s="19" t="s">
        <v>282</v>
      </c>
      <c r="L5675" s="19" t="s">
        <v>13</v>
      </c>
      <c r="M5675" s="19" t="s">
        <v>6</v>
      </c>
      <c r="N5675" t="b">
        <v>0</v>
      </c>
      <c r="O5675">
        <v>0</v>
      </c>
      <c r="P5675">
        <v>1</v>
      </c>
      <c r="Q5675">
        <v>0</v>
      </c>
      <c r="R5675">
        <v>0</v>
      </c>
    </row>
    <row r="5676" spans="1:18" x14ac:dyDescent="0.35">
      <c r="A5676" s="19" t="s">
        <v>13</v>
      </c>
      <c r="B5676" s="19" t="s">
        <v>6</v>
      </c>
      <c r="C5676">
        <v>3</v>
      </c>
      <c r="D5676">
        <v>6</v>
      </c>
      <c r="E5676">
        <v>2</v>
      </c>
      <c r="F5676" s="15">
        <v>46245</v>
      </c>
      <c r="G5676" s="19" t="s">
        <v>682</v>
      </c>
      <c r="H5676">
        <v>3</v>
      </c>
      <c r="I5676">
        <v>2026</v>
      </c>
      <c r="J5676">
        <v>8</v>
      </c>
      <c r="K5676" s="19" t="s">
        <v>282</v>
      </c>
      <c r="L5676" s="19" t="s">
        <v>438</v>
      </c>
      <c r="M5676" s="19" t="s">
        <v>8</v>
      </c>
      <c r="N5676" t="b">
        <v>0</v>
      </c>
      <c r="O5676">
        <v>0</v>
      </c>
      <c r="P5676">
        <v>1</v>
      </c>
      <c r="Q5676">
        <v>0</v>
      </c>
      <c r="R5676">
        <v>1</v>
      </c>
    </row>
    <row r="5677" spans="1:18" x14ac:dyDescent="0.35">
      <c r="A5677" s="19" t="s">
        <v>13</v>
      </c>
      <c r="B5677" s="19" t="s">
        <v>6</v>
      </c>
      <c r="C5677">
        <v>3</v>
      </c>
      <c r="D5677">
        <v>6</v>
      </c>
      <c r="E5677">
        <v>2</v>
      </c>
      <c r="F5677" s="15">
        <v>46245</v>
      </c>
      <c r="G5677" s="19" t="s">
        <v>682</v>
      </c>
      <c r="H5677">
        <v>3</v>
      </c>
      <c r="I5677">
        <v>2026</v>
      </c>
      <c r="J5677">
        <v>8</v>
      </c>
      <c r="K5677" s="19" t="s">
        <v>282</v>
      </c>
      <c r="L5677" s="19" t="s">
        <v>17</v>
      </c>
      <c r="M5677" s="19" t="s">
        <v>6</v>
      </c>
      <c r="N5677" t="b">
        <v>0</v>
      </c>
      <c r="O5677">
        <v>0</v>
      </c>
      <c r="P5677">
        <v>1</v>
      </c>
      <c r="Q5677">
        <v>0</v>
      </c>
      <c r="R5677">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5" x14ac:dyDescent="0.35"/>
  <sheetData>
    <row r="1" spans="1:15" ht="15" customHeight="1" x14ac:dyDescent="0.35">
      <c r="A1" s="18" t="s">
        <v>295</v>
      </c>
      <c r="B1" s="18"/>
      <c r="C1" s="18"/>
      <c r="D1" s="18"/>
      <c r="E1" s="18"/>
      <c r="F1" s="18"/>
      <c r="G1" s="18"/>
      <c r="H1" s="18"/>
      <c r="I1" s="18"/>
      <c r="J1" s="18"/>
      <c r="K1" s="18"/>
      <c r="L1" s="18"/>
      <c r="M1" s="18"/>
      <c r="N1" s="18"/>
      <c r="O1" s="18"/>
    </row>
    <row r="2" spans="1:15" x14ac:dyDescent="0.35">
      <c r="A2" s="18"/>
      <c r="B2" s="18"/>
      <c r="C2" s="18"/>
      <c r="D2" s="18"/>
      <c r="E2" s="18"/>
      <c r="F2" s="18"/>
      <c r="G2" s="18"/>
      <c r="H2" s="18"/>
      <c r="I2" s="18"/>
      <c r="J2" s="18"/>
      <c r="K2" s="18"/>
      <c r="L2" s="18"/>
      <c r="M2" s="18"/>
      <c r="N2" s="18"/>
      <c r="O2" s="18"/>
    </row>
    <row r="3" spans="1:15" x14ac:dyDescent="0.35">
      <c r="A3" s="18"/>
      <c r="B3" s="18"/>
      <c r="C3" s="18"/>
      <c r="D3" s="18"/>
      <c r="E3" s="18"/>
      <c r="F3" s="18"/>
      <c r="G3" s="18"/>
      <c r="H3" s="18"/>
      <c r="I3" s="18"/>
      <c r="J3" s="18"/>
      <c r="K3" s="18"/>
      <c r="L3" s="18"/>
      <c r="M3" s="18"/>
      <c r="N3" s="18"/>
      <c r="O3" s="18"/>
    </row>
    <row r="4" spans="1:15" x14ac:dyDescent="0.35">
      <c r="A4" s="18"/>
      <c r="B4" s="18"/>
      <c r="C4" s="18"/>
      <c r="D4" s="18"/>
      <c r="E4" s="18"/>
      <c r="F4" s="18"/>
      <c r="G4" s="18"/>
      <c r="H4" s="18"/>
      <c r="I4" s="18"/>
      <c r="J4" s="18"/>
      <c r="K4" s="18"/>
      <c r="L4" s="18"/>
      <c r="M4" s="18"/>
      <c r="N4" s="18"/>
      <c r="O4" s="18"/>
    </row>
    <row r="5" spans="1:15" x14ac:dyDescent="0.35">
      <c r="A5" s="18"/>
      <c r="B5" s="18"/>
      <c r="C5" s="18"/>
      <c r="D5" s="18"/>
      <c r="E5" s="18"/>
      <c r="F5" s="18"/>
      <c r="G5" s="18"/>
      <c r="H5" s="18"/>
      <c r="I5" s="18"/>
      <c r="J5" s="18"/>
      <c r="K5" s="18"/>
      <c r="L5" s="18"/>
      <c r="M5" s="18"/>
      <c r="N5" s="18"/>
      <c r="O5" s="18"/>
    </row>
    <row r="6" spans="1:15" x14ac:dyDescent="0.35">
      <c r="A6" s="18"/>
      <c r="B6" s="18"/>
      <c r="C6" s="18"/>
      <c r="D6" s="18"/>
      <c r="E6" s="18"/>
      <c r="F6" s="18"/>
      <c r="G6" s="18"/>
      <c r="H6" s="18"/>
      <c r="I6" s="18"/>
      <c r="J6" s="18"/>
      <c r="K6" s="18"/>
      <c r="L6" s="18"/>
      <c r="M6" s="18"/>
      <c r="N6" s="18"/>
      <c r="O6" s="18"/>
    </row>
    <row r="7" spans="1:15" x14ac:dyDescent="0.35">
      <c r="A7" s="18"/>
      <c r="B7" s="18"/>
      <c r="C7" s="18"/>
      <c r="D7" s="18"/>
      <c r="E7" s="18"/>
      <c r="F7" s="18"/>
      <c r="G7" s="18"/>
      <c r="H7" s="18"/>
      <c r="I7" s="18"/>
      <c r="J7" s="18"/>
      <c r="K7" s="18"/>
      <c r="L7" s="18"/>
      <c r="M7" s="18"/>
      <c r="N7" s="18"/>
      <c r="O7" s="18"/>
    </row>
    <row r="8" spans="1:15" x14ac:dyDescent="0.35">
      <c r="A8" s="18"/>
      <c r="B8" s="18"/>
      <c r="C8" s="18"/>
      <c r="D8" s="18"/>
      <c r="E8" s="18"/>
      <c r="F8" s="18"/>
      <c r="G8" s="18"/>
      <c r="H8" s="18"/>
      <c r="I8" s="18"/>
      <c r="J8" s="18"/>
      <c r="K8" s="18"/>
      <c r="L8" s="18"/>
      <c r="M8" s="18"/>
      <c r="N8" s="18"/>
      <c r="O8" s="18"/>
    </row>
    <row r="9" spans="1:15" x14ac:dyDescent="0.35">
      <c r="A9" s="18"/>
      <c r="B9" s="18"/>
      <c r="C9" s="18"/>
      <c r="D9" s="18"/>
      <c r="E9" s="18"/>
      <c r="F9" s="18"/>
      <c r="G9" s="18"/>
      <c r="H9" s="18"/>
      <c r="I9" s="18"/>
      <c r="J9" s="18"/>
      <c r="K9" s="18"/>
      <c r="L9" s="18"/>
      <c r="M9" s="18"/>
      <c r="N9" s="18"/>
      <c r="O9" s="18"/>
    </row>
    <row r="10" spans="1:15" x14ac:dyDescent="0.35">
      <c r="A10" s="18"/>
      <c r="B10" s="18"/>
      <c r="C10" s="18"/>
      <c r="D10" s="18"/>
      <c r="E10" s="18"/>
      <c r="F10" s="18"/>
      <c r="G10" s="18"/>
      <c r="H10" s="18"/>
      <c r="I10" s="18"/>
      <c r="J10" s="18"/>
      <c r="K10" s="18"/>
      <c r="L10" s="18"/>
      <c r="M10" s="18"/>
      <c r="N10" s="18"/>
      <c r="O10" s="18"/>
    </row>
    <row r="11" spans="1:15" x14ac:dyDescent="0.35">
      <c r="A11" s="18"/>
      <c r="B11" s="18"/>
      <c r="C11" s="18"/>
      <c r="D11" s="18"/>
      <c r="E11" s="18"/>
      <c r="F11" s="18"/>
      <c r="G11" s="18"/>
      <c r="H11" s="18"/>
      <c r="I11" s="18"/>
      <c r="J11" s="18"/>
      <c r="K11" s="18"/>
      <c r="L11" s="18"/>
      <c r="M11" s="18"/>
      <c r="N11" s="18"/>
      <c r="O11" s="18"/>
    </row>
    <row r="12" spans="1:15" x14ac:dyDescent="0.35">
      <c r="A12" s="18"/>
      <c r="B12" s="18"/>
      <c r="C12" s="18"/>
      <c r="D12" s="18"/>
      <c r="E12" s="18"/>
      <c r="F12" s="18"/>
      <c r="G12" s="18"/>
      <c r="H12" s="18"/>
      <c r="I12" s="18"/>
      <c r="J12" s="18"/>
      <c r="K12" s="18"/>
      <c r="L12" s="18"/>
      <c r="M12" s="18"/>
      <c r="N12" s="18"/>
      <c r="O12" s="18"/>
    </row>
    <row r="13" spans="1:15" x14ac:dyDescent="0.35">
      <c r="A13" s="18"/>
      <c r="B13" s="18"/>
      <c r="C13" s="18"/>
      <c r="D13" s="18"/>
      <c r="E13" s="18"/>
      <c r="F13" s="18"/>
      <c r="G13" s="18"/>
      <c r="H13" s="18"/>
      <c r="I13" s="18"/>
      <c r="J13" s="18"/>
      <c r="K13" s="18"/>
      <c r="L13" s="18"/>
      <c r="M13" s="18"/>
      <c r="N13" s="18"/>
      <c r="O13" s="18"/>
    </row>
    <row r="14" spans="1:15" x14ac:dyDescent="0.35">
      <c r="A14" s="18"/>
      <c r="B14" s="18"/>
      <c r="C14" s="18"/>
      <c r="D14" s="18"/>
      <c r="E14" s="18"/>
      <c r="F14" s="18"/>
      <c r="G14" s="18"/>
      <c r="H14" s="18"/>
      <c r="I14" s="18"/>
      <c r="J14" s="18"/>
      <c r="K14" s="18"/>
      <c r="L14" s="18"/>
      <c r="M14" s="18"/>
      <c r="N14" s="18"/>
      <c r="O14" s="18"/>
    </row>
    <row r="15" spans="1:15" x14ac:dyDescent="0.35">
      <c r="A15" s="18"/>
      <c r="B15" s="18"/>
      <c r="C15" s="18"/>
      <c r="D15" s="18"/>
      <c r="E15" s="18"/>
      <c r="F15" s="18"/>
      <c r="G15" s="18"/>
      <c r="H15" s="18"/>
      <c r="I15" s="18"/>
      <c r="J15" s="18"/>
      <c r="K15" s="18"/>
      <c r="L15" s="18"/>
      <c r="M15" s="18"/>
      <c r="N15" s="18"/>
      <c r="O15" s="18"/>
    </row>
    <row r="16" spans="1:15" x14ac:dyDescent="0.35">
      <c r="A16" s="18"/>
      <c r="B16" s="18"/>
      <c r="C16" s="18"/>
      <c r="D16" s="18"/>
      <c r="E16" s="18"/>
      <c r="F16" s="18"/>
      <c r="G16" s="18"/>
      <c r="H16" s="18"/>
      <c r="I16" s="18"/>
      <c r="J16" s="18"/>
      <c r="K16" s="18"/>
      <c r="L16" s="18"/>
      <c r="M16" s="18"/>
      <c r="N16" s="18"/>
      <c r="O16" s="18"/>
    </row>
    <row r="17" spans="1:15" x14ac:dyDescent="0.35">
      <c r="A17" s="18"/>
      <c r="B17" s="18"/>
      <c r="C17" s="18"/>
      <c r="D17" s="18"/>
      <c r="E17" s="18"/>
      <c r="F17" s="18"/>
      <c r="G17" s="18"/>
      <c r="H17" s="18"/>
      <c r="I17" s="18"/>
      <c r="J17" s="18"/>
      <c r="K17" s="18"/>
      <c r="L17" s="18"/>
      <c r="M17" s="18"/>
      <c r="N17" s="18"/>
      <c r="O17" s="18"/>
    </row>
    <row r="18" spans="1:15" x14ac:dyDescent="0.35">
      <c r="A18" s="18"/>
      <c r="B18" s="18"/>
      <c r="C18" s="18"/>
      <c r="D18" s="18"/>
      <c r="E18" s="18"/>
      <c r="F18" s="18"/>
      <c r="G18" s="18"/>
      <c r="H18" s="18"/>
      <c r="I18" s="18"/>
      <c r="J18" s="18"/>
      <c r="K18" s="18"/>
      <c r="L18" s="18"/>
      <c r="M18" s="18"/>
      <c r="N18" s="18"/>
      <c r="O18" s="18"/>
    </row>
    <row r="19" spans="1:15" x14ac:dyDescent="0.35">
      <c r="A19" s="18"/>
      <c r="B19" s="18"/>
      <c r="C19" s="18"/>
      <c r="D19" s="18"/>
      <c r="E19" s="18"/>
      <c r="F19" s="18"/>
      <c r="G19" s="18"/>
      <c r="H19" s="18"/>
      <c r="I19" s="18"/>
      <c r="J19" s="18"/>
      <c r="K19" s="18"/>
      <c r="L19" s="18"/>
      <c r="M19" s="18"/>
      <c r="N19" s="18"/>
      <c r="O19" s="18"/>
    </row>
    <row r="20" spans="1:15" x14ac:dyDescent="0.35">
      <c r="A20" s="18"/>
      <c r="B20" s="18"/>
      <c r="C20" s="18"/>
      <c r="D20" s="18"/>
      <c r="E20" s="18"/>
      <c r="F20" s="18"/>
      <c r="G20" s="18"/>
      <c r="H20" s="18"/>
      <c r="I20" s="18"/>
      <c r="J20" s="18"/>
      <c r="K20" s="18"/>
      <c r="L20" s="18"/>
      <c r="M20" s="18"/>
      <c r="N20" s="18"/>
      <c r="O20" s="18"/>
    </row>
    <row r="21" spans="1:15" x14ac:dyDescent="0.35">
      <c r="A21" s="18"/>
      <c r="B21" s="18"/>
      <c r="C21" s="18"/>
      <c r="D21" s="18"/>
      <c r="E21" s="18"/>
      <c r="F21" s="18"/>
      <c r="G21" s="18"/>
      <c r="H21" s="18"/>
      <c r="I21" s="18"/>
      <c r="J21" s="18"/>
      <c r="K21" s="18"/>
      <c r="L21" s="18"/>
      <c r="M21" s="18"/>
      <c r="N21" s="18"/>
      <c r="O21" s="18"/>
    </row>
    <row r="22" spans="1:15" x14ac:dyDescent="0.35">
      <c r="A22" s="18"/>
      <c r="B22" s="18"/>
      <c r="C22" s="18"/>
      <c r="D22" s="18"/>
      <c r="E22" s="18"/>
      <c r="F22" s="18"/>
      <c r="G22" s="18"/>
      <c r="H22" s="18"/>
      <c r="I22" s="18"/>
      <c r="J22" s="18"/>
      <c r="K22" s="18"/>
      <c r="L22" s="18"/>
      <c r="M22" s="18"/>
      <c r="N22" s="18"/>
      <c r="O22" s="18"/>
    </row>
    <row r="23" spans="1:15" x14ac:dyDescent="0.35">
      <c r="A23" s="18"/>
      <c r="B23" s="18"/>
      <c r="C23" s="18"/>
      <c r="D23" s="18"/>
      <c r="E23" s="18"/>
      <c r="F23" s="18"/>
      <c r="G23" s="18"/>
      <c r="H23" s="18"/>
      <c r="I23" s="18"/>
      <c r="J23" s="18"/>
      <c r="K23" s="18"/>
      <c r="L23" s="18"/>
      <c r="M23" s="18"/>
      <c r="N23" s="18"/>
      <c r="O23" s="18"/>
    </row>
    <row r="24" spans="1:15" x14ac:dyDescent="0.35">
      <c r="A24" s="18"/>
      <c r="B24" s="18"/>
      <c r="C24" s="18"/>
      <c r="D24" s="18"/>
      <c r="E24" s="18"/>
      <c r="F24" s="18"/>
      <c r="G24" s="18"/>
      <c r="H24" s="18"/>
      <c r="I24" s="18"/>
      <c r="J24" s="18"/>
      <c r="K24" s="18"/>
      <c r="L24" s="18"/>
      <c r="M24" s="18"/>
      <c r="N24" s="18"/>
      <c r="O24" s="18"/>
    </row>
    <row r="25" spans="1:15" x14ac:dyDescent="0.35">
      <c r="A25" s="18"/>
      <c r="B25" s="18"/>
      <c r="C25" s="18"/>
      <c r="D25" s="18"/>
      <c r="E25" s="18"/>
      <c r="F25" s="18"/>
      <c r="G25" s="18"/>
      <c r="H25" s="18"/>
      <c r="I25" s="18"/>
      <c r="J25" s="18"/>
      <c r="K25" s="18"/>
      <c r="L25" s="18"/>
      <c r="M25" s="18"/>
      <c r="N25" s="18"/>
      <c r="O25" s="18"/>
    </row>
    <row r="26" spans="1:15" x14ac:dyDescent="0.35">
      <c r="A26" s="18"/>
      <c r="B26" s="18"/>
      <c r="C26" s="18"/>
      <c r="D26" s="18"/>
      <c r="E26" s="18"/>
      <c r="F26" s="18"/>
      <c r="G26" s="18"/>
      <c r="H26" s="18"/>
      <c r="I26" s="18"/>
      <c r="J26" s="18"/>
      <c r="K26" s="18"/>
      <c r="L26" s="18"/>
      <c r="M26" s="18"/>
      <c r="N26" s="18"/>
      <c r="O26" s="18"/>
    </row>
    <row r="27" spans="1:15" x14ac:dyDescent="0.35">
      <c r="A27" s="18"/>
      <c r="B27" s="18"/>
      <c r="C27" s="18"/>
      <c r="D27" s="18"/>
      <c r="E27" s="18"/>
      <c r="F27" s="18"/>
      <c r="G27" s="18"/>
      <c r="H27" s="18"/>
      <c r="I27" s="18"/>
      <c r="J27" s="18"/>
      <c r="K27" s="18"/>
      <c r="L27" s="18"/>
      <c r="M27" s="18"/>
      <c r="N27" s="18"/>
      <c r="O27" s="18"/>
    </row>
    <row r="28" spans="1:15" x14ac:dyDescent="0.35">
      <c r="A28" s="18"/>
      <c r="B28" s="18"/>
      <c r="C28" s="18"/>
      <c r="D28" s="18"/>
      <c r="E28" s="18"/>
      <c r="F28" s="18"/>
      <c r="G28" s="18"/>
      <c r="H28" s="18"/>
      <c r="I28" s="18"/>
      <c r="J28" s="18"/>
      <c r="K28" s="18"/>
      <c r="L28" s="18"/>
      <c r="M28" s="18"/>
      <c r="N28" s="18"/>
      <c r="O28" s="18"/>
    </row>
    <row r="29" spans="1:15" x14ac:dyDescent="0.35">
      <c r="A29" s="18"/>
      <c r="B29" s="18"/>
      <c r="C29" s="18"/>
      <c r="D29" s="18"/>
      <c r="E29" s="18"/>
      <c r="F29" s="18"/>
      <c r="G29" s="18"/>
      <c r="H29" s="18"/>
      <c r="I29" s="18"/>
      <c r="J29" s="18"/>
      <c r="K29" s="18"/>
      <c r="L29" s="18"/>
      <c r="M29" s="18"/>
      <c r="N29" s="18"/>
      <c r="O29" s="18"/>
    </row>
    <row r="30" spans="1:15" x14ac:dyDescent="0.35">
      <c r="A30" s="18"/>
      <c r="B30" s="18"/>
      <c r="C30" s="18"/>
      <c r="D30" s="18"/>
      <c r="E30" s="18"/>
      <c r="F30" s="18"/>
      <c r="G30" s="18"/>
      <c r="H30" s="18"/>
      <c r="I30" s="18"/>
      <c r="J30" s="18"/>
      <c r="K30" s="18"/>
      <c r="L30" s="18"/>
      <c r="M30" s="18"/>
      <c r="N30" s="18"/>
      <c r="O30" s="18"/>
    </row>
    <row r="31" spans="1:15" x14ac:dyDescent="0.35">
      <c r="A31" s="18"/>
      <c r="B31" s="18"/>
      <c r="C31" s="18"/>
      <c r="D31" s="18"/>
      <c r="E31" s="18"/>
      <c r="F31" s="18"/>
      <c r="G31" s="18"/>
      <c r="H31" s="18"/>
      <c r="I31" s="18"/>
      <c r="J31" s="18"/>
      <c r="K31" s="18"/>
      <c r="L31" s="18"/>
      <c r="M31" s="18"/>
      <c r="N31" s="18"/>
      <c r="O31" s="18"/>
    </row>
    <row r="32" spans="1:15" x14ac:dyDescent="0.35">
      <c r="A32" s="18"/>
      <c r="B32" s="18"/>
      <c r="C32" s="18"/>
      <c r="D32" s="18"/>
      <c r="E32" s="18"/>
      <c r="F32" s="18"/>
      <c r="G32" s="18"/>
      <c r="H32" s="18"/>
      <c r="I32" s="18"/>
      <c r="J32" s="18"/>
      <c r="K32" s="18"/>
      <c r="L32" s="18"/>
      <c r="M32" s="18"/>
      <c r="N32" s="18"/>
      <c r="O32" s="18"/>
    </row>
    <row r="33" spans="1:15" x14ac:dyDescent="0.35">
      <c r="A33" s="18"/>
      <c r="B33" s="18"/>
      <c r="C33" s="18"/>
      <c r="D33" s="18"/>
      <c r="E33" s="18"/>
      <c r="F33" s="18"/>
      <c r="G33" s="18"/>
      <c r="H33" s="18"/>
      <c r="I33" s="18"/>
      <c r="J33" s="18"/>
      <c r="K33" s="18"/>
      <c r="L33" s="18"/>
      <c r="M33" s="18"/>
      <c r="N33" s="18"/>
      <c r="O33" s="18"/>
    </row>
    <row r="34" spans="1:15" x14ac:dyDescent="0.35">
      <c r="A34" s="18"/>
      <c r="B34" s="18"/>
      <c r="C34" s="18"/>
      <c r="D34" s="18"/>
      <c r="E34" s="18"/>
      <c r="F34" s="18"/>
      <c r="G34" s="18"/>
      <c r="H34" s="18"/>
      <c r="I34" s="18"/>
      <c r="J34" s="18"/>
      <c r="K34" s="18"/>
      <c r="L34" s="18"/>
      <c r="M34" s="18"/>
      <c r="N34" s="18"/>
      <c r="O34" s="18"/>
    </row>
    <row r="35" spans="1:15" x14ac:dyDescent="0.35">
      <c r="A35" s="18"/>
      <c r="B35" s="18"/>
      <c r="C35" s="18"/>
      <c r="D35" s="18"/>
      <c r="E35" s="18"/>
      <c r="F35" s="18"/>
      <c r="G35" s="18"/>
      <c r="H35" s="18"/>
      <c r="I35" s="18"/>
      <c r="J35" s="18"/>
      <c r="K35" s="18"/>
      <c r="L35" s="18"/>
      <c r="M35" s="18"/>
      <c r="N35" s="18"/>
      <c r="O35" s="18"/>
    </row>
    <row r="36" spans="1:15" x14ac:dyDescent="0.35">
      <c r="A36" s="18"/>
      <c r="B36" s="18"/>
      <c r="C36" s="18"/>
      <c r="D36" s="18"/>
      <c r="E36" s="18"/>
      <c r="F36" s="18"/>
      <c r="G36" s="18"/>
      <c r="H36" s="18"/>
      <c r="I36" s="18"/>
      <c r="J36" s="18"/>
      <c r="K36" s="18"/>
      <c r="L36" s="18"/>
      <c r="M36" s="18"/>
      <c r="N36" s="18"/>
      <c r="O36" s="18"/>
    </row>
    <row r="37" spans="1:15" x14ac:dyDescent="0.35">
      <c r="A37" s="18"/>
      <c r="B37" s="18"/>
      <c r="C37" s="18"/>
      <c r="D37" s="18"/>
      <c r="E37" s="18"/>
      <c r="F37" s="18"/>
      <c r="G37" s="18"/>
      <c r="H37" s="18"/>
      <c r="I37" s="18"/>
      <c r="J37" s="18"/>
      <c r="K37" s="18"/>
      <c r="L37" s="18"/>
      <c r="M37" s="18"/>
      <c r="N37" s="18"/>
      <c r="O37" s="18"/>
    </row>
    <row r="38" spans="1:15" x14ac:dyDescent="0.35">
      <c r="A38" s="18"/>
      <c r="B38" s="18"/>
      <c r="C38" s="18"/>
      <c r="D38" s="18"/>
      <c r="E38" s="18"/>
      <c r="F38" s="18"/>
      <c r="G38" s="18"/>
      <c r="H38" s="18"/>
      <c r="I38" s="18"/>
      <c r="J38" s="18"/>
      <c r="K38" s="18"/>
      <c r="L38" s="18"/>
      <c r="M38" s="18"/>
      <c r="N38" s="18"/>
      <c r="O38" s="18"/>
    </row>
    <row r="39" spans="1:15" x14ac:dyDescent="0.35">
      <c r="A39" s="18"/>
      <c r="B39" s="18"/>
      <c r="C39" s="18"/>
      <c r="D39" s="18"/>
      <c r="E39" s="18"/>
      <c r="F39" s="18"/>
      <c r="G39" s="18"/>
      <c r="H39" s="18"/>
      <c r="I39" s="18"/>
      <c r="J39" s="18"/>
      <c r="K39" s="18"/>
      <c r="L39" s="18"/>
      <c r="M39" s="18"/>
      <c r="N39" s="18"/>
      <c r="O39" s="18"/>
    </row>
    <row r="40" spans="1:15" x14ac:dyDescent="0.35">
      <c r="A40" s="18"/>
      <c r="B40" s="18"/>
      <c r="C40" s="18"/>
      <c r="D40" s="18"/>
      <c r="E40" s="18"/>
      <c r="F40" s="18"/>
      <c r="G40" s="18"/>
      <c r="H40" s="18"/>
      <c r="I40" s="18"/>
      <c r="J40" s="18"/>
      <c r="K40" s="18"/>
      <c r="L40" s="18"/>
      <c r="M40" s="18"/>
      <c r="N40" s="18"/>
      <c r="O40" s="18"/>
    </row>
    <row r="41" spans="1:15" ht="409.5" customHeight="1" x14ac:dyDescent="0.35">
      <c r="A41" s="18"/>
      <c r="B41" s="18"/>
      <c r="C41" s="18"/>
      <c r="D41" s="18"/>
      <c r="E41" s="18"/>
      <c r="F41" s="18"/>
      <c r="G41" s="18"/>
      <c r="H41" s="18"/>
      <c r="I41" s="18"/>
      <c r="J41" s="18"/>
      <c r="K41" s="18"/>
      <c r="L41" s="18"/>
      <c r="M41" s="18"/>
      <c r="N41" s="18"/>
      <c r="O41" s="18"/>
    </row>
    <row r="42" spans="1:15" x14ac:dyDescent="0.35">
      <c r="A42" s="18"/>
      <c r="B42" s="18"/>
      <c r="C42" s="18"/>
      <c r="D42" s="18"/>
      <c r="E42" s="18"/>
      <c r="F42" s="18"/>
      <c r="G42" s="18"/>
      <c r="H42" s="18"/>
      <c r="I42" s="18"/>
      <c r="J42" s="18"/>
      <c r="K42" s="18"/>
      <c r="L42" s="18"/>
      <c r="M42" s="18"/>
      <c r="N42" s="18"/>
      <c r="O42" s="18"/>
    </row>
    <row r="43" spans="1:15" x14ac:dyDescent="0.35">
      <c r="A43" s="18"/>
      <c r="B43" s="18"/>
      <c r="C43" s="18"/>
      <c r="D43" s="18"/>
      <c r="E43" s="18"/>
      <c r="F43" s="18"/>
      <c r="G43" s="18"/>
      <c r="H43" s="18"/>
      <c r="I43" s="18"/>
      <c r="J43" s="18"/>
      <c r="K43" s="18"/>
      <c r="L43" s="18"/>
      <c r="M43" s="18"/>
      <c r="N43" s="18"/>
      <c r="O43" s="18"/>
    </row>
    <row r="44" spans="1:15" x14ac:dyDescent="0.35">
      <c r="A44" s="18"/>
      <c r="B44" s="18"/>
      <c r="C44" s="18"/>
      <c r="D44" s="18"/>
      <c r="E44" s="18"/>
      <c r="F44" s="18"/>
      <c r="G44" s="18"/>
      <c r="H44" s="18"/>
      <c r="I44" s="18"/>
      <c r="J44" s="18"/>
      <c r="K44" s="18"/>
      <c r="L44" s="18"/>
      <c r="M44" s="18"/>
      <c r="N44" s="18"/>
      <c r="O44" s="18"/>
    </row>
    <row r="45" spans="1:15" x14ac:dyDescent="0.35">
      <c r="A45" s="18"/>
      <c r="B45" s="18"/>
      <c r="C45" s="18"/>
      <c r="D45" s="18"/>
      <c r="E45" s="18"/>
      <c r="F45" s="18"/>
      <c r="G45" s="18"/>
      <c r="H45" s="18"/>
      <c r="I45" s="18"/>
      <c r="J45" s="18"/>
      <c r="K45" s="18"/>
      <c r="L45" s="18"/>
      <c r="M45" s="18"/>
      <c r="N45" s="18"/>
      <c r="O45" s="18"/>
    </row>
    <row r="46" spans="1:15" x14ac:dyDescent="0.35">
      <c r="A46" s="18"/>
      <c r="B46" s="18"/>
      <c r="C46" s="18"/>
      <c r="D46" s="18"/>
      <c r="E46" s="18"/>
      <c r="F46" s="18"/>
      <c r="G46" s="18"/>
      <c r="H46" s="18"/>
      <c r="I46" s="18"/>
      <c r="J46" s="18"/>
      <c r="K46" s="18"/>
      <c r="L46" s="18"/>
      <c r="M46" s="18"/>
      <c r="N46" s="18"/>
      <c r="O46" s="18"/>
    </row>
    <row r="47" spans="1:15" x14ac:dyDescent="0.35">
      <c r="A47" s="18"/>
      <c r="B47" s="18"/>
      <c r="C47" s="18"/>
      <c r="D47" s="18"/>
      <c r="E47" s="18"/>
      <c r="F47" s="18"/>
      <c r="G47" s="18"/>
      <c r="H47" s="18"/>
      <c r="I47" s="18"/>
      <c r="J47" s="18"/>
      <c r="K47" s="18"/>
      <c r="L47" s="18"/>
      <c r="M47" s="18"/>
      <c r="N47" s="18"/>
      <c r="O47" s="18"/>
    </row>
    <row r="48" spans="1:15" x14ac:dyDescent="0.35">
      <c r="A48" s="18"/>
      <c r="B48" s="18"/>
      <c r="C48" s="18"/>
      <c r="D48" s="18"/>
      <c r="E48" s="18"/>
      <c r="F48" s="18"/>
      <c r="G48" s="18"/>
      <c r="H48" s="18"/>
      <c r="I48" s="18"/>
      <c r="J48" s="18"/>
      <c r="K48" s="18"/>
      <c r="L48" s="18"/>
      <c r="M48" s="18"/>
      <c r="N48" s="18"/>
      <c r="O48" s="18"/>
    </row>
    <row r="49" spans="1:15" x14ac:dyDescent="0.35">
      <c r="A49" s="18"/>
      <c r="B49" s="18"/>
      <c r="C49" s="18"/>
      <c r="D49" s="18"/>
      <c r="E49" s="18"/>
      <c r="F49" s="18"/>
      <c r="G49" s="18"/>
      <c r="H49" s="18"/>
      <c r="I49" s="18"/>
      <c r="J49" s="18"/>
      <c r="K49" s="18"/>
      <c r="L49" s="18"/>
      <c r="M49" s="18"/>
      <c r="N49" s="18"/>
      <c r="O49" s="18"/>
    </row>
    <row r="50" spans="1:15" x14ac:dyDescent="0.35">
      <c r="A50" s="18"/>
      <c r="B50" s="18"/>
      <c r="C50" s="18"/>
      <c r="D50" s="18"/>
      <c r="E50" s="18"/>
      <c r="F50" s="18"/>
      <c r="G50" s="18"/>
      <c r="H50" s="18"/>
      <c r="I50" s="18"/>
      <c r="J50" s="18"/>
      <c r="K50" s="18"/>
      <c r="L50" s="18"/>
      <c r="M50" s="18"/>
      <c r="N50" s="18"/>
      <c r="O50" s="18"/>
    </row>
    <row r="51" spans="1:15" x14ac:dyDescent="0.35">
      <c r="A51" s="18"/>
      <c r="B51" s="18"/>
      <c r="C51" s="18"/>
      <c r="D51" s="18"/>
      <c r="E51" s="18"/>
      <c r="F51" s="18"/>
      <c r="G51" s="18"/>
      <c r="H51" s="18"/>
      <c r="I51" s="18"/>
      <c r="J51" s="18"/>
      <c r="K51" s="18"/>
      <c r="L51" s="18"/>
      <c r="M51" s="18"/>
      <c r="N51" s="18"/>
      <c r="O51" s="18"/>
    </row>
    <row r="52" spans="1:15" x14ac:dyDescent="0.35">
      <c r="A52" s="18"/>
      <c r="B52" s="18"/>
      <c r="C52" s="18"/>
      <c r="D52" s="18"/>
      <c r="E52" s="18"/>
      <c r="F52" s="18"/>
      <c r="G52" s="18"/>
      <c r="H52" s="18"/>
      <c r="I52" s="18"/>
      <c r="J52" s="18"/>
      <c r="K52" s="18"/>
      <c r="L52" s="18"/>
      <c r="M52" s="18"/>
      <c r="N52" s="18"/>
      <c r="O52" s="18"/>
    </row>
    <row r="53" spans="1:15" x14ac:dyDescent="0.35">
      <c r="A53" s="18"/>
      <c r="B53" s="18"/>
      <c r="C53" s="18"/>
      <c r="D53" s="18"/>
      <c r="E53" s="18"/>
      <c r="F53" s="18"/>
      <c r="G53" s="18"/>
      <c r="H53" s="18"/>
      <c r="I53" s="18"/>
      <c r="J53" s="18"/>
      <c r="K53" s="18"/>
      <c r="L53" s="18"/>
      <c r="M53" s="18"/>
      <c r="N53" s="18"/>
      <c r="O53" s="18"/>
    </row>
    <row r="54" spans="1:15" x14ac:dyDescent="0.35">
      <c r="A54" s="18"/>
      <c r="B54" s="18"/>
      <c r="C54" s="18"/>
      <c r="D54" s="18"/>
      <c r="E54" s="18"/>
      <c r="F54" s="18"/>
      <c r="G54" s="18"/>
      <c r="H54" s="18"/>
      <c r="I54" s="18"/>
      <c r="J54" s="18"/>
      <c r="K54" s="18"/>
      <c r="L54" s="18"/>
      <c r="M54" s="18"/>
      <c r="N54" s="18"/>
      <c r="O54" s="18"/>
    </row>
    <row r="55" spans="1:15" x14ac:dyDescent="0.35">
      <c r="A55" s="18"/>
      <c r="B55" s="18"/>
      <c r="C55" s="18"/>
      <c r="D55" s="18"/>
      <c r="E55" s="18"/>
      <c r="F55" s="18"/>
      <c r="G55" s="18"/>
      <c r="H55" s="18"/>
      <c r="I55" s="18"/>
      <c r="J55" s="18"/>
      <c r="K55" s="18"/>
      <c r="L55" s="18"/>
      <c r="M55" s="18"/>
      <c r="N55" s="18"/>
      <c r="O55" s="18"/>
    </row>
    <row r="56" spans="1:15" x14ac:dyDescent="0.35">
      <c r="A56" s="18"/>
      <c r="B56" s="18"/>
      <c r="C56" s="18"/>
      <c r="D56" s="18"/>
      <c r="E56" s="18"/>
      <c r="F56" s="18"/>
      <c r="G56" s="18"/>
      <c r="H56" s="18"/>
      <c r="I56" s="18"/>
      <c r="J56" s="18"/>
      <c r="K56" s="18"/>
      <c r="L56" s="18"/>
      <c r="M56" s="18"/>
      <c r="N56" s="18"/>
      <c r="O56" s="18"/>
    </row>
    <row r="57" spans="1:15" x14ac:dyDescent="0.35">
      <c r="A57" s="18"/>
      <c r="B57" s="18"/>
      <c r="C57" s="18"/>
      <c r="D57" s="18"/>
      <c r="E57" s="18"/>
      <c r="F57" s="18"/>
      <c r="G57" s="18"/>
      <c r="H57" s="18"/>
      <c r="I57" s="18"/>
      <c r="J57" s="18"/>
      <c r="K57" s="18"/>
      <c r="L57" s="18"/>
      <c r="M57" s="18"/>
      <c r="N57" s="18"/>
      <c r="O57" s="18"/>
    </row>
    <row r="58" spans="1:15" x14ac:dyDescent="0.35">
      <c r="A58" s="18"/>
      <c r="B58" s="18"/>
      <c r="C58" s="18"/>
      <c r="D58" s="18"/>
      <c r="E58" s="18"/>
      <c r="F58" s="18"/>
      <c r="G58" s="18"/>
      <c r="H58" s="18"/>
      <c r="I58" s="18"/>
      <c r="J58" s="18"/>
      <c r="K58" s="18"/>
      <c r="L58" s="18"/>
      <c r="M58" s="18"/>
      <c r="N58" s="18"/>
      <c r="O58" s="18"/>
    </row>
    <row r="59" spans="1:15" x14ac:dyDescent="0.35">
      <c r="A59" s="18"/>
      <c r="B59" s="18"/>
      <c r="C59" s="18"/>
      <c r="D59" s="18"/>
      <c r="E59" s="18"/>
      <c r="F59" s="18"/>
      <c r="G59" s="18"/>
      <c r="H59" s="18"/>
      <c r="I59" s="18"/>
      <c r="J59" s="18"/>
      <c r="K59" s="18"/>
      <c r="L59" s="18"/>
      <c r="M59" s="18"/>
      <c r="N59" s="18"/>
      <c r="O59" s="18"/>
    </row>
    <row r="60" spans="1:15" x14ac:dyDescent="0.35">
      <c r="A60" s="18"/>
      <c r="B60" s="18"/>
      <c r="C60" s="18"/>
      <c r="D60" s="18"/>
      <c r="E60" s="18"/>
      <c r="F60" s="18"/>
      <c r="G60" s="18"/>
      <c r="H60" s="18"/>
      <c r="I60" s="18"/>
      <c r="J60" s="18"/>
      <c r="K60" s="18"/>
      <c r="L60" s="18"/>
      <c r="M60" s="18"/>
      <c r="N60" s="18"/>
      <c r="O60" s="18"/>
    </row>
    <row r="61" spans="1:15" x14ac:dyDescent="0.35">
      <c r="A61" s="18"/>
      <c r="B61" s="18"/>
      <c r="C61" s="18"/>
      <c r="D61" s="18"/>
      <c r="E61" s="18"/>
      <c r="F61" s="18"/>
      <c r="G61" s="18"/>
      <c r="H61" s="18"/>
      <c r="I61" s="18"/>
      <c r="J61" s="18"/>
      <c r="K61" s="18"/>
      <c r="L61" s="18"/>
      <c r="M61" s="18"/>
      <c r="N61" s="18"/>
      <c r="O61" s="18"/>
    </row>
    <row r="62" spans="1:15" x14ac:dyDescent="0.35">
      <c r="A62" s="18"/>
      <c r="B62" s="18"/>
      <c r="C62" s="18"/>
      <c r="D62" s="18"/>
      <c r="E62" s="18"/>
      <c r="F62" s="18"/>
      <c r="G62" s="18"/>
      <c r="H62" s="18"/>
      <c r="I62" s="18"/>
      <c r="J62" s="18"/>
      <c r="K62" s="18"/>
      <c r="L62" s="18"/>
      <c r="M62" s="18"/>
      <c r="N62" s="18"/>
      <c r="O62" s="18"/>
    </row>
    <row r="63" spans="1:15" x14ac:dyDescent="0.35">
      <c r="A63" s="18"/>
      <c r="B63" s="18"/>
      <c r="C63" s="18"/>
      <c r="D63" s="18"/>
      <c r="E63" s="18"/>
      <c r="F63" s="18"/>
      <c r="G63" s="18"/>
      <c r="H63" s="18"/>
      <c r="I63" s="18"/>
      <c r="J63" s="18"/>
      <c r="K63" s="18"/>
      <c r="L63" s="18"/>
      <c r="M63" s="18"/>
      <c r="N63" s="18"/>
      <c r="O63" s="18"/>
    </row>
    <row r="64" spans="1:15" x14ac:dyDescent="0.35">
      <c r="A64" s="18"/>
      <c r="B64" s="18"/>
      <c r="C64" s="18"/>
      <c r="D64" s="18"/>
      <c r="E64" s="18"/>
      <c r="F64" s="18"/>
      <c r="G64" s="18"/>
      <c r="H64" s="18"/>
      <c r="I64" s="18"/>
      <c r="J64" s="18"/>
      <c r="K64" s="18"/>
      <c r="L64" s="18"/>
      <c r="M64" s="18"/>
      <c r="N64" s="18"/>
      <c r="O64" s="18"/>
    </row>
    <row r="65" spans="1:15" x14ac:dyDescent="0.35">
      <c r="A65" s="18"/>
      <c r="B65" s="18"/>
      <c r="C65" s="18"/>
      <c r="D65" s="18"/>
      <c r="E65" s="18"/>
      <c r="F65" s="18"/>
      <c r="G65" s="18"/>
      <c r="H65" s="18"/>
      <c r="I65" s="18"/>
      <c r="J65" s="18"/>
      <c r="K65" s="18"/>
      <c r="L65" s="18"/>
      <c r="M65" s="18"/>
      <c r="N65" s="18"/>
      <c r="O65" s="18"/>
    </row>
    <row r="66" spans="1:15" x14ac:dyDescent="0.35">
      <c r="A66" s="18"/>
      <c r="B66" s="18"/>
      <c r="C66" s="18"/>
      <c r="D66" s="18"/>
      <c r="E66" s="18"/>
      <c r="F66" s="18"/>
      <c r="G66" s="18"/>
      <c r="H66" s="18"/>
      <c r="I66" s="18"/>
      <c r="J66" s="18"/>
      <c r="K66" s="18"/>
      <c r="L66" s="18"/>
      <c r="M66" s="18"/>
      <c r="N66" s="18"/>
      <c r="O66" s="18"/>
    </row>
    <row r="67" spans="1:15" x14ac:dyDescent="0.35">
      <c r="A67" s="18"/>
      <c r="B67" s="18"/>
      <c r="C67" s="18"/>
      <c r="D67" s="18"/>
      <c r="E67" s="18"/>
      <c r="F67" s="18"/>
      <c r="G67" s="18"/>
      <c r="H67" s="18"/>
      <c r="I67" s="18"/>
      <c r="J67" s="18"/>
      <c r="K67" s="18"/>
      <c r="L67" s="18"/>
      <c r="M67" s="18"/>
      <c r="N67" s="18"/>
      <c r="O67" s="18"/>
    </row>
    <row r="68" spans="1:15" x14ac:dyDescent="0.35">
      <c r="A68" s="18"/>
      <c r="B68" s="18"/>
      <c r="C68" s="18"/>
      <c r="D68" s="18"/>
      <c r="E68" s="18"/>
      <c r="F68" s="18"/>
      <c r="G68" s="18"/>
      <c r="H68" s="18"/>
      <c r="I68" s="18"/>
      <c r="J68" s="18"/>
      <c r="K68" s="18"/>
      <c r="L68" s="18"/>
      <c r="M68" s="18"/>
      <c r="N68" s="18"/>
      <c r="O68" s="18"/>
    </row>
    <row r="69" spans="1:15" x14ac:dyDescent="0.3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2026-08-11T13:08:51Z</dcterms:modified>
</cp:coreProperties>
</file>